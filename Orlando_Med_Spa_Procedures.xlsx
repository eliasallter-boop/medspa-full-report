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nics Overview" sheetId="1" state="visible" r:id="rId3"/>
    <sheet name="All Procedures" sheetId="2" state="visible" r:id="rId4"/>
    <sheet name="Dashboard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<sst xmlns="http://schemas.openxmlformats.org/spreadsheetml/2006/main" count="1886" uniqueCount="642">
  <si>
    <t xml:space="preserve">#</t>
  </si>
  <si>
    <t xml:space="preserve">Clinic Name</t>
  </si>
  <si>
    <t xml:space="preserve">Neighborhood</t>
  </si>
  <si>
    <t xml:space="preserve">Address</t>
  </si>
  <si>
    <t xml:space="preserve">Website</t>
  </si>
  <si>
    <t xml:space="preserve">Email</t>
  </si>
  <si>
    <t xml:space="preserve">Pricing on File?</t>
  </si>
  <si>
    <t xml:space="preserve"># Procedures Logged</t>
  </si>
  <si>
    <t xml:space="preserve">Notes</t>
  </si>
  <si>
    <t xml:space="preserve">LUXE Med Spa Aesthetics</t>
  </si>
  <si>
    <t xml:space="preserve">Downtown Orlando</t>
  </si>
  <si>
    <t xml:space="preserve">55 W Church St Ste 206, Orlando, FL 32801</t>
  </si>
  <si>
    <t xml:space="preserve">luxemedspaaesthetics.com</t>
  </si>
  <si>
    <t xml:space="preserve">no email found (phone/consult only)</t>
  </si>
  <si>
    <t xml:space="preserve">No</t>
  </si>
  <si>
    <t xml:space="preserve">Bijoux Med Spa &amp; Wellness</t>
  </si>
  <si>
    <t xml:space="preserve">810 Lucerne Ter, Orlando, FL 32801</t>
  </si>
  <si>
    <t xml:space="preserve">bijouxmedspa.com</t>
  </si>
  <si>
    <t xml:space="preserve">VIO Med Spa | SoDo</t>
  </si>
  <si>
    <t xml:space="preserve">2205 S Orange Ave Ste C, Orlando, FL 32806</t>
  </si>
  <si>
    <t xml:space="preserve">viomedspa.com/sodo</t>
  </si>
  <si>
    <t xml:space="preserve">no email found (phone/booking only)</t>
  </si>
  <si>
    <t xml:space="preserve">Partial</t>
  </si>
  <si>
    <t xml:space="preserve">CONFIDENTLY Med Spa</t>
  </si>
  <si>
    <t xml:space="preserve">752 S Orange Ave Ste 117, Orlando, FL 32801</t>
  </si>
  <si>
    <t xml:space="preserve">confidentlymedspa.com</t>
  </si>
  <si>
    <t xml:space="preserve">Nectar Aesthetics Med Spa - Orlando</t>
  </si>
  <si>
    <t xml:space="preserve">361 N Rosalind Ave Suite 10, Orlando, FL 32801</t>
  </si>
  <si>
    <t xml:space="preserve">nectaraesthetics.com</t>
  </si>
  <si>
    <t xml:space="preserve">Yes</t>
  </si>
  <si>
    <t xml:space="preserve">Unive Med Spa</t>
  </si>
  <si>
    <t xml:space="preserve">777 N Orange Ave Ste B, Orlando, FL 32801</t>
  </si>
  <si>
    <t xml:space="preserve">no independent site confirmed (Fresha/Yelp listing, also seen as 'Unik Med Spa')</t>
  </si>
  <si>
    <t xml:space="preserve">no email found (phone only)</t>
  </si>
  <si>
    <t xml:space="preserve">Look Lab Med Spa</t>
  </si>
  <si>
    <t xml:space="preserve">Winter Park</t>
  </si>
  <si>
    <t xml:space="preserve">132 N Park Ave, Winter Park, FL 32789</t>
  </si>
  <si>
    <t xml:space="preserve">looklab.com</t>
  </si>
  <si>
    <t xml:space="preserve">180 MedSpa</t>
  </si>
  <si>
    <t xml:space="preserve">976 N Orange Ave Suite B, Winter Park, FL 32789 (Maps address 2021 W Fairbanks Ave appears outdated/incorrect per web search)</t>
  </si>
  <si>
    <t xml:space="preserve">180medspa.com</t>
  </si>
  <si>
    <t xml:space="preserve">Winter Park Medspa</t>
  </si>
  <si>
    <t xml:space="preserve">4025 Edgewater Dr, Orlando, FL 32804</t>
  </si>
  <si>
    <t xml:space="preserve">winterparkmedspa.com</t>
  </si>
  <si>
    <t xml:space="preserve">Couture Med Spa - Winter Park</t>
  </si>
  <si>
    <t xml:space="preserve">1155 N Orange Ave #2, Winter Park, FL 32789</t>
  </si>
  <si>
    <t xml:space="preserve">couturemedspa.com/locations/winter-park</t>
  </si>
  <si>
    <t xml:space="preserve">Polished Beauty Medspa</t>
  </si>
  <si>
    <t xml:space="preserve">525 N Park Ave #120, Winter Park, FL 32789</t>
  </si>
  <si>
    <t xml:space="preserve">polishedbeautymedspa.com</t>
  </si>
  <si>
    <t xml:space="preserve">Aesthetic District Medspa - Winter Park</t>
  </si>
  <si>
    <t xml:space="preserve">1400 S Orlando Ave Ste 102, Winter Park, FL 32789</t>
  </si>
  <si>
    <t xml:space="preserve">admedicalspa.com</t>
  </si>
  <si>
    <t xml:space="preserve">Dr. Phillips Medical Spa</t>
  </si>
  <si>
    <t xml:space="preserve">Dr. Phillips</t>
  </si>
  <si>
    <t xml:space="preserve">7345 W Sand Lake Rd Unit 406-407, Orlando, FL 32819</t>
  </si>
  <si>
    <t xml:space="preserve">drphillipsmedicalspa.com</t>
  </si>
  <si>
    <t xml:space="preserve">Facial Mania Med Spa Orlando</t>
  </si>
  <si>
    <t xml:space="preserve">5042 Dr Phillips Blvd, Orlando, FL 32819</t>
  </si>
  <si>
    <t xml:space="preserve">orlando.facialmaniamedspa.com</t>
  </si>
  <si>
    <t xml:space="preserve">Sand Lake MedSpa</t>
  </si>
  <si>
    <t xml:space="preserve">7575 Kingspointe Pkwy Ste 15, Orlando, FL 32819 (also seen listed at 6979 Kingspointe Pkwy)</t>
  </si>
  <si>
    <t xml:space="preserve">sandlakemedspa.com</t>
  </si>
  <si>
    <t xml:space="preserve">info@sandlakemedspa.com</t>
  </si>
  <si>
    <t xml:space="preserve">Makeover Aesthetics</t>
  </si>
  <si>
    <t xml:space="preserve">7600 Dr Phillips Blvd #58, Orlando, FL 32819</t>
  </si>
  <si>
    <t xml:space="preserve">makeoveraesthetics.com</t>
  </si>
  <si>
    <t xml:space="preserve">info@makeoveraesthetics.com</t>
  </si>
  <si>
    <t xml:space="preserve">Vamped Aesthetics</t>
  </si>
  <si>
    <t xml:space="preserve">7450 Dr Phillips Blvd #204, Orlando, FL 32819</t>
  </si>
  <si>
    <t xml:space="preserve">vampedaesthetics.com</t>
  </si>
  <si>
    <t xml:space="preserve">New U Med Spa</t>
  </si>
  <si>
    <t xml:space="preserve">7300 Sand Lake Commons Blvd Ste 227A, Orlando, FL 32819</t>
  </si>
  <si>
    <t xml:space="preserve">newumedspaorlando.com</t>
  </si>
  <si>
    <t xml:space="preserve">Nona Med Spa</t>
  </si>
  <si>
    <t xml:space="preserve">Lake Nona</t>
  </si>
  <si>
    <t xml:space="preserve">6718 Lake Nona Blvd Ste 140, Orlando, FL 32827</t>
  </si>
  <si>
    <t xml:space="preserve">nonamedspa.com</t>
  </si>
  <si>
    <t xml:space="preserve">NUR MedSpa &amp; Wellness - Lake Nona</t>
  </si>
  <si>
    <t xml:space="preserve">12617 Narcoossee Rd Ste 111, Orlando, FL 32832</t>
  </si>
  <si>
    <t xml:space="preserve">thenurmedspa.com</t>
  </si>
  <si>
    <t xml:space="preserve">Aesthetic District Medspa - Lake Nona</t>
  </si>
  <si>
    <t xml:space="preserve">10140 Clear Vista St Ste 20, Orlando, FL 32832</t>
  </si>
  <si>
    <t xml:space="preserve">Pristine Spas</t>
  </si>
  <si>
    <t xml:space="preserve">14226 Narcoossee Rd Ste 440, Orlando, FL 32832</t>
  </si>
  <si>
    <t xml:space="preserve">pristinespas.com</t>
  </si>
  <si>
    <t xml:space="preserve">Prixus MedSpa</t>
  </si>
  <si>
    <t xml:space="preserve">8524 Insular Ln Suite 102, Orlando, FL 32827</t>
  </si>
  <si>
    <t xml:space="preserve">prixusmedspa.com</t>
  </si>
  <si>
    <t xml:space="preserve">Healthy Glow Med Spa</t>
  </si>
  <si>
    <t xml:space="preserve">Baldwin Park</t>
  </si>
  <si>
    <t xml:space="preserve">1579 Lake Baldwin Ln Suite A, Orlando, FL 32814</t>
  </si>
  <si>
    <t xml:space="preserve">healthyglowmedspa.com</t>
  </si>
  <si>
    <t xml:space="preserve">info@healthyglowmedspa.com</t>
  </si>
  <si>
    <t xml:space="preserve">SkinLocal Orlando</t>
  </si>
  <si>
    <t xml:space="preserve">4840 New Broad St, Orlando, FL 32814</t>
  </si>
  <si>
    <t xml:space="preserve">skinlocalorlando.com / theskinlocal.com</t>
  </si>
  <si>
    <t xml:space="preserve">info@theskinlocal.com</t>
  </si>
  <si>
    <t xml:space="preserve">One Aesthetics</t>
  </si>
  <si>
    <t xml:space="preserve">College Park</t>
  </si>
  <si>
    <t xml:space="preserve">649 Vassar St, Orlando, FL 32804</t>
  </si>
  <si>
    <t xml:space="preserve">oneaesthetics.com</t>
  </si>
  <si>
    <t xml:space="preserve">Zoya Medical Orlando</t>
  </si>
  <si>
    <t xml:space="preserve">3455 Edgewater Dr, Orlando, FL 32804</t>
  </si>
  <si>
    <t xml:space="preserve">zoyamedicalorlando.com</t>
  </si>
  <si>
    <t xml:space="preserve">Windermere Medical Spa &amp; Laser Institute</t>
  </si>
  <si>
    <t xml:space="preserve">Windermere</t>
  </si>
  <si>
    <t xml:space="preserve">9005 Taborfield Ave, Orlando, FL 32836 (also has a Winter Park location)</t>
  </si>
  <si>
    <t xml:space="preserve">windermeremedicalspa.com</t>
  </si>
  <si>
    <t xml:space="preserve">N6 Aesthetics Spa and Wellness</t>
  </si>
  <si>
    <t xml:space="preserve">6536 Old Brick Rd, Windermere, FL 34786</t>
  </si>
  <si>
    <t xml:space="preserve">n6aesthetics.glossgenius.com</t>
  </si>
  <si>
    <t xml:space="preserve">no email found (booking platform only)</t>
  </si>
  <si>
    <t xml:space="preserve">Exclusive Med Aesthetics &amp; Hair Restoration</t>
  </si>
  <si>
    <t xml:space="preserve">13704 Village Lakeview Ave Suite 250, Windermere, FL 34786</t>
  </si>
  <si>
    <t xml:space="preserve">exclusivemedaesthetics.com</t>
  </si>
  <si>
    <t xml:space="preserve">VIO Med Spa | Winter Garden</t>
  </si>
  <si>
    <t xml:space="preserve">Winter Garden</t>
  </si>
  <si>
    <t xml:space="preserve">3251 Daniels Rd Ste 122, Winter Garden, FL 34787</t>
  </si>
  <si>
    <t xml:space="preserve">viomedspa.com/winter-garden</t>
  </si>
  <si>
    <t xml:space="preserve">Body By SKIN Med Spa</t>
  </si>
  <si>
    <t xml:space="preserve">12363 W Colonial Dr #120, Winter Garden, FL 34787</t>
  </si>
  <si>
    <t xml:space="preserve">bodybyskinmedspa.com</t>
  </si>
  <si>
    <t xml:space="preserve">no email found (phone/text only)</t>
  </si>
  <si>
    <t xml:space="preserve">Sheis Beauty Medical Spa</t>
  </si>
  <si>
    <t xml:space="preserve">1015 S Dillard Street, Winter Garden, FL 34787</t>
  </si>
  <si>
    <t xml:space="preserve">sheisbeautymedicalspa.com</t>
  </si>
  <si>
    <t xml:space="preserve">SheisBeautyMedSpa@gmail.com</t>
  </si>
  <si>
    <t xml:space="preserve">Sapphira Prive Winter Garden MedSpa</t>
  </si>
  <si>
    <t xml:space="preserve">1620 Daniels Rd Ste 120, Winter Garden, FL 34787</t>
  </si>
  <si>
    <t xml:space="preserve">sapphiraprivemedspa.com</t>
  </si>
  <si>
    <t xml:space="preserve">Sol Bonita Med Spa</t>
  </si>
  <si>
    <t xml:space="preserve">Winter Garden/Ocoee</t>
  </si>
  <si>
    <t xml:space="preserve">301 SW Crown Point Rd, Winter Garden, FL</t>
  </si>
  <si>
    <t xml:space="preserve">solbonitamedspa.com</t>
  </si>
  <si>
    <t xml:space="preserve">Imagine Medspa</t>
  </si>
  <si>
    <t xml:space="preserve">15624 Shorebird Ln, Winter Garden, FL 34787</t>
  </si>
  <si>
    <t xml:space="preserve">imaginemedspa.com (Elite Beauty Suites)</t>
  </si>
  <si>
    <t xml:space="preserve">REV Med Spa</t>
  </si>
  <si>
    <t xml:space="preserve">Altamonte Springs</t>
  </si>
  <si>
    <t xml:space="preserve">499 E Altamonte Dr, Altamonte Springs, FL 32701</t>
  </si>
  <si>
    <t xml:space="preserve">revmedicalspa.com</t>
  </si>
  <si>
    <t xml:space="preserve">no email found (contact form)</t>
  </si>
  <si>
    <t xml:space="preserve">Meraki Wellness and Med Spa</t>
  </si>
  <si>
    <t xml:space="preserve">375 N State Road 434 Ste 1004, Altamonte Springs, FL 32714</t>
  </si>
  <si>
    <t xml:space="preserve">merakimedspafl.com</t>
  </si>
  <si>
    <t xml:space="preserve">NUR Med Spa &amp; Wellness - Altamonte Springs</t>
  </si>
  <si>
    <t xml:space="preserve">Altamonte Dr Suite 204, Altamonte Springs, FL 32701</t>
  </si>
  <si>
    <t xml:space="preserve">4Ever Young Med Spa &amp; Wellness Center - Altamonte Springs</t>
  </si>
  <si>
    <t xml:space="preserve">150 Cranes Roost Blvd #1220, Altamonte Springs, FL 32701</t>
  </si>
  <si>
    <t xml:space="preserve">4everyoungantiaging.com/altamonte-springs</t>
  </si>
  <si>
    <t xml:space="preserve">Homa Rejuvenation Center, Med Spa</t>
  </si>
  <si>
    <t xml:space="preserve">283 Cranes Roost Blvd Unit 111, Altamonte Springs, FL 32701</t>
  </si>
  <si>
    <t xml:space="preserve">homarejuvenation.com</t>
  </si>
  <si>
    <t xml:space="preserve">Maki Med Spa &amp; Wellness</t>
  </si>
  <si>
    <t xml:space="preserve">Winter Springs</t>
  </si>
  <si>
    <t xml:space="preserve">5732 Canton Cv, Winter Springs, FL 32708</t>
  </si>
  <si>
    <t xml:space="preserve">makimedspandwellness.com</t>
  </si>
  <si>
    <t xml:space="preserve">Absolute Face &amp; Body Medspa</t>
  </si>
  <si>
    <t xml:space="preserve">1340 Tuskawilla Rd #113, Winter Springs, FL 32708</t>
  </si>
  <si>
    <t xml:space="preserve">absolutefaceandbodymedspa.com</t>
  </si>
  <si>
    <t xml:space="preserve">VIO Med Spa | Oviedo</t>
  </si>
  <si>
    <t xml:space="preserve">Oviedo</t>
  </si>
  <si>
    <t xml:space="preserve">Oviedo, FL (exact suite not confirmed)</t>
  </si>
  <si>
    <t xml:space="preserve">viomedspa.com/oviedo</t>
  </si>
  <si>
    <t xml:space="preserve">Couture Med Spa - Oviedo</t>
  </si>
  <si>
    <t xml:space="preserve">21 Alafaya Woods Blvd, Oviedo, FL 32765</t>
  </si>
  <si>
    <t xml:space="preserve">couturemedspa.com/locations/oviedo</t>
  </si>
  <si>
    <t xml:space="preserve">Oviedo Med Spa</t>
  </si>
  <si>
    <t xml:space="preserve">872 Executive Dr, Oviedo, FL 32765</t>
  </si>
  <si>
    <t xml:space="preserve">oviedomedspa.com</t>
  </si>
  <si>
    <t xml:space="preserve">Beauty &amp; Medicine Medspa - Oviedo</t>
  </si>
  <si>
    <t xml:space="preserve">Oviedo, FL 32765 (also SoDo Orlando: 80 W Grant St, Orlando, FL 32806)</t>
  </si>
  <si>
    <t xml:space="preserve">beautyandmedicinemedspa.com</t>
  </si>
  <si>
    <t xml:space="preserve">Trandi Med Spa - Oviedo</t>
  </si>
  <si>
    <t xml:space="preserve">7560 Red Bug Lake Rd STE 2050, Oviedo, FL 32765</t>
  </si>
  <si>
    <t xml:space="preserve">trandimed.com</t>
  </si>
  <si>
    <t xml:space="preserve">Vita Medspa - Oviedo</t>
  </si>
  <si>
    <t xml:space="preserve">1115 Vidina Place Ste 123, Oviedo, FL 32765</t>
  </si>
  <si>
    <t xml:space="preserve">vitamedspafl.com</t>
  </si>
  <si>
    <t xml:space="preserve">info@vitamedspa.net</t>
  </si>
  <si>
    <t xml:space="preserve">Couture Med Spa - Kissimmee</t>
  </si>
  <si>
    <t xml:space="preserve">Kissimmee</t>
  </si>
  <si>
    <t xml:space="preserve">3105 W Vine St, Kissimmee, FL 34741</t>
  </si>
  <si>
    <t xml:space="preserve">couturemedspa.com/locations/kissimmee</t>
  </si>
  <si>
    <t xml:space="preserve">Celebration Wellness Spa</t>
  </si>
  <si>
    <t xml:space="preserve">Celebration</t>
  </si>
  <si>
    <t xml:space="preserve">950 Celebration Blvd Suite B, Celebration, FL 34747</t>
  </si>
  <si>
    <t xml:space="preserve">celebrationwellnessspa.com</t>
  </si>
  <si>
    <t xml:space="preserve">Beautiful Orlando Spa and Cosmetic Surgery</t>
  </si>
  <si>
    <t xml:space="preserve">1056 E Osceola Pkwy, Kissimmee, FL 34744</t>
  </si>
  <si>
    <t xml:space="preserve">beautifulorlando.com</t>
  </si>
  <si>
    <t xml:space="preserve">NuVa Wellness &amp; Spa</t>
  </si>
  <si>
    <t xml:space="preserve">3218 Hillsdale Ln, Kissimmee, FL 34741</t>
  </si>
  <si>
    <t xml:space="preserve">nuvawellnesspa.com</t>
  </si>
  <si>
    <t xml:space="preserve">All Body Spa by Yeliz</t>
  </si>
  <si>
    <t xml:space="preserve">3831 W Vine St, Kissimmee, FL</t>
  </si>
  <si>
    <t xml:space="preserve">no independent site confirmed (Instagram/directory listing)</t>
  </si>
  <si>
    <t xml:space="preserve">no email found</t>
  </si>
  <si>
    <t xml:space="preserve">Couture Med Spa - Lake Mary</t>
  </si>
  <si>
    <t xml:space="preserve">Lake Mary</t>
  </si>
  <si>
    <t xml:space="preserve">1109 International Pkwy 1651, Lake Mary, FL 32746</t>
  </si>
  <si>
    <t xml:space="preserve">couturemedspa.com/locations/lake-mary</t>
  </si>
  <si>
    <t xml:space="preserve">Tres Jolie Medical Spa</t>
  </si>
  <si>
    <t xml:space="preserve">138 W Crystal Lake Ave Suite 1100, Lake Mary, FL 32746</t>
  </si>
  <si>
    <t xml:space="preserve">tresjoliemedispa.com</t>
  </si>
  <si>
    <t xml:space="preserve">RenuMe Medspa</t>
  </si>
  <si>
    <t xml:space="preserve">1337 S International Pkwy Unit 1311, Lake Mary, FL 32746</t>
  </si>
  <si>
    <t xml:space="preserve">renumemed.com</t>
  </si>
  <si>
    <t xml:space="preserve">info.renume@gmail.com</t>
  </si>
  <si>
    <t xml:space="preserve">Puar Elevated Beauty</t>
  </si>
  <si>
    <t xml:space="preserve">Suite 1231, Lake Mary, FL 32746</t>
  </si>
  <si>
    <t xml:space="preserve">thepuar.com</t>
  </si>
  <si>
    <t xml:space="preserve">The Aesthetic Lounge</t>
  </si>
  <si>
    <t xml:space="preserve">3653 Lake Emma Rd, Studio 122, Lake Mary, FL 32746 (inside Sola Salons)</t>
  </si>
  <si>
    <t xml:space="preserve">theaestheticloungefl.com</t>
  </si>
  <si>
    <t xml:space="preserve">The Rose Spa Of Lake Mary</t>
  </si>
  <si>
    <t xml:space="preserve">156 N 4th St, Lake Mary, FL 32746</t>
  </si>
  <si>
    <t xml:space="preserve">theroselakemary.com</t>
  </si>
  <si>
    <t xml:space="preserve">Nectar Aesthetics Med Spa - Sanford</t>
  </si>
  <si>
    <t xml:space="preserve">Sanford</t>
  </si>
  <si>
    <t xml:space="preserve">141 Bellagio Cir, Sanford, FL 32771</t>
  </si>
  <si>
    <t xml:space="preserve">Reviv Beauty Med Spa</t>
  </si>
  <si>
    <t xml:space="preserve">104 S Park Ave, Sanford, FL 32771</t>
  </si>
  <si>
    <t xml:space="preserve">revivbeauty.com</t>
  </si>
  <si>
    <t xml:space="preserve">Belle Ame Wellness</t>
  </si>
  <si>
    <t xml:space="preserve">712 W 25th St, Sanford, FL 32771</t>
  </si>
  <si>
    <t xml:space="preserve">belleamewellness.com</t>
  </si>
  <si>
    <t xml:space="preserve">baw@accessfamilycarefl.com</t>
  </si>
  <si>
    <t xml:space="preserve">Elite Aesthetics Skin &amp; Wellness Center - Sanford</t>
  </si>
  <si>
    <t xml:space="preserve">107 N Oak Ave, Sanford, FL 32771</t>
  </si>
  <si>
    <t xml:space="preserve">eliteaestheticsllc.com</t>
  </si>
  <si>
    <t xml:space="preserve">Elevate Aesthetics</t>
  </si>
  <si>
    <t xml:space="preserve">Orlando</t>
  </si>
  <si>
    <t xml:space="preserve">1231 N Orange Ave Ste B, Orlando, FL 32804</t>
  </si>
  <si>
    <t xml:space="preserve">lookfeelelevated.com</t>
  </si>
  <si>
    <t xml:space="preserve">Mariah's Medical Spa</t>
  </si>
  <si>
    <t xml:space="preserve">Longwood</t>
  </si>
  <si>
    <t xml:space="preserve">901 W Warren Ave, Longwood, FL 32750</t>
  </si>
  <si>
    <t xml:space="preserve">mariahsmedicalspa.square.site</t>
  </si>
  <si>
    <t xml:space="preserve">mariahmedspa@yahoo.com</t>
  </si>
  <si>
    <t xml:space="preserve">AloEver Medspa</t>
  </si>
  <si>
    <t xml:space="preserve">Longwood, FL (exact suite not confirmed)</t>
  </si>
  <si>
    <t xml:space="preserve">aloevermedspa.com</t>
  </si>
  <si>
    <t xml:space="preserve">NovaGen Skin &amp; Wellness</t>
  </si>
  <si>
    <t xml:space="preserve">300 Crown Oak Centre Dr, Longwood, FL 32750</t>
  </si>
  <si>
    <t xml:space="preserve">novagenskinandwellness.com</t>
  </si>
  <si>
    <t xml:space="preserve">Luminous Skin Medical Spa</t>
  </si>
  <si>
    <t xml:space="preserve">2763 W SR 434, Longwood, FL 32779</t>
  </si>
  <si>
    <t xml:space="preserve">luminousskinmedicalspa.com</t>
  </si>
  <si>
    <t xml:space="preserve">lms@luminousskinmedspa.com</t>
  </si>
  <si>
    <t xml:space="preserve">Victoria Edward Spa &amp; Wellness Center</t>
  </si>
  <si>
    <t xml:space="preserve">1186 Tree Swallow Dr, Winter Springs, FL 32708</t>
  </si>
  <si>
    <t xml:space="preserve">victoriaedwardspa.com</t>
  </si>
  <si>
    <t xml:space="preserve">Windermere Medical Spa &amp; Laser Institute - Winter Park</t>
  </si>
  <si>
    <t xml:space="preserve">2600 Temple Dr, Winter Park, FL 32789</t>
  </si>
  <si>
    <t xml:space="preserve">windermeremedicalspa.com/winter-park</t>
  </si>
  <si>
    <t xml:space="preserve">Procedure/Treatment</t>
  </si>
  <si>
    <t xml:space="preserve">Price</t>
  </si>
  <si>
    <t xml:space="preserve">Duration</t>
  </si>
  <si>
    <t xml:space="preserve">Category</t>
  </si>
  <si>
    <t xml:space="preserve">Jeuveau/Dysport</t>
  </si>
  <si>
    <t xml:space="preserve">not published</t>
  </si>
  <si>
    <t xml:space="preserve">Botox / Neuromodulators</t>
  </si>
  <si>
    <t xml:space="preserve">Restylane</t>
  </si>
  <si>
    <t xml:space="preserve">Dermal / Lip Fillers</t>
  </si>
  <si>
    <t xml:space="preserve">Sculptra</t>
  </si>
  <si>
    <t xml:space="preserve">Sculptra / Biostimulators</t>
  </si>
  <si>
    <t xml:space="preserve">Radiesse</t>
  </si>
  <si>
    <t xml:space="preserve">PRF</t>
  </si>
  <si>
    <t xml:space="preserve">PRP / PRF</t>
  </si>
  <si>
    <t xml:space="preserve">EZ Gel</t>
  </si>
  <si>
    <t xml:space="preserve">PDO Threads</t>
  </si>
  <si>
    <t xml:space="preserve">Microneedling</t>
  </si>
  <si>
    <t xml:space="preserve">RF Microneedling</t>
  </si>
  <si>
    <t xml:space="preserve">Chemical Peels</t>
  </si>
  <si>
    <t xml:space="preserve">HydraFacial</t>
  </si>
  <si>
    <t xml:space="preserve">Medical Weight Loss</t>
  </si>
  <si>
    <t xml:space="preserve">Medical Weight Loss / GLP-1</t>
  </si>
  <si>
    <t xml:space="preserve">Hormone Replacement Therapy</t>
  </si>
  <si>
    <t xml:space="preserve">Hormone Therapy</t>
  </si>
  <si>
    <t xml:space="preserve">Botox</t>
  </si>
  <si>
    <t xml:space="preserve">Custom Facials</t>
  </si>
  <si>
    <t xml:space="preserve">Dermal Fillers</t>
  </si>
  <si>
    <t xml:space="preserve">Body Contouring</t>
  </si>
  <si>
    <t xml:space="preserve">Body Contouring / CoolSculpting</t>
  </si>
  <si>
    <t xml:space="preserve">Weight-Loss Injections</t>
  </si>
  <si>
    <t xml:space="preserve">$12-$15/unit (repeated generic-range phrasing, treat as directional)</t>
  </si>
  <si>
    <t xml:space="preserve">Fillers</t>
  </si>
  <si>
    <t xml:space="preserve">$600-$1,200/syringe (repeated generic-range phrasing, treat as directional)</t>
  </si>
  <si>
    <t xml:space="preserve">Membership (preferred rate)</t>
  </si>
  <si>
    <t xml:space="preserve">$3 off/unit toxin + 15% off</t>
  </si>
  <si>
    <t xml:space="preserve">Botox (Neurotoxin)</t>
  </si>
  <si>
    <t xml:space="preserve">Petite Lip Filler (member)</t>
  </si>
  <si>
    <t xml:space="preserve">starting at $475</t>
  </si>
  <si>
    <t xml:space="preserve">Just Right Lip Filler (member)</t>
  </si>
  <si>
    <t xml:space="preserve">$765</t>
  </si>
  <si>
    <t xml:space="preserve">Kybella</t>
  </si>
  <si>
    <t xml:space="preserve">Massages</t>
  </si>
  <si>
    <t xml:space="preserve">Laser Hair Removal</t>
  </si>
  <si>
    <t xml:space="preserve">Weight Control</t>
  </si>
  <si>
    <t xml:space="preserve">IV Therapy</t>
  </si>
  <si>
    <t xml:space="preserve">$800/vial</t>
  </si>
  <si>
    <t xml:space="preserve">Semaglutide Weight Loss (4-week plan)</t>
  </si>
  <si>
    <t xml:space="preserve">from $1,000</t>
  </si>
  <si>
    <t xml:space="preserve">$600-$1,200/syringe (repeated generic-range phrasing, treat as directional); also cited starting at $550/syringe</t>
  </si>
  <si>
    <t xml:space="preserve">Lip Filler</t>
  </si>
  <si>
    <t xml:space="preserve">Laser Treatments</t>
  </si>
  <si>
    <t xml:space="preserve">Body Contouring Membership</t>
  </si>
  <si>
    <t xml:space="preserve">$99/mo</t>
  </si>
  <si>
    <t xml:space="preserve">IPL Photorejuvenation</t>
  </si>
  <si>
    <t xml:space="preserve">IPL / Photofacial</t>
  </si>
  <si>
    <t xml:space="preserve">Botox / Dysport</t>
  </si>
  <si>
    <t xml:space="preserve">$250 and up</t>
  </si>
  <si>
    <t xml:space="preserve">Hyaluronic Acid Filler</t>
  </si>
  <si>
    <t xml:space="preserve">$695 and up</t>
  </si>
  <si>
    <t xml:space="preserve">$475 and up</t>
  </si>
  <si>
    <t xml:space="preserve">$800 and up</t>
  </si>
  <si>
    <t xml:space="preserve">Medical Grade Chemical Peel (VI Peel)</t>
  </si>
  <si>
    <t xml:space="preserve">$375 and up</t>
  </si>
  <si>
    <t xml:space="preserve">PRP Hair Restoration</t>
  </si>
  <si>
    <t xml:space="preserve">Injectables</t>
  </si>
  <si>
    <t xml:space="preserve">Dermaplaning</t>
  </si>
  <si>
    <t xml:space="preserve">Microdermabrasion</t>
  </si>
  <si>
    <t xml:space="preserve">Body Sculpting</t>
  </si>
  <si>
    <t xml:space="preserve">IV Hydration</t>
  </si>
  <si>
    <t xml:space="preserve">Vitamin Shots</t>
  </si>
  <si>
    <t xml:space="preserve">Membership</t>
  </si>
  <si>
    <t xml:space="preserve">starting at $50/mo</t>
  </si>
  <si>
    <t xml:space="preserve">IPL</t>
  </si>
  <si>
    <t xml:space="preserve">PRP</t>
  </si>
  <si>
    <t xml:space="preserve">Body/Facial Aesthetic Medicine</t>
  </si>
  <si>
    <t xml:space="preserve">Stretch Mark Camouflage</t>
  </si>
  <si>
    <t xml:space="preserve">Skin Resurfacing</t>
  </si>
  <si>
    <t xml:space="preserve">Scar Treatment</t>
  </si>
  <si>
    <t xml:space="preserve">Cellulite Reduction</t>
  </si>
  <si>
    <t xml:space="preserve">$10-15/unit; full forehead+crow's feet treatment $300-$600</t>
  </si>
  <si>
    <t xml:space="preserve">$800-$1,000/vial</t>
  </si>
  <si>
    <t xml:space="preserve">Liquid Lipo</t>
  </si>
  <si>
    <t xml:space="preserve">FUE Hair Transplant</t>
  </si>
  <si>
    <t xml:space="preserve">$7,350/procedure or $3.70/graft</t>
  </si>
  <si>
    <t xml:space="preserve">$500/session</t>
  </si>
  <si>
    <t xml:space="preserve">BBL</t>
  </si>
  <si>
    <t xml:space="preserve">SkinTyte</t>
  </si>
  <si>
    <t xml:space="preserve">Botox (crow's feet, per side)</t>
  </si>
  <si>
    <t xml:space="preserve">$100-$200/side</t>
  </si>
  <si>
    <t xml:space="preserve">Botox (membership, up to 20% off repeat visits)</t>
  </si>
  <si>
    <t xml:space="preserve">Morpheus8</t>
  </si>
  <si>
    <t xml:space="preserve">Skin Tightening (Morpheus8/RF)</t>
  </si>
  <si>
    <t xml:space="preserve">Xeomin/SmartTox (promo, first 100 clients)</t>
  </si>
  <si>
    <t xml:space="preserve">$7.99/unit</t>
  </si>
  <si>
    <t xml:space="preserve">Filler Syringe (promo)</t>
  </si>
  <si>
    <t xml:space="preserve">$549 (reg. $850/syringe)</t>
  </si>
  <si>
    <t xml:space="preserve">Tattoo Removal</t>
  </si>
  <si>
    <t xml:space="preserve">Medical Spa Services (general)</t>
  </si>
  <si>
    <t xml:space="preserve">Massages/Facials (day-spa menu)</t>
  </si>
  <si>
    <t xml:space="preserve">$10/unit</t>
  </si>
  <si>
    <t xml:space="preserve">Deep Facials</t>
  </si>
  <si>
    <t xml:space="preserve">HydroFacials</t>
  </si>
  <si>
    <t xml:space="preserve">Fibroblast Therapy</t>
  </si>
  <si>
    <t xml:space="preserve">Shockwave Therapy</t>
  </si>
  <si>
    <t xml:space="preserve">RF Therapy</t>
  </si>
  <si>
    <t xml:space="preserve">Mesotherapy</t>
  </si>
  <si>
    <t xml:space="preserve">Wood Therapy</t>
  </si>
  <si>
    <t xml:space="preserve">Medical Weight Loss Program (10-12 weeks)</t>
  </si>
  <si>
    <t xml:space="preserve">starting at $450</t>
  </si>
  <si>
    <t xml:space="preserve">NAD+ Therapy</t>
  </si>
  <si>
    <t xml:space="preserve">Laser Skin Tightening</t>
  </si>
  <si>
    <t xml:space="preserve">Skin Tightening (Morpheus8/RF); IPL / Photofacial</t>
  </si>
  <si>
    <t xml:space="preserve">Facial Treatments</t>
  </si>
  <si>
    <t xml:space="preserve">Laser Treatments (redness/pigmentation)</t>
  </si>
  <si>
    <t xml:space="preserve">Neurotoxins (Botox/Dysport)</t>
  </si>
  <si>
    <t xml:space="preserve">not published (event-only promo specials seen)</t>
  </si>
  <si>
    <t xml:space="preserve">Aerolase Laser</t>
  </si>
  <si>
    <t xml:space="preserve">~$699 (per one customer review, no first-time discount, unit count unclear)</t>
  </si>
  <si>
    <t xml:space="preserve">Chemical Peel</t>
  </si>
  <si>
    <t xml:space="preserve">not published (promo: free with Botox, $200 value)</t>
  </si>
  <si>
    <t xml:space="preserve">Sofwave Full Face (bridal bootcamp package, 6 sessions)</t>
  </si>
  <si>
    <t xml:space="preserve">$2,800+</t>
  </si>
  <si>
    <t xml:space="preserve">Lip Filler (1/2 syringe)</t>
  </si>
  <si>
    <t xml:space="preserve">$600+ (90+ min)</t>
  </si>
  <si>
    <t xml:space="preserve">Lip Hydration</t>
  </si>
  <si>
    <t xml:space="preserve">Botox/Xeomin/Jeuveau/Dysport</t>
  </si>
  <si>
    <t xml:space="preserve">Restylane/Juvederm Fillers</t>
  </si>
  <si>
    <t xml:space="preserve">Medical Weight Loss (GLP-1/GIP)</t>
  </si>
  <si>
    <t xml:space="preserve">BBL (Forever Young/Hero)</t>
  </si>
  <si>
    <t xml:space="preserve">Hair Restoration</t>
  </si>
  <si>
    <t xml:space="preserve">Facials (promo)</t>
  </si>
  <si>
    <t xml:space="preserve">$149 special</t>
  </si>
  <si>
    <t xml:space="preserve">Laser/Light Therapy</t>
  </si>
  <si>
    <t xml:space="preserve">Membership - Renew</t>
  </si>
  <si>
    <t xml:space="preserve">$299/mo (+$50 start-up fee)</t>
  </si>
  <si>
    <t xml:space="preserve">Membership - higher tier</t>
  </si>
  <si>
    <t xml:space="preserve">$399/mo (+$50 start-up fee)</t>
  </si>
  <si>
    <t xml:space="preserve">Package - 3 month commitment</t>
  </si>
  <si>
    <t xml:space="preserve">$500</t>
  </si>
  <si>
    <t xml:space="preserve">Package - 6 month commitment</t>
  </si>
  <si>
    <t xml:space="preserve">$480</t>
  </si>
  <si>
    <t xml:space="preserve">Traditional Facial (new client promo)</t>
  </si>
  <si>
    <t xml:space="preserve">$99</t>
  </si>
  <si>
    <t xml:space="preserve">Forehead Lines (Botox)</t>
  </si>
  <si>
    <t xml:space="preserve">Glabella/11s (Botox)</t>
  </si>
  <si>
    <t xml:space="preserve">Crows Feet (Botox)</t>
  </si>
  <si>
    <t xml:space="preserve">Eyebrow Lift (Botox)</t>
  </si>
  <si>
    <t xml:space="preserve">Bunny Lines (Botox)</t>
  </si>
  <si>
    <t xml:space="preserve">Nose Tip Lift (Botox)</t>
  </si>
  <si>
    <t xml:space="preserve">Nasal Flare Reduction (Botox)</t>
  </si>
  <si>
    <t xml:space="preserve">Lip Flip (Botox)</t>
  </si>
  <si>
    <t xml:space="preserve">Botox / Neuromodulators; Dermal / Lip Fillers</t>
  </si>
  <si>
    <t xml:space="preserve">Gummy Smile Correction (Botox)</t>
  </si>
  <si>
    <t xml:space="preserve">Chin Dimpling (Botox)</t>
  </si>
  <si>
    <t xml:space="preserve">Downturned Mouth Corners (Botox)</t>
  </si>
  <si>
    <t xml:space="preserve">Masseter Slimming/TMJ (Botox)</t>
  </si>
  <si>
    <t xml:space="preserve">Nefertiti Jawline Lift (Botox)</t>
  </si>
  <si>
    <t xml:space="preserve">Platysmal/Neck Bands (Botox)</t>
  </si>
  <si>
    <t xml:space="preserve">Underarm Sweat Reduction (Botox)</t>
  </si>
  <si>
    <t xml:space="preserve">Signature Lip Enhancement (Filler)</t>
  </si>
  <si>
    <t xml:space="preserve">Perioral Lines (Filler)</t>
  </si>
  <si>
    <t xml:space="preserve">Cheek Enhancement &amp; Contour (Filler)</t>
  </si>
  <si>
    <t xml:space="preserve">Monthly Membership Tier 1</t>
  </si>
  <si>
    <t xml:space="preserve">$149/mo</t>
  </si>
  <si>
    <t xml:space="preserve">Monthly Membership Tier 2</t>
  </si>
  <si>
    <t xml:space="preserve">$249/mo</t>
  </si>
  <si>
    <t xml:space="preserve">Monthly Membership Tier 3</t>
  </si>
  <si>
    <t xml:space="preserve">$349/mo</t>
  </si>
  <si>
    <t xml:space="preserve">Laser Hair Removal (6 sessions)</t>
  </si>
  <si>
    <t xml:space="preserve">from $250</t>
  </si>
  <si>
    <t xml:space="preserve">Non-Surgical Trilift Facelift (RF)</t>
  </si>
  <si>
    <t xml:space="preserve">$2,400 (promo $1,440)</t>
  </si>
  <si>
    <t xml:space="preserve">RF Lifting Sessions</t>
  </si>
  <si>
    <t xml:space="preserve">$229 (reg $275)</t>
  </si>
  <si>
    <t xml:space="preserve">Facials</t>
  </si>
  <si>
    <t xml:space="preserve">RF Skin Tightening</t>
  </si>
  <si>
    <t xml:space="preserve">Pain Management</t>
  </si>
  <si>
    <t xml:space="preserve">Nonsurgical Body Sculpting</t>
  </si>
  <si>
    <t xml:space="preserve">Skincare/Facials</t>
  </si>
  <si>
    <t xml:space="preserve">Dysport Injections</t>
  </si>
  <si>
    <t xml:space="preserve">Custom Facials/HydraFacial</t>
  </si>
  <si>
    <t xml:space="preserve">Body Treatments</t>
  </si>
  <si>
    <t xml:space="preserve">Low-Level Laser Therapy</t>
  </si>
  <si>
    <t xml:space="preserve">$220-$440/session (third-party aggregator estimate)</t>
  </si>
  <si>
    <t xml:space="preserve">MCH Facial</t>
  </si>
  <si>
    <t xml:space="preserve">$50</t>
  </si>
  <si>
    <t xml:space="preserve">ZO Facial</t>
  </si>
  <si>
    <t xml:space="preserve">$25</t>
  </si>
  <si>
    <t xml:space="preserve">Lash + Brow services</t>
  </si>
  <si>
    <t xml:space="preserve">Injection Therapy (Botox/filler)</t>
  </si>
  <si>
    <t xml:space="preserve">up to 34% off promo pricing</t>
  </si>
  <si>
    <t xml:space="preserve">Dermal Fillers (1 syringe)</t>
  </si>
  <si>
    <t xml:space="preserve">$549</t>
  </si>
  <si>
    <t xml:space="preserve">Dermal Fillers (multi-syringe promo)</t>
  </si>
  <si>
    <t xml:space="preserve">$499/syringe</t>
  </si>
  <si>
    <t xml:space="preserve">Derive Hair Restoration</t>
  </si>
  <si>
    <t xml:space="preserve">Botox/Neuromodulator</t>
  </si>
  <si>
    <t xml:space="preserve">Botox/Tox (member pricing)</t>
  </si>
  <si>
    <t xml:space="preserve">Botox (new client promo)</t>
  </si>
  <si>
    <t xml:space="preserve">$8.99/unit</t>
  </si>
  <si>
    <t xml:space="preserve">$880-$1,650/session (third-party aggregator estimate)</t>
  </si>
  <si>
    <t xml:space="preserve">Skin Rejuvenation Treatments</t>
  </si>
  <si>
    <t xml:space="preserve">Filler</t>
  </si>
  <si>
    <t xml:space="preserve">Plexr Plasma (Non-Surgical Blepharoplasty)</t>
  </si>
  <si>
    <t xml:space="preserve">CryoSkin Slimming Therapy</t>
  </si>
  <si>
    <t xml:space="preserve">Spa/Facial Services</t>
  </si>
  <si>
    <t xml:space="preserve">Botox (special promo)</t>
  </si>
  <si>
    <t xml:space="preserve">$9.99/unit (reg $17/unit); also seen 100 units for $999 promo</t>
  </si>
  <si>
    <t xml:space="preserve">PRP Facial</t>
  </si>
  <si>
    <t xml:space="preserve">Microdermabrasion Facial</t>
  </si>
  <si>
    <t xml:space="preserve">Wrinkle Relaxer Package (promo)</t>
  </si>
  <si>
    <t xml:space="preserve">$500 off</t>
  </si>
  <si>
    <t xml:space="preserve">ClubVIO Membership</t>
  </si>
  <si>
    <t xml:space="preserve">member pricing on injectables/facials/laser</t>
  </si>
  <si>
    <t xml:space="preserve">Skin Treatments</t>
  </si>
  <si>
    <t xml:space="preserve">Botox/Dysport (intro rate, new clients/members)</t>
  </si>
  <si>
    <t xml:space="preserve">$7.97/unit</t>
  </si>
  <si>
    <t xml:space="preserve">Membership - enlighTEN</t>
  </si>
  <si>
    <t xml:space="preserve">Sign-up fee $39</t>
  </si>
  <si>
    <t xml:space="preserve">Membership - empower</t>
  </si>
  <si>
    <t xml:space="preserve">No sign-up fee, Annual fee $199</t>
  </si>
  <si>
    <t xml:space="preserve">Laser Hair Removal (membership incl.)</t>
  </si>
  <si>
    <t xml:space="preserve">industry avg $500/treatment (competitor comparison)</t>
  </si>
  <si>
    <t xml:space="preserve">SkinPen Microneedling</t>
  </si>
  <si>
    <t xml:space="preserve">Custom Facials (Ice and Fire Facial)</t>
  </si>
  <si>
    <t xml:space="preserve">$45-$1,000 (range)</t>
  </si>
  <si>
    <t xml:space="preserve">Anniversary Injectable Package (promo)</t>
  </si>
  <si>
    <t xml:space="preserve">starts at $2,750 ($3,600+ value)</t>
  </si>
  <si>
    <t xml:space="preserve">Injectables (Botox/Fillers/PRP)</t>
  </si>
  <si>
    <t xml:space="preserve">Botox / Neuromodulators; Dermal / Lip Fillers; PRP / PRF</t>
  </si>
  <si>
    <t xml:space="preserve">Dysport (special)</t>
  </si>
  <si>
    <t xml:space="preserve">$3/unit</t>
  </si>
  <si>
    <t xml:space="preserve">Daxxify (special)</t>
  </si>
  <si>
    <t xml:space="preserve">$5/spot</t>
  </si>
  <si>
    <t xml:space="preserve">Injectables (general)</t>
  </si>
  <si>
    <t xml:space="preserve">pricing varies by area/product; membership savings available</t>
  </si>
  <si>
    <t xml:space="preserve">Botox/Tox (special promo)</t>
  </si>
  <si>
    <t xml:space="preserve">Botox (20/30/40 units, Groupon)</t>
  </si>
  <si>
    <t xml:space="preserve">from $188.10</t>
  </si>
  <si>
    <t xml:space="preserve">Thanksgiving Promo (regular pricing)</t>
  </si>
  <si>
    <t xml:space="preserve">15% off</t>
  </si>
  <si>
    <t xml:space="preserve">Laser Hair Removal (6 sessions, Groupon)</t>
  </si>
  <si>
    <t xml:space="preserve">from $98.10</t>
  </si>
  <si>
    <t xml:space="preserve">Botox (promo)</t>
  </si>
  <si>
    <t xml:space="preserve">$11/unit</t>
  </si>
  <si>
    <t xml:space="preserve">Xeomin (promo)</t>
  </si>
  <si>
    <t xml:space="preserve">$9/unit</t>
  </si>
  <si>
    <t xml:space="preserve">GLOW Vials (promo)</t>
  </si>
  <si>
    <t xml:space="preserve">$175</t>
  </si>
  <si>
    <t xml:space="preserve">VIP Glow Society Membership</t>
  </si>
  <si>
    <t xml:space="preserve">$75 registration (currently waived promo)</t>
  </si>
  <si>
    <t xml:space="preserve">PRP Facials</t>
  </si>
  <si>
    <t xml:space="preserve">Promotional Pricing (site-wide)</t>
  </si>
  <si>
    <t xml:space="preserve">15% savings featured on select packages</t>
  </si>
  <si>
    <t xml:space="preserve">Cosmetic Surgery Consultations</t>
  </si>
  <si>
    <t xml:space="preserve">Vitamin Injections (buy 4)</t>
  </si>
  <si>
    <t xml:space="preserve">20% off promo</t>
  </si>
  <si>
    <t xml:space="preserve">Ultrasound Cellulite Reduction</t>
  </si>
  <si>
    <t xml:space="preserve">price varies by sessions/area</t>
  </si>
  <si>
    <t xml:space="preserve">Weight Loss</t>
  </si>
  <si>
    <t xml:space="preserve">Facelifts (non-surgical)</t>
  </si>
  <si>
    <t xml:space="preserve">Post-Surgical Lymphatic Drainage</t>
  </si>
  <si>
    <t xml:space="preserve">Body Contouring/Reductive Treatments</t>
  </si>
  <si>
    <t xml:space="preserve">Body Molding Treatments</t>
  </si>
  <si>
    <t xml:space="preserve">Body Lifting Treatments</t>
  </si>
  <si>
    <t xml:space="preserve">Laser Treatments (SEV Laser)</t>
  </si>
  <si>
    <t xml:space="preserve">Ultra Benefits Eye Gel</t>
  </si>
  <si>
    <t xml:space="preserve">$63</t>
  </si>
  <si>
    <t xml:space="preserve">Botox + DiamondGlow (combo promo)</t>
  </si>
  <si>
    <t xml:space="preserve">save up to $100</t>
  </si>
  <si>
    <t xml:space="preserve">Vitalia</t>
  </si>
  <si>
    <t xml:space="preserve">Juvederm</t>
  </si>
  <si>
    <t xml:space="preserve">Dermal Filler (promo)</t>
  </si>
  <si>
    <t xml:space="preserve">$75 off 1 syringe or bundle promo up to $500 off</t>
  </si>
  <si>
    <t xml:space="preserve">Membership (preferred pricing tiers)</t>
  </si>
  <si>
    <t xml:space="preserve">Botox/Xeomin</t>
  </si>
  <si>
    <t xml:space="preserve">Botox (event pricing)</t>
  </si>
  <si>
    <t xml:space="preserve">$8.50/unit</t>
  </si>
  <si>
    <t xml:space="preserve">Non-Surgical Facial Treatments</t>
  </si>
  <si>
    <t xml:space="preserve">Skincare Treatments</t>
  </si>
  <si>
    <t xml:space="preserve">Dysport (event/promo)</t>
  </si>
  <si>
    <t xml:space="preserve">Other Neuromodulators (event pricing)</t>
  </si>
  <si>
    <t xml:space="preserve">varies by event promo</t>
  </si>
  <si>
    <t xml:space="preserve">Xeomin</t>
  </si>
  <si>
    <t xml:space="preserve">Jeuveau</t>
  </si>
  <si>
    <t xml:space="preserve">miraDry</t>
  </si>
  <si>
    <t xml:space="preserve">Collagen Edit Treatment</t>
  </si>
  <si>
    <t xml:space="preserve">regular price $525 (promo discounted)</t>
  </si>
  <si>
    <t xml:space="preserve">Spa Membership (monthly facials, LED, Somadome)</t>
  </si>
  <si>
    <t xml:space="preserve">Botox (member pricing)</t>
  </si>
  <si>
    <t xml:space="preserve">$12/unit</t>
  </si>
  <si>
    <t xml:space="preserve">Dermal Filler Package (3+ syringes)</t>
  </si>
  <si>
    <t xml:space="preserve">$1,500</t>
  </si>
  <si>
    <t xml:space="preserve">DAXXIFY</t>
  </si>
  <si>
    <t xml:space="preserve">$9.99/unit</t>
  </si>
  <si>
    <t xml:space="preserve">from $350</t>
  </si>
  <si>
    <t xml:space="preserve">$599-$725</t>
  </si>
  <si>
    <t xml:space="preserve">IV Therapy (signature drips)</t>
  </si>
  <si>
    <t xml:space="preserve">from $149</t>
  </si>
  <si>
    <t xml:space="preserve">Skinvive (skin booster)</t>
  </si>
  <si>
    <t xml:space="preserve">from $365</t>
  </si>
  <si>
    <t xml:space="preserve">PRX Treatment (no-peel peel)</t>
  </si>
  <si>
    <t xml:space="preserve">$300/session or $1,000 4-pack</t>
  </si>
  <si>
    <t xml:space="preserve">Baby Lips (lip filler)</t>
  </si>
  <si>
    <t xml:space="preserve">$349</t>
  </si>
  <si>
    <t xml:space="preserve">Digital Skin Analysis</t>
  </si>
  <si>
    <t xml:space="preserve">InBody Composition Analysis</t>
  </si>
  <si>
    <t xml:space="preserve">Acne Scar/Texture/Fine Line Treatments</t>
  </si>
  <si>
    <t xml:space="preserve">Collagen Stimulation Treatments</t>
  </si>
  <si>
    <t xml:space="preserve">Soothing Facial</t>
  </si>
  <si>
    <t xml:space="preserve">$100</t>
  </si>
  <si>
    <t xml:space="preserve">Age Defying Facial</t>
  </si>
  <si>
    <t xml:space="preserve">Antioxidant Force Field Facial</t>
  </si>
  <si>
    <t xml:space="preserve">$115</t>
  </si>
  <si>
    <t xml:space="preserve">Acne Express Facial</t>
  </si>
  <si>
    <t xml:space="preserve">Custom Obagi Facial</t>
  </si>
  <si>
    <t xml:space="preserve">Blue Peel Radiance Facial</t>
  </si>
  <si>
    <t xml:space="preserve">$225</t>
  </si>
  <si>
    <t xml:space="preserve">Medical Spa Treatments (general)</t>
  </si>
  <si>
    <t xml:space="preserve">not published (site indicates $$$ price tier)</t>
  </si>
  <si>
    <t xml:space="preserve">Daxxify</t>
  </si>
  <si>
    <t xml:space="preserve">Neuromodulators (general)</t>
  </si>
  <si>
    <t xml:space="preserve">NovaGen Rejuvenation Package</t>
  </si>
  <si>
    <t xml:space="preserve">$7,999 ($9,550 value)</t>
  </si>
  <si>
    <t xml:space="preserve">Novagen Vault Membership</t>
  </si>
  <si>
    <t xml:space="preserve">$99/mo credit</t>
  </si>
  <si>
    <t xml:space="preserve">Injectables/Laser Treatments (general)</t>
  </si>
  <si>
    <t xml:space="preserve">GLP-1 Weight Loss Treatment</t>
  </si>
  <si>
    <t xml:space="preserve">Dermal/Lip Fillers</t>
  </si>
  <si>
    <t xml:space="preserve">Skin Peels</t>
  </si>
  <si>
    <t xml:space="preserve">Signature HydraFacial + LED Light Therapy + Dermaplaning (promo)</t>
  </si>
  <si>
    <t xml:space="preserve">$149 ($100 off)</t>
  </si>
  <si>
    <t xml:space="preserve">Medspa Injectables (general)</t>
  </si>
  <si>
    <t xml:space="preserve">Orlando Med Spa Market — Dashboard</t>
  </si>
  <si>
    <t xml:space="preserve">Metric</t>
  </si>
  <si>
    <t xml:space="preserve">Value</t>
  </si>
  <si>
    <t xml:space="preserve">Total Clinics Tracked</t>
  </si>
  <si>
    <t xml:space="preserve">Clinics with Pricing on File (Yes or Partial)</t>
  </si>
  <si>
    <t xml:space="preserve">Clinics with No Pricing on File</t>
  </si>
  <si>
    <t xml:space="preserve">Total Procedure/Treatment Line Items</t>
  </si>
  <si>
    <t xml:space="preserve">Procedure Category</t>
  </si>
  <si>
    <t xml:space="preserve"># Clinics Offering (of tracked)</t>
  </si>
  <si>
    <t xml:space="preserve">ORLANDO MED SPA MARKET RESEARCH — NOTES</t>
  </si>
  <si>
    <t xml:space="preserve">METHODOLOGY</t>
  </si>
  <si>
    <t xml:space="preserve">Google Maps sweep: 15 neighborhood/suburb-scoped searches across the Orlando metro (Downtown</t>
  </si>
  <si>
    <t xml:space="preserve">Orlando, Winter Park, Dr. Phillips, Windermere, Winter Garden, Ocoee, Altamonte Springs, Oviedo,</t>
  </si>
  <si>
    <t xml:space="preserve">Winter Springs, Kissimmee, Celebration, Lake Mary, Sanford, Longwood, and surrounding areas), run</t>
  </si>
  <si>
    <t xml:space="preserve">3-at-a-time across parallel browser tabs, since a single citywide 'med spa Orlando FL' search caps</t>
  </si>
  <si>
    <t xml:space="preserve">at 6 visible results in this environment (same limitation hit in every prior city in this project).</t>
  </si>
  <si>
    <t xml:space="preserve">Address extraction via a per-card JS parser scoped to each div.Nv2PK result card.</t>
  </si>
  <si>
    <t xml:space="preserve">75 raw candidates collected across the 15-neighborhood sweep.</t>
  </si>
  <si>
    <t xml:space="preserve">Procedures/pricing research pass for this city was run partly via WebSearch and partly via Chrome</t>
  </si>
  <si>
    <t xml:space="preserve">browser tools (navigating to Google search results pages and extracting rendered text), after</t>
  </si>
  <si>
    <t xml:space="preserve">WebSearch hit its weekly rate limit mid-pass; research resumed via Chrome tools per instruction,</t>
  </si>
  <si>
    <t xml:space="preserve">then switched back to WebSearch once its weekly limit reset. Mid-pass, the Chrome-tools Google</t>
  </si>
  <si>
    <t xml:space="preserve">search path itself triggered an anti-bot 'unusual traffic' CAPTCHA after sustained parallel query</t>
  </si>
  <si>
    <t xml:space="preserve">volume — per standing policy, this was not bypassed; research for the remaining clinics was</t>
  </si>
  <si>
    <t xml:space="preserve">completed via WebSearch instead.</t>
  </si>
  <si>
    <t xml:space="preserve">EXCLUDED (non-medspa: no injectables/laser/medical treatments)</t>
  </si>
  <si>
    <t xml:space="preserve">Orlando Beauty Studio - SPA &amp; Face Treatments, Windermere Med Spa &amp; Salon, Indigo Spa &amp; Wellness</t>
  </si>
  <si>
    <t xml:space="preserve">Center, and Lisi Beauty Atelier (permanent makeup / cosmetic tattoo studio — brow/lash, PMU, scar</t>
  </si>
  <si>
    <t xml:space="preserve">camouflage only, no injectables or laser). Excluded from the confirmed count (71 of 75 candidates).</t>
  </si>
  <si>
    <t xml:space="preserve">MULTI-LOCATION CHAINS KEPT AS SEPARATE ROWS (distinct addresses)</t>
  </si>
  <si>
    <t xml:space="preserve">Couture Med Spa (Winter Park, Oviedo, Kissimmee, Lake Mary — 4 locations), VIO Med Spa (SoDo,</t>
  </si>
  <si>
    <t xml:space="preserve">Oviedo — 2 locations), Windermere Medical Spa &amp; Laser Institute (Windermere/Taborfield Ave, Winter</t>
  </si>
  <si>
    <t xml:space="preserve">Park/Temple Dr — 2 locations), Nectar Aesthetics Med Spa (Downtown Orlando, Sanford — 2 locations).</t>
  </si>
  <si>
    <t xml:space="preserve">DATA QUALITY</t>
  </si>
  <si>
    <t xml:space="preserve">Boilerplate-pricing contamination pattern (identical '$12-$15/unit Botox' / '$600-$1,200/syringe</t>
  </si>
  <si>
    <t xml:space="preserve">filler' phrasing repeated verbatim across unrelated clinics, first seen in Atlanta and Miami) was</t>
  </si>
  <si>
    <t xml:space="preserve">again found in this city: VIO Med Spa SoDo, 180 MedSpa, and Windermere Medical Spa &amp; Laser</t>
  </si>
  <si>
    <t xml:space="preserve">Institute - Winter Park all carry this exact phrasing — treated as generic third-party estimates,</t>
  </si>
  <si>
    <t xml:space="preserve">not clinic-specific data, and marked 'Partial' rather than 'Yes'.</t>
  </si>
  <si>
    <t xml:space="preserve">Strongest genuine pricing anchors found: Reviv Beauty Med Spa Sanford (full published price list —</t>
  </si>
  <si>
    <t xml:space="preserve">Botox $9.99/unit, lip filler from $350, Juvederm $599-$725, weight loss $99/mo, IV therapy from</t>
  </si>
  <si>
    <t xml:space="preserve">$149), Polished Beauty Medspa Winter Park (Botox $250+, filler $695+, Sculptra $800+), Vamped</t>
  </si>
  <si>
    <t xml:space="preserve">Aesthetics Dr. Phillips (Botox $10-15/unit, Sculptra $800-1,000/vial), Absolute Face &amp; Body Medspa</t>
  </si>
  <si>
    <t xml:space="preserve">and Homa Rejuvenation Center (aggressive promo Botox pricing under $10/unit), and several Couture</t>
  </si>
  <si>
    <t xml:space="preserve">Med Spa / Trandi Med Spa / Vita Medspa Oviedo-area locations converging on a competitive</t>
  </si>
  <si>
    <t xml:space="preserve">$7-8/unit introductory Botox rate.</t>
  </si>
  <si>
    <t xml:space="preserve">Procedure/treatment line items logged across all confirmed clinics; category counts computed live</t>
  </si>
  <si>
    <t xml:space="preserve">via Dashboard formulas.</t>
  </si>
  <si>
    <t xml:space="preserve">NEXT STEPS</t>
  </si>
  <si>
    <t xml:space="preserve">Dashboard tab built with live COUNTA/SUMPRODUCT/COUNTIFS formulas (same structure as Charlotte/</t>
  </si>
  <si>
    <t xml:space="preserve">Atlanta/Miami/West Palm Beach). Google Trends research and the HTML market report are the next</t>
  </si>
  <si>
    <t xml:space="preserve">phases.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</si>
</sst>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6" min="5" style="0" width="3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40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n">
        <v>13</v>
      </c>
    </row>
    <row r="3" customFormat="false" ht="15" hidden="false" customHeight="false" outlineLevel="0" collapsed="false">
      <c r="A3" s="0" t="n">
        <v>2</v>
      </c>
      <c r="B3" s="0" t="s">
        <v>15</v>
      </c>
      <c r="C3" s="0" t="s">
        <v>10</v>
      </c>
      <c r="D3" s="0" t="s">
        <v>16</v>
      </c>
      <c r="E3" s="0" t="s">
        <v>17</v>
      </c>
      <c r="F3" s="0" t="s">
        <v>13</v>
      </c>
      <c r="G3" s="0" t="s">
        <v>14</v>
      </c>
      <c r="H3" s="0" t="n">
        <v>5</v>
      </c>
    </row>
    <row r="4" customFormat="false" ht="15" hidden="false" customHeight="false" outlineLevel="0" collapsed="false">
      <c r="A4" s="0" t="n">
        <v>3</v>
      </c>
      <c r="B4" s="0" t="s">
        <v>18</v>
      </c>
      <c r="C4" s="0" t="s">
        <v>10</v>
      </c>
      <c r="D4" s="0" t="s">
        <v>19</v>
      </c>
      <c r="E4" s="0" t="s">
        <v>20</v>
      </c>
      <c r="F4" s="0" t="s">
        <v>21</v>
      </c>
      <c r="G4" s="0" t="s">
        <v>22</v>
      </c>
      <c r="H4" s="0" t="n">
        <v>3</v>
      </c>
    </row>
    <row r="5" customFormat="false" ht="15" hidden="false" customHeight="false" outlineLevel="0" collapsed="false">
      <c r="A5" s="0" t="n">
        <v>4</v>
      </c>
      <c r="B5" s="0" t="s">
        <v>23</v>
      </c>
      <c r="C5" s="0" t="s">
        <v>10</v>
      </c>
      <c r="D5" s="0" t="s">
        <v>24</v>
      </c>
      <c r="E5" s="0" t="s">
        <v>25</v>
      </c>
      <c r="F5" s="0" t="s">
        <v>13</v>
      </c>
      <c r="G5" s="0" t="s">
        <v>14</v>
      </c>
      <c r="H5" s="0" t="n">
        <v>3</v>
      </c>
    </row>
    <row r="6" customFormat="false" ht="15" hidden="false" customHeight="false" outlineLevel="0" collapsed="false">
      <c r="A6" s="0" t="n">
        <v>5</v>
      </c>
      <c r="B6" s="0" t="s">
        <v>26</v>
      </c>
      <c r="C6" s="0" t="s">
        <v>10</v>
      </c>
      <c r="D6" s="0" t="s">
        <v>27</v>
      </c>
      <c r="E6" s="0" t="s">
        <v>28</v>
      </c>
      <c r="F6" s="0" t="s">
        <v>21</v>
      </c>
      <c r="G6" s="0" t="s">
        <v>29</v>
      </c>
      <c r="H6" s="0" t="n">
        <v>6</v>
      </c>
    </row>
    <row r="7" customFormat="false" ht="15" hidden="false" customHeight="false" outlineLevel="0" collapsed="false">
      <c r="A7" s="0" t="n">
        <v>6</v>
      </c>
      <c r="B7" s="0" t="s">
        <v>30</v>
      </c>
      <c r="C7" s="0" t="s">
        <v>10</v>
      </c>
      <c r="D7" s="0" t="s">
        <v>31</v>
      </c>
      <c r="E7" s="0" t="s">
        <v>32</v>
      </c>
      <c r="F7" s="0" t="s">
        <v>33</v>
      </c>
      <c r="G7" s="0" t="s">
        <v>14</v>
      </c>
      <c r="H7" s="0" t="n">
        <v>7</v>
      </c>
    </row>
    <row r="8" customFormat="false" ht="15" hidden="false" customHeight="false" outlineLevel="0" collapsed="false">
      <c r="A8" s="0" t="n">
        <v>7</v>
      </c>
      <c r="B8" s="0" t="s">
        <v>34</v>
      </c>
      <c r="C8" s="0" t="s">
        <v>35</v>
      </c>
      <c r="D8" s="0" t="s">
        <v>36</v>
      </c>
      <c r="E8" s="0" t="s">
        <v>37</v>
      </c>
      <c r="F8" s="0" t="s">
        <v>13</v>
      </c>
      <c r="G8" s="0" t="s">
        <v>29</v>
      </c>
      <c r="H8" s="0" t="n">
        <v>7</v>
      </c>
    </row>
    <row r="9" customFormat="false" ht="15" hidden="false" customHeight="false" outlineLevel="0" collapsed="false">
      <c r="A9" s="0" t="n">
        <v>8</v>
      </c>
      <c r="B9" s="0" t="s">
        <v>38</v>
      </c>
      <c r="C9" s="0" t="s">
        <v>35</v>
      </c>
      <c r="D9" s="0" t="s">
        <v>39</v>
      </c>
      <c r="E9" s="0" t="s">
        <v>40</v>
      </c>
      <c r="F9" s="0" t="s">
        <v>13</v>
      </c>
      <c r="G9" s="0" t="s">
        <v>22</v>
      </c>
      <c r="H9" s="0" t="n">
        <v>5</v>
      </c>
    </row>
    <row r="10" customFormat="false" ht="15" hidden="false" customHeight="false" outlineLevel="0" collapsed="false">
      <c r="A10" s="0" t="n">
        <v>9</v>
      </c>
      <c r="B10" s="0" t="s">
        <v>41</v>
      </c>
      <c r="C10" s="0" t="s">
        <v>35</v>
      </c>
      <c r="D10" s="0" t="s">
        <v>42</v>
      </c>
      <c r="E10" s="0" t="s">
        <v>43</v>
      </c>
      <c r="F10" s="0" t="s">
        <v>13</v>
      </c>
      <c r="G10" s="0" t="s">
        <v>14</v>
      </c>
      <c r="H10" s="0" t="n">
        <v>3</v>
      </c>
    </row>
    <row r="11" customFormat="false" ht="15" hidden="false" customHeight="false" outlineLevel="0" collapsed="false">
      <c r="A11" s="0" t="n">
        <v>10</v>
      </c>
      <c r="B11" s="0" t="s">
        <v>44</v>
      </c>
      <c r="C11" s="0" t="s">
        <v>35</v>
      </c>
      <c r="D11" s="0" t="s">
        <v>45</v>
      </c>
      <c r="E11" s="0" t="s">
        <v>46</v>
      </c>
      <c r="F11" s="0" t="s">
        <v>13</v>
      </c>
      <c r="G11" s="0" t="s">
        <v>22</v>
      </c>
      <c r="H11" s="0" t="n">
        <v>4</v>
      </c>
    </row>
    <row r="12" customFormat="false" ht="15" hidden="false" customHeight="false" outlineLevel="0" collapsed="false">
      <c r="A12" s="0" t="n">
        <v>11</v>
      </c>
      <c r="B12" s="0" t="s">
        <v>47</v>
      </c>
      <c r="C12" s="0" t="s">
        <v>35</v>
      </c>
      <c r="D12" s="0" t="s">
        <v>48</v>
      </c>
      <c r="E12" s="0" t="s">
        <v>49</v>
      </c>
      <c r="F12" s="0" t="s">
        <v>13</v>
      </c>
      <c r="G12" s="0" t="s">
        <v>29</v>
      </c>
      <c r="H12" s="0" t="n">
        <v>7</v>
      </c>
    </row>
    <row r="13" customFormat="false" ht="15" hidden="false" customHeight="false" outlineLevel="0" collapsed="false">
      <c r="A13" s="0" t="n">
        <v>12</v>
      </c>
      <c r="B13" s="0" t="s">
        <v>50</v>
      </c>
      <c r="C13" s="0" t="s">
        <v>35</v>
      </c>
      <c r="D13" s="0" t="s">
        <v>51</v>
      </c>
      <c r="E13" s="0" t="s">
        <v>52</v>
      </c>
      <c r="F13" s="0" t="s">
        <v>13</v>
      </c>
      <c r="G13" s="0" t="s">
        <v>14</v>
      </c>
      <c r="H13" s="0" t="n">
        <v>2</v>
      </c>
    </row>
    <row r="14" customFormat="false" ht="15" hidden="false" customHeight="false" outlineLevel="0" collapsed="false">
      <c r="A14" s="0" t="n">
        <v>13</v>
      </c>
      <c r="B14" s="0" t="s">
        <v>53</v>
      </c>
      <c r="C14" s="0" t="s">
        <v>54</v>
      </c>
      <c r="D14" s="0" t="s">
        <v>55</v>
      </c>
      <c r="E14" s="0" t="s">
        <v>56</v>
      </c>
      <c r="F14" s="0" t="s">
        <v>21</v>
      </c>
      <c r="G14" s="0" t="s">
        <v>14</v>
      </c>
      <c r="H14" s="0" t="n">
        <v>9</v>
      </c>
    </row>
    <row r="15" customFormat="false" ht="15" hidden="false" customHeight="false" outlineLevel="0" collapsed="false">
      <c r="A15" s="0" t="n">
        <v>14</v>
      </c>
      <c r="B15" s="0" t="s">
        <v>57</v>
      </c>
      <c r="C15" s="0" t="s">
        <v>54</v>
      </c>
      <c r="D15" s="0" t="s">
        <v>58</v>
      </c>
      <c r="E15" s="0" t="s">
        <v>59</v>
      </c>
      <c r="F15" s="0" t="s">
        <v>21</v>
      </c>
      <c r="G15" s="0" t="s">
        <v>22</v>
      </c>
      <c r="H15" s="0" t="n">
        <v>8</v>
      </c>
    </row>
    <row r="16" customFormat="false" ht="15" hidden="false" customHeight="false" outlineLevel="0" collapsed="false">
      <c r="A16" s="0" t="n">
        <v>15</v>
      </c>
      <c r="B16" s="0" t="s">
        <v>60</v>
      </c>
      <c r="C16" s="0" t="s">
        <v>54</v>
      </c>
      <c r="D16" s="0" t="s">
        <v>61</v>
      </c>
      <c r="E16" s="0" t="s">
        <v>62</v>
      </c>
      <c r="F16" s="0" t="s">
        <v>63</v>
      </c>
      <c r="G16" s="0" t="s">
        <v>14</v>
      </c>
      <c r="H16" s="0" t="n">
        <v>2</v>
      </c>
    </row>
    <row r="17" customFormat="false" ht="15" hidden="false" customHeight="false" outlineLevel="0" collapsed="false">
      <c r="A17" s="0" t="n">
        <v>16</v>
      </c>
      <c r="B17" s="0" t="s">
        <v>64</v>
      </c>
      <c r="C17" s="0" t="s">
        <v>54</v>
      </c>
      <c r="D17" s="0" t="s">
        <v>65</v>
      </c>
      <c r="E17" s="0" t="s">
        <v>66</v>
      </c>
      <c r="F17" s="0" t="s">
        <v>67</v>
      </c>
      <c r="G17" s="0" t="s">
        <v>14</v>
      </c>
      <c r="H17" s="0" t="n">
        <v>5</v>
      </c>
    </row>
    <row r="18" customFormat="false" ht="15" hidden="false" customHeight="false" outlineLevel="0" collapsed="false">
      <c r="A18" s="0" t="n">
        <v>17</v>
      </c>
      <c r="B18" s="0" t="s">
        <v>68</v>
      </c>
      <c r="C18" s="0" t="s">
        <v>54</v>
      </c>
      <c r="D18" s="0" t="s">
        <v>69</v>
      </c>
      <c r="E18" s="0" t="s">
        <v>70</v>
      </c>
      <c r="F18" s="0" t="s">
        <v>21</v>
      </c>
      <c r="G18" s="0" t="s">
        <v>29</v>
      </c>
      <c r="H18" s="0" t="n">
        <v>6</v>
      </c>
    </row>
    <row r="19" customFormat="false" ht="15" hidden="false" customHeight="false" outlineLevel="0" collapsed="false">
      <c r="A19" s="0" t="n">
        <v>18</v>
      </c>
      <c r="B19" s="0" t="s">
        <v>71</v>
      </c>
      <c r="C19" s="0" t="s">
        <v>54</v>
      </c>
      <c r="D19" s="0" t="s">
        <v>72</v>
      </c>
      <c r="E19" s="0" t="s">
        <v>73</v>
      </c>
      <c r="F19" s="0" t="s">
        <v>21</v>
      </c>
      <c r="G19" s="0" t="s">
        <v>22</v>
      </c>
      <c r="H19" s="0" t="n">
        <v>6</v>
      </c>
    </row>
    <row r="20" customFormat="false" ht="15" hidden="false" customHeight="false" outlineLevel="0" collapsed="false">
      <c r="A20" s="0" t="n">
        <v>19</v>
      </c>
      <c r="B20" s="0" t="s">
        <v>74</v>
      </c>
      <c r="C20" s="0" t="s">
        <v>75</v>
      </c>
      <c r="D20" s="0" t="s">
        <v>76</v>
      </c>
      <c r="E20" s="0" t="s">
        <v>77</v>
      </c>
      <c r="F20" s="0" t="s">
        <v>21</v>
      </c>
      <c r="G20" s="0" t="s">
        <v>14</v>
      </c>
      <c r="H20" s="0" t="n">
        <v>6</v>
      </c>
    </row>
    <row r="21" customFormat="false" ht="15" hidden="false" customHeight="false" outlineLevel="0" collapsed="false">
      <c r="A21" s="0" t="n">
        <v>20</v>
      </c>
      <c r="B21" s="0" t="s">
        <v>78</v>
      </c>
      <c r="C21" s="0" t="s">
        <v>75</v>
      </c>
      <c r="D21" s="0" t="s">
        <v>79</v>
      </c>
      <c r="E21" s="0" t="s">
        <v>80</v>
      </c>
      <c r="F21" s="0" t="s">
        <v>21</v>
      </c>
      <c r="G21" s="0" t="s">
        <v>22</v>
      </c>
      <c r="H21" s="0" t="n">
        <v>5</v>
      </c>
    </row>
    <row r="22" customFormat="false" ht="15" hidden="false" customHeight="false" outlineLevel="0" collapsed="false">
      <c r="A22" s="0" t="n">
        <v>21</v>
      </c>
      <c r="B22" s="0" t="s">
        <v>81</v>
      </c>
      <c r="C22" s="0" t="s">
        <v>75</v>
      </c>
      <c r="D22" s="0" t="s">
        <v>82</v>
      </c>
      <c r="E22" s="0" t="s">
        <v>52</v>
      </c>
      <c r="F22" s="0" t="s">
        <v>13</v>
      </c>
      <c r="G22" s="0" t="s">
        <v>29</v>
      </c>
      <c r="H22" s="0" t="n">
        <v>5</v>
      </c>
    </row>
    <row r="23" customFormat="false" ht="15" hidden="false" customHeight="false" outlineLevel="0" collapsed="false">
      <c r="A23" s="0" t="n">
        <v>22</v>
      </c>
      <c r="B23" s="0" t="s">
        <v>83</v>
      </c>
      <c r="C23" s="0" t="s">
        <v>75</v>
      </c>
      <c r="D23" s="0" t="s">
        <v>84</v>
      </c>
      <c r="E23" s="0" t="s">
        <v>85</v>
      </c>
      <c r="F23" s="0" t="s">
        <v>13</v>
      </c>
      <c r="G23" s="0" t="s">
        <v>14</v>
      </c>
      <c r="H23" s="0" t="n">
        <v>5</v>
      </c>
    </row>
    <row r="24" customFormat="false" ht="15" hidden="false" customHeight="false" outlineLevel="0" collapsed="false">
      <c r="A24" s="0" t="n">
        <v>23</v>
      </c>
      <c r="B24" s="0" t="s">
        <v>86</v>
      </c>
      <c r="C24" s="0" t="s">
        <v>75</v>
      </c>
      <c r="D24" s="0" t="s">
        <v>87</v>
      </c>
      <c r="E24" s="0" t="s">
        <v>88</v>
      </c>
      <c r="F24" s="0" t="s">
        <v>21</v>
      </c>
      <c r="G24" s="0" t="s">
        <v>29</v>
      </c>
      <c r="H24" s="0" t="n">
        <v>12</v>
      </c>
    </row>
    <row r="25" customFormat="false" ht="15" hidden="false" customHeight="false" outlineLevel="0" collapsed="false">
      <c r="A25" s="0" t="n">
        <v>24</v>
      </c>
      <c r="B25" s="0" t="s">
        <v>89</v>
      </c>
      <c r="C25" s="0" t="s">
        <v>90</v>
      </c>
      <c r="D25" s="0" t="s">
        <v>91</v>
      </c>
      <c r="E25" s="0" t="s">
        <v>92</v>
      </c>
      <c r="F25" s="0" t="s">
        <v>93</v>
      </c>
      <c r="G25" s="0" t="s">
        <v>29</v>
      </c>
      <c r="H25" s="0" t="n">
        <v>6</v>
      </c>
    </row>
    <row r="26" customFormat="false" ht="15" hidden="false" customHeight="false" outlineLevel="0" collapsed="false">
      <c r="A26" s="0" t="n">
        <v>25</v>
      </c>
      <c r="B26" s="0" t="s">
        <v>94</v>
      </c>
      <c r="C26" s="0" t="s">
        <v>90</v>
      </c>
      <c r="D26" s="0" t="s">
        <v>95</v>
      </c>
      <c r="E26" s="0" t="s">
        <v>96</v>
      </c>
      <c r="F26" s="0" t="s">
        <v>97</v>
      </c>
      <c r="G26" s="0" t="s">
        <v>14</v>
      </c>
      <c r="H26" s="0" t="n">
        <v>4</v>
      </c>
    </row>
    <row r="27" customFormat="false" ht="15" hidden="false" customHeight="false" outlineLevel="0" collapsed="false">
      <c r="A27" s="0" t="n">
        <v>26</v>
      </c>
      <c r="B27" s="0" t="s">
        <v>98</v>
      </c>
      <c r="C27" s="0" t="s">
        <v>99</v>
      </c>
      <c r="D27" s="0" t="s">
        <v>100</v>
      </c>
      <c r="E27" s="0" t="s">
        <v>101</v>
      </c>
      <c r="F27" s="0" t="s">
        <v>13</v>
      </c>
      <c r="G27" s="0" t="s">
        <v>14</v>
      </c>
      <c r="H27" s="0" t="n">
        <v>5</v>
      </c>
    </row>
    <row r="28" customFormat="false" ht="15" hidden="false" customHeight="false" outlineLevel="0" collapsed="false">
      <c r="A28" s="0" t="n">
        <v>27</v>
      </c>
      <c r="B28" s="0" t="s">
        <v>102</v>
      </c>
      <c r="C28" s="0" t="s">
        <v>99</v>
      </c>
      <c r="D28" s="0" t="s">
        <v>103</v>
      </c>
      <c r="E28" s="0" t="s">
        <v>104</v>
      </c>
      <c r="F28" s="0" t="s">
        <v>13</v>
      </c>
      <c r="G28" s="0" t="s">
        <v>22</v>
      </c>
      <c r="H28" s="0" t="n">
        <v>3</v>
      </c>
    </row>
    <row r="29" customFormat="false" ht="15" hidden="false" customHeight="false" outlineLevel="0" collapsed="false">
      <c r="A29" s="0" t="n">
        <v>28</v>
      </c>
      <c r="B29" s="0" t="s">
        <v>105</v>
      </c>
      <c r="C29" s="0" t="s">
        <v>106</v>
      </c>
      <c r="D29" s="0" t="s">
        <v>107</v>
      </c>
      <c r="E29" s="0" t="s">
        <v>108</v>
      </c>
      <c r="F29" s="0" t="s">
        <v>21</v>
      </c>
      <c r="G29" s="0" t="s">
        <v>22</v>
      </c>
      <c r="H29" s="0" t="n">
        <v>4</v>
      </c>
    </row>
    <row r="30" customFormat="false" ht="15" hidden="false" customHeight="false" outlineLevel="0" collapsed="false">
      <c r="A30" s="0" t="n">
        <v>29</v>
      </c>
      <c r="B30" s="0" t="s">
        <v>109</v>
      </c>
      <c r="C30" s="0" t="s">
        <v>106</v>
      </c>
      <c r="D30" s="0" t="s">
        <v>110</v>
      </c>
      <c r="E30" s="0" t="s">
        <v>111</v>
      </c>
      <c r="F30" s="0" t="s">
        <v>112</v>
      </c>
      <c r="G30" s="0" t="s">
        <v>29</v>
      </c>
      <c r="H30" s="0" t="n">
        <v>2</v>
      </c>
    </row>
    <row r="31" customFormat="false" ht="15" hidden="false" customHeight="false" outlineLevel="0" collapsed="false">
      <c r="A31" s="0" t="n">
        <v>30</v>
      </c>
      <c r="B31" s="0" t="s">
        <v>113</v>
      </c>
      <c r="C31" s="0" t="s">
        <v>106</v>
      </c>
      <c r="D31" s="0" t="s">
        <v>114</v>
      </c>
      <c r="E31" s="0" t="s">
        <v>115</v>
      </c>
      <c r="F31" s="0" t="s">
        <v>21</v>
      </c>
      <c r="G31" s="0" t="s">
        <v>14</v>
      </c>
      <c r="H31" s="0" t="n">
        <v>5</v>
      </c>
    </row>
    <row r="32" customFormat="false" ht="15" hidden="false" customHeight="false" outlineLevel="0" collapsed="false">
      <c r="A32" s="0" t="n">
        <v>31</v>
      </c>
      <c r="B32" s="0" t="s">
        <v>116</v>
      </c>
      <c r="C32" s="0" t="s">
        <v>117</v>
      </c>
      <c r="D32" s="0" t="s">
        <v>118</v>
      </c>
      <c r="E32" s="0" t="s">
        <v>119</v>
      </c>
      <c r="F32" s="0" t="s">
        <v>21</v>
      </c>
      <c r="G32" s="0" t="s">
        <v>22</v>
      </c>
      <c r="H32" s="0" t="n">
        <v>5</v>
      </c>
    </row>
    <row r="33" customFormat="false" ht="15" hidden="false" customHeight="false" outlineLevel="0" collapsed="false">
      <c r="A33" s="0" t="n">
        <v>32</v>
      </c>
      <c r="B33" s="0" t="s">
        <v>120</v>
      </c>
      <c r="C33" s="0" t="s">
        <v>117</v>
      </c>
      <c r="D33" s="0" t="s">
        <v>121</v>
      </c>
      <c r="E33" s="0" t="s">
        <v>122</v>
      </c>
      <c r="F33" s="0" t="s">
        <v>123</v>
      </c>
      <c r="G33" s="0" t="s">
        <v>29</v>
      </c>
      <c r="H33" s="0" t="n">
        <v>7</v>
      </c>
    </row>
    <row r="34" customFormat="false" ht="15" hidden="false" customHeight="false" outlineLevel="0" collapsed="false">
      <c r="A34" s="0" t="n">
        <v>33</v>
      </c>
      <c r="B34" s="0" t="s">
        <v>124</v>
      </c>
      <c r="C34" s="0" t="s">
        <v>117</v>
      </c>
      <c r="D34" s="0" t="s">
        <v>125</v>
      </c>
      <c r="E34" s="0" t="s">
        <v>126</v>
      </c>
      <c r="F34" s="0" t="s">
        <v>127</v>
      </c>
      <c r="G34" s="0" t="s">
        <v>14</v>
      </c>
      <c r="H34" s="0" t="n">
        <v>18</v>
      </c>
    </row>
    <row r="35" customFormat="false" ht="15" hidden="false" customHeight="false" outlineLevel="0" collapsed="false">
      <c r="A35" s="0" t="n">
        <v>34</v>
      </c>
      <c r="B35" s="0" t="s">
        <v>128</v>
      </c>
      <c r="C35" s="0" t="s">
        <v>117</v>
      </c>
      <c r="D35" s="0" t="s">
        <v>129</v>
      </c>
      <c r="E35" s="0" t="s">
        <v>130</v>
      </c>
      <c r="F35" s="0" t="s">
        <v>21</v>
      </c>
      <c r="G35" s="0" t="s">
        <v>22</v>
      </c>
      <c r="H35" s="0" t="n">
        <v>6</v>
      </c>
    </row>
    <row r="36" customFormat="false" ht="15" hidden="false" customHeight="false" outlineLevel="0" collapsed="false">
      <c r="A36" s="0" t="n">
        <v>35</v>
      </c>
      <c r="B36" s="0" t="s">
        <v>131</v>
      </c>
      <c r="C36" s="0" t="s">
        <v>132</v>
      </c>
      <c r="D36" s="0" t="s">
        <v>133</v>
      </c>
      <c r="E36" s="0" t="s">
        <v>134</v>
      </c>
      <c r="F36" s="0" t="s">
        <v>21</v>
      </c>
      <c r="G36" s="0" t="s">
        <v>22</v>
      </c>
      <c r="H36" s="0" t="n">
        <v>8</v>
      </c>
    </row>
    <row r="37" customFormat="false" ht="15" hidden="false" customHeight="false" outlineLevel="0" collapsed="false">
      <c r="A37" s="0" t="n">
        <v>36</v>
      </c>
      <c r="B37" s="0" t="s">
        <v>135</v>
      </c>
      <c r="C37" s="0" t="s">
        <v>117</v>
      </c>
      <c r="D37" s="0" t="s">
        <v>136</v>
      </c>
      <c r="E37" s="0" t="s">
        <v>137</v>
      </c>
      <c r="F37" s="0" t="s">
        <v>33</v>
      </c>
      <c r="G37" s="0" t="s">
        <v>14</v>
      </c>
      <c r="H37" s="0" t="n">
        <v>4</v>
      </c>
    </row>
    <row r="38" customFormat="false" ht="15" hidden="false" customHeight="false" outlineLevel="0" collapsed="false">
      <c r="A38" s="0" t="n">
        <v>37</v>
      </c>
      <c r="B38" s="0" t="s">
        <v>138</v>
      </c>
      <c r="C38" s="0" t="s">
        <v>139</v>
      </c>
      <c r="D38" s="0" t="s">
        <v>140</v>
      </c>
      <c r="E38" s="0" t="s">
        <v>141</v>
      </c>
      <c r="F38" s="0" t="s">
        <v>142</v>
      </c>
      <c r="G38" s="0" t="s">
        <v>22</v>
      </c>
      <c r="H38" s="0" t="n">
        <v>5</v>
      </c>
    </row>
    <row r="39" customFormat="false" ht="15" hidden="false" customHeight="false" outlineLevel="0" collapsed="false">
      <c r="A39" s="0" t="n">
        <v>38</v>
      </c>
      <c r="B39" s="0" t="s">
        <v>143</v>
      </c>
      <c r="C39" s="0" t="s">
        <v>139</v>
      </c>
      <c r="D39" s="0" t="s">
        <v>144</v>
      </c>
      <c r="E39" s="0" t="s">
        <v>145</v>
      </c>
      <c r="F39" s="0" t="s">
        <v>21</v>
      </c>
      <c r="G39" s="0" t="s">
        <v>29</v>
      </c>
      <c r="H39" s="0" t="n">
        <v>6</v>
      </c>
    </row>
    <row r="40" customFormat="false" ht="15" hidden="false" customHeight="false" outlineLevel="0" collapsed="false">
      <c r="A40" s="0" t="n">
        <v>39</v>
      </c>
      <c r="B40" s="0" t="s">
        <v>146</v>
      </c>
      <c r="C40" s="0" t="s">
        <v>139</v>
      </c>
      <c r="D40" s="0" t="s">
        <v>147</v>
      </c>
      <c r="E40" s="0" t="s">
        <v>80</v>
      </c>
      <c r="F40" s="0" t="s">
        <v>21</v>
      </c>
      <c r="G40" s="0" t="s">
        <v>29</v>
      </c>
      <c r="H40" s="0" t="n">
        <v>6</v>
      </c>
    </row>
    <row r="41" customFormat="false" ht="15" hidden="false" customHeight="false" outlineLevel="0" collapsed="false">
      <c r="A41" s="0" t="n">
        <v>40</v>
      </c>
      <c r="B41" s="0" t="s">
        <v>148</v>
      </c>
      <c r="C41" s="0" t="s">
        <v>139</v>
      </c>
      <c r="D41" s="0" t="s">
        <v>149</v>
      </c>
      <c r="E41" s="0" t="s">
        <v>150</v>
      </c>
      <c r="F41" s="0" t="s">
        <v>21</v>
      </c>
      <c r="G41" s="0" t="s">
        <v>14</v>
      </c>
      <c r="H41" s="0" t="n">
        <v>4</v>
      </c>
    </row>
    <row r="42" customFormat="false" ht="15" hidden="false" customHeight="false" outlineLevel="0" collapsed="false">
      <c r="A42" s="0" t="n">
        <v>41</v>
      </c>
      <c r="B42" s="0" t="s">
        <v>151</v>
      </c>
      <c r="C42" s="0" t="s">
        <v>139</v>
      </c>
      <c r="D42" s="0" t="s">
        <v>152</v>
      </c>
      <c r="E42" s="0" t="s">
        <v>153</v>
      </c>
      <c r="F42" s="0" t="s">
        <v>21</v>
      </c>
      <c r="G42" s="0" t="s">
        <v>29</v>
      </c>
      <c r="H42" s="0" t="n">
        <v>4</v>
      </c>
    </row>
    <row r="43" customFormat="false" ht="15" hidden="false" customHeight="false" outlineLevel="0" collapsed="false">
      <c r="A43" s="0" t="n">
        <v>42</v>
      </c>
      <c r="B43" s="0" t="s">
        <v>154</v>
      </c>
      <c r="C43" s="0" t="s">
        <v>155</v>
      </c>
      <c r="D43" s="0" t="s">
        <v>156</v>
      </c>
      <c r="E43" s="0" t="s">
        <v>157</v>
      </c>
      <c r="F43" s="0" t="s">
        <v>21</v>
      </c>
      <c r="G43" s="0" t="s">
        <v>14</v>
      </c>
      <c r="H43" s="0" t="n">
        <v>4</v>
      </c>
    </row>
    <row r="44" customFormat="false" ht="15" hidden="false" customHeight="false" outlineLevel="0" collapsed="false">
      <c r="A44" s="0" t="n">
        <v>43</v>
      </c>
      <c r="B44" s="0" t="s">
        <v>158</v>
      </c>
      <c r="C44" s="0" t="s">
        <v>155</v>
      </c>
      <c r="D44" s="0" t="s">
        <v>159</v>
      </c>
      <c r="E44" s="0" t="s">
        <v>160</v>
      </c>
      <c r="F44" s="0" t="s">
        <v>21</v>
      </c>
      <c r="G44" s="0" t="s">
        <v>29</v>
      </c>
      <c r="H44" s="0" t="n">
        <v>3</v>
      </c>
    </row>
    <row r="45" customFormat="false" ht="15" hidden="false" customHeight="false" outlineLevel="0" collapsed="false">
      <c r="A45" s="0" t="n">
        <v>44</v>
      </c>
      <c r="B45" s="0" t="s">
        <v>161</v>
      </c>
      <c r="C45" s="0" t="s">
        <v>162</v>
      </c>
      <c r="D45" s="0" t="s">
        <v>163</v>
      </c>
      <c r="E45" s="0" t="s">
        <v>164</v>
      </c>
      <c r="F45" s="0" t="s">
        <v>21</v>
      </c>
      <c r="G45" s="0" t="s">
        <v>22</v>
      </c>
      <c r="H45" s="0" t="n">
        <v>5</v>
      </c>
    </row>
    <row r="46" customFormat="false" ht="15" hidden="false" customHeight="false" outlineLevel="0" collapsed="false">
      <c r="A46" s="0" t="n">
        <v>45</v>
      </c>
      <c r="B46" s="0" t="s">
        <v>165</v>
      </c>
      <c r="C46" s="0" t="s">
        <v>162</v>
      </c>
      <c r="D46" s="0" t="s">
        <v>166</v>
      </c>
      <c r="E46" s="0" t="s">
        <v>167</v>
      </c>
      <c r="F46" s="0" t="s">
        <v>13</v>
      </c>
      <c r="G46" s="0" t="s">
        <v>29</v>
      </c>
      <c r="H46" s="0" t="n">
        <v>6</v>
      </c>
    </row>
    <row r="47" customFormat="false" ht="15" hidden="false" customHeight="false" outlineLevel="0" collapsed="false">
      <c r="A47" s="0" t="n">
        <v>46</v>
      </c>
      <c r="B47" s="0" t="s">
        <v>168</v>
      </c>
      <c r="C47" s="0" t="s">
        <v>162</v>
      </c>
      <c r="D47" s="0" t="s">
        <v>169</v>
      </c>
      <c r="E47" s="0" t="s">
        <v>170</v>
      </c>
      <c r="F47" s="0" t="s">
        <v>21</v>
      </c>
      <c r="G47" s="0" t="s">
        <v>29</v>
      </c>
      <c r="H47" s="0" t="n">
        <v>4</v>
      </c>
    </row>
    <row r="48" customFormat="false" ht="15" hidden="false" customHeight="false" outlineLevel="0" collapsed="false">
      <c r="A48" s="0" t="n">
        <v>47</v>
      </c>
      <c r="B48" s="0" t="s">
        <v>171</v>
      </c>
      <c r="C48" s="0" t="s">
        <v>162</v>
      </c>
      <c r="D48" s="0" t="s">
        <v>172</v>
      </c>
      <c r="E48" s="0" t="s">
        <v>173</v>
      </c>
      <c r="F48" s="0" t="s">
        <v>13</v>
      </c>
      <c r="G48" s="0" t="s">
        <v>14</v>
      </c>
      <c r="H48" s="0" t="n">
        <v>3</v>
      </c>
    </row>
    <row r="49" customFormat="false" ht="15" hidden="false" customHeight="false" outlineLevel="0" collapsed="false">
      <c r="A49" s="0" t="n">
        <v>48</v>
      </c>
      <c r="B49" s="0" t="s">
        <v>174</v>
      </c>
      <c r="C49" s="0" t="s">
        <v>162</v>
      </c>
      <c r="D49" s="0" t="s">
        <v>175</v>
      </c>
      <c r="E49" s="0" t="s">
        <v>176</v>
      </c>
      <c r="F49" s="0" t="s">
        <v>13</v>
      </c>
      <c r="G49" s="0" t="s">
        <v>29</v>
      </c>
      <c r="H49" s="0" t="n">
        <v>3</v>
      </c>
    </row>
    <row r="50" customFormat="false" ht="15" hidden="false" customHeight="false" outlineLevel="0" collapsed="false">
      <c r="A50" s="0" t="n">
        <v>49</v>
      </c>
      <c r="B50" s="0" t="s">
        <v>177</v>
      </c>
      <c r="C50" s="0" t="s">
        <v>162</v>
      </c>
      <c r="D50" s="0" t="s">
        <v>178</v>
      </c>
      <c r="E50" s="0" t="s">
        <v>179</v>
      </c>
      <c r="F50" s="0" t="s">
        <v>180</v>
      </c>
      <c r="G50" s="0" t="s">
        <v>29</v>
      </c>
      <c r="H50" s="0" t="n">
        <v>5</v>
      </c>
    </row>
    <row r="51" customFormat="false" ht="15" hidden="false" customHeight="false" outlineLevel="0" collapsed="false">
      <c r="A51" s="0" t="n">
        <v>50</v>
      </c>
      <c r="B51" s="0" t="s">
        <v>181</v>
      </c>
      <c r="C51" s="0" t="s">
        <v>182</v>
      </c>
      <c r="D51" s="0" t="s">
        <v>183</v>
      </c>
      <c r="E51" s="0" t="s">
        <v>184</v>
      </c>
      <c r="F51" s="0" t="s">
        <v>13</v>
      </c>
      <c r="G51" s="0" t="s">
        <v>29</v>
      </c>
      <c r="H51" s="0" t="n">
        <v>3</v>
      </c>
    </row>
    <row r="52" customFormat="false" ht="15" hidden="false" customHeight="false" outlineLevel="0" collapsed="false">
      <c r="A52" s="0" t="n">
        <v>51</v>
      </c>
      <c r="B52" s="0" t="s">
        <v>185</v>
      </c>
      <c r="C52" s="0" t="s">
        <v>186</v>
      </c>
      <c r="D52" s="0" t="s">
        <v>187</v>
      </c>
      <c r="E52" s="0" t="s">
        <v>188</v>
      </c>
      <c r="F52" s="0" t="s">
        <v>21</v>
      </c>
      <c r="G52" s="0" t="s">
        <v>29</v>
      </c>
      <c r="H52" s="0" t="n">
        <v>7</v>
      </c>
    </row>
    <row r="53" customFormat="false" ht="15" hidden="false" customHeight="false" outlineLevel="0" collapsed="false">
      <c r="A53" s="0" t="n">
        <v>52</v>
      </c>
      <c r="B53" s="0" t="s">
        <v>189</v>
      </c>
      <c r="C53" s="0" t="s">
        <v>182</v>
      </c>
      <c r="D53" s="0" t="s">
        <v>190</v>
      </c>
      <c r="E53" s="0" t="s">
        <v>191</v>
      </c>
      <c r="F53" s="0" t="s">
        <v>13</v>
      </c>
      <c r="G53" s="0" t="s">
        <v>22</v>
      </c>
      <c r="H53" s="0" t="n">
        <v>4</v>
      </c>
    </row>
    <row r="54" customFormat="false" ht="15" hidden="false" customHeight="false" outlineLevel="0" collapsed="false">
      <c r="A54" s="0" t="n">
        <v>53</v>
      </c>
      <c r="B54" s="0" t="s">
        <v>192</v>
      </c>
      <c r="C54" s="0" t="s">
        <v>182</v>
      </c>
      <c r="D54" s="0" t="s">
        <v>193</v>
      </c>
      <c r="E54" s="0" t="s">
        <v>194</v>
      </c>
      <c r="F54" s="0" t="s">
        <v>13</v>
      </c>
      <c r="G54" s="0" t="s">
        <v>22</v>
      </c>
      <c r="H54" s="0" t="n">
        <v>9</v>
      </c>
    </row>
    <row r="55" customFormat="false" ht="15" hidden="false" customHeight="false" outlineLevel="0" collapsed="false">
      <c r="A55" s="0" t="n">
        <v>54</v>
      </c>
      <c r="B55" s="0" t="s">
        <v>195</v>
      </c>
      <c r="C55" s="0" t="s">
        <v>182</v>
      </c>
      <c r="D55" s="0" t="s">
        <v>196</v>
      </c>
      <c r="E55" s="0" t="s">
        <v>197</v>
      </c>
      <c r="F55" s="0" t="s">
        <v>198</v>
      </c>
      <c r="G55" s="0" t="s">
        <v>14</v>
      </c>
      <c r="H55" s="0" t="n">
        <v>4</v>
      </c>
    </row>
    <row r="56" customFormat="false" ht="15" hidden="false" customHeight="false" outlineLevel="0" collapsed="false">
      <c r="A56" s="0" t="n">
        <v>55</v>
      </c>
      <c r="B56" s="0" t="s">
        <v>199</v>
      </c>
      <c r="C56" s="0" t="s">
        <v>200</v>
      </c>
      <c r="D56" s="0" t="s">
        <v>201</v>
      </c>
      <c r="E56" s="0" t="s">
        <v>202</v>
      </c>
      <c r="F56" s="0" t="s">
        <v>13</v>
      </c>
      <c r="G56" s="0" t="s">
        <v>29</v>
      </c>
      <c r="H56" s="0" t="n">
        <v>3</v>
      </c>
    </row>
    <row r="57" customFormat="false" ht="15" hidden="false" customHeight="false" outlineLevel="0" collapsed="false">
      <c r="A57" s="0" t="n">
        <v>56</v>
      </c>
      <c r="B57" s="0" t="s">
        <v>203</v>
      </c>
      <c r="C57" s="0" t="s">
        <v>200</v>
      </c>
      <c r="D57" s="0" t="s">
        <v>204</v>
      </c>
      <c r="E57" s="0" t="s">
        <v>205</v>
      </c>
      <c r="F57" s="0" t="s">
        <v>21</v>
      </c>
      <c r="G57" s="0" t="s">
        <v>29</v>
      </c>
      <c r="H57" s="0" t="n">
        <v>7</v>
      </c>
    </row>
    <row r="58" customFormat="false" ht="15" hidden="false" customHeight="false" outlineLevel="0" collapsed="false">
      <c r="A58" s="0" t="n">
        <v>57</v>
      </c>
      <c r="B58" s="0" t="s">
        <v>206</v>
      </c>
      <c r="C58" s="0" t="s">
        <v>200</v>
      </c>
      <c r="D58" s="0" t="s">
        <v>207</v>
      </c>
      <c r="E58" s="0" t="s">
        <v>208</v>
      </c>
      <c r="F58" s="0" t="s">
        <v>209</v>
      </c>
      <c r="G58" s="0" t="s">
        <v>29</v>
      </c>
      <c r="H58" s="0" t="n">
        <v>4</v>
      </c>
    </row>
    <row r="59" customFormat="false" ht="15" hidden="false" customHeight="false" outlineLevel="0" collapsed="false">
      <c r="A59" s="0" t="n">
        <v>58</v>
      </c>
      <c r="B59" s="0" t="s">
        <v>210</v>
      </c>
      <c r="C59" s="0" t="s">
        <v>200</v>
      </c>
      <c r="D59" s="0" t="s">
        <v>211</v>
      </c>
      <c r="E59" s="0" t="s">
        <v>212</v>
      </c>
      <c r="F59" s="0" t="s">
        <v>21</v>
      </c>
      <c r="G59" s="0" t="s">
        <v>29</v>
      </c>
      <c r="H59" s="0" t="n">
        <v>3</v>
      </c>
    </row>
    <row r="60" customFormat="false" ht="15" hidden="false" customHeight="false" outlineLevel="0" collapsed="false">
      <c r="A60" s="0" t="n">
        <v>59</v>
      </c>
      <c r="B60" s="0" t="s">
        <v>213</v>
      </c>
      <c r="C60" s="0" t="s">
        <v>200</v>
      </c>
      <c r="D60" s="0" t="s">
        <v>214</v>
      </c>
      <c r="E60" s="0" t="s">
        <v>215</v>
      </c>
      <c r="F60" s="0" t="s">
        <v>21</v>
      </c>
      <c r="G60" s="0" t="s">
        <v>29</v>
      </c>
      <c r="H60" s="0" t="n">
        <v>7</v>
      </c>
    </row>
    <row r="61" customFormat="false" ht="15" hidden="false" customHeight="false" outlineLevel="0" collapsed="false">
      <c r="A61" s="0" t="n">
        <v>60</v>
      </c>
      <c r="B61" s="0" t="s">
        <v>216</v>
      </c>
      <c r="C61" s="0" t="s">
        <v>200</v>
      </c>
      <c r="D61" s="0" t="s">
        <v>217</v>
      </c>
      <c r="E61" s="0" t="s">
        <v>218</v>
      </c>
      <c r="F61" s="0" t="s">
        <v>21</v>
      </c>
      <c r="G61" s="0" t="s">
        <v>22</v>
      </c>
      <c r="H61" s="0" t="n">
        <v>4</v>
      </c>
    </row>
    <row r="62" customFormat="false" ht="15" hidden="false" customHeight="false" outlineLevel="0" collapsed="false">
      <c r="A62" s="0" t="n">
        <v>61</v>
      </c>
      <c r="B62" s="0" t="s">
        <v>219</v>
      </c>
      <c r="C62" s="0" t="s">
        <v>220</v>
      </c>
      <c r="D62" s="0" t="s">
        <v>221</v>
      </c>
      <c r="E62" s="0" t="s">
        <v>28</v>
      </c>
      <c r="F62" s="0" t="s">
        <v>21</v>
      </c>
      <c r="G62" s="0" t="s">
        <v>29</v>
      </c>
      <c r="H62" s="0" t="n">
        <v>4</v>
      </c>
    </row>
    <row r="63" customFormat="false" ht="15" hidden="false" customHeight="false" outlineLevel="0" collapsed="false">
      <c r="A63" s="0" t="n">
        <v>62</v>
      </c>
      <c r="B63" s="0" t="s">
        <v>222</v>
      </c>
      <c r="C63" s="0" t="s">
        <v>220</v>
      </c>
      <c r="D63" s="0" t="s">
        <v>223</v>
      </c>
      <c r="E63" s="0" t="s">
        <v>224</v>
      </c>
      <c r="F63" s="0" t="s">
        <v>21</v>
      </c>
      <c r="G63" s="0" t="s">
        <v>29</v>
      </c>
      <c r="H63" s="0" t="n">
        <v>8</v>
      </c>
    </row>
    <row r="64" customFormat="false" ht="15" hidden="false" customHeight="false" outlineLevel="0" collapsed="false">
      <c r="A64" s="0" t="n">
        <v>63</v>
      </c>
      <c r="B64" s="0" t="s">
        <v>225</v>
      </c>
      <c r="C64" s="0" t="s">
        <v>220</v>
      </c>
      <c r="D64" s="0" t="s">
        <v>226</v>
      </c>
      <c r="E64" s="0" t="s">
        <v>227</v>
      </c>
      <c r="F64" s="0" t="s">
        <v>228</v>
      </c>
      <c r="G64" s="0" t="s">
        <v>14</v>
      </c>
      <c r="H64" s="0" t="n">
        <v>4</v>
      </c>
    </row>
    <row r="65" customFormat="false" ht="15" hidden="false" customHeight="false" outlineLevel="0" collapsed="false">
      <c r="A65" s="0" t="n">
        <v>64</v>
      </c>
      <c r="B65" s="0" t="s">
        <v>229</v>
      </c>
      <c r="C65" s="0" t="s">
        <v>220</v>
      </c>
      <c r="D65" s="0" t="s">
        <v>230</v>
      </c>
      <c r="E65" s="0" t="s">
        <v>231</v>
      </c>
      <c r="F65" s="0" t="s">
        <v>21</v>
      </c>
      <c r="G65" s="0" t="s">
        <v>29</v>
      </c>
      <c r="H65" s="0" t="n">
        <v>6</v>
      </c>
    </row>
    <row r="66" customFormat="false" ht="15" hidden="false" customHeight="false" outlineLevel="0" collapsed="false">
      <c r="A66" s="0" t="n">
        <v>65</v>
      </c>
      <c r="B66" s="0" t="s">
        <v>232</v>
      </c>
      <c r="C66" s="0" t="s">
        <v>233</v>
      </c>
      <c r="D66" s="0" t="s">
        <v>234</v>
      </c>
      <c r="E66" s="0" t="s">
        <v>235</v>
      </c>
      <c r="F66" s="0" t="s">
        <v>13</v>
      </c>
      <c r="G66" s="0" t="s">
        <v>14</v>
      </c>
      <c r="H66" s="0" t="n">
        <v>5</v>
      </c>
    </row>
    <row r="67" customFormat="false" ht="15" hidden="false" customHeight="false" outlineLevel="0" collapsed="false">
      <c r="A67" s="0" t="n">
        <v>66</v>
      </c>
      <c r="B67" s="0" t="s">
        <v>236</v>
      </c>
      <c r="C67" s="0" t="s">
        <v>237</v>
      </c>
      <c r="D67" s="0" t="s">
        <v>238</v>
      </c>
      <c r="E67" s="0" t="s">
        <v>239</v>
      </c>
      <c r="F67" s="0" t="s">
        <v>240</v>
      </c>
      <c r="G67" s="0" t="s">
        <v>14</v>
      </c>
      <c r="H67" s="0" t="n">
        <v>1</v>
      </c>
    </row>
    <row r="68" customFormat="false" ht="15" hidden="false" customHeight="false" outlineLevel="0" collapsed="false">
      <c r="A68" s="0" t="n">
        <v>67</v>
      </c>
      <c r="B68" s="0" t="s">
        <v>241</v>
      </c>
      <c r="C68" s="0" t="s">
        <v>237</v>
      </c>
      <c r="D68" s="0" t="s">
        <v>242</v>
      </c>
      <c r="E68" s="0" t="s">
        <v>243</v>
      </c>
      <c r="F68" s="0" t="s">
        <v>13</v>
      </c>
      <c r="G68" s="0" t="s">
        <v>14</v>
      </c>
      <c r="H68" s="0" t="n">
        <v>4</v>
      </c>
    </row>
    <row r="69" customFormat="false" ht="15" hidden="false" customHeight="false" outlineLevel="0" collapsed="false">
      <c r="A69" s="0" t="n">
        <v>68</v>
      </c>
      <c r="B69" s="0" t="s">
        <v>244</v>
      </c>
      <c r="C69" s="0" t="s">
        <v>237</v>
      </c>
      <c r="D69" s="0" t="s">
        <v>245</v>
      </c>
      <c r="E69" s="0" t="s">
        <v>246</v>
      </c>
      <c r="F69" s="0" t="s">
        <v>21</v>
      </c>
      <c r="G69" s="0" t="s">
        <v>29</v>
      </c>
      <c r="H69" s="0" t="n">
        <v>3</v>
      </c>
    </row>
    <row r="70" customFormat="false" ht="15" hidden="false" customHeight="false" outlineLevel="0" collapsed="false">
      <c r="A70" s="0" t="n">
        <v>69</v>
      </c>
      <c r="B70" s="0" t="s">
        <v>247</v>
      </c>
      <c r="C70" s="0" t="s">
        <v>237</v>
      </c>
      <c r="D70" s="0" t="s">
        <v>248</v>
      </c>
      <c r="E70" s="0" t="s">
        <v>249</v>
      </c>
      <c r="F70" s="0" t="s">
        <v>250</v>
      </c>
      <c r="G70" s="0" t="s">
        <v>14</v>
      </c>
      <c r="H70" s="0" t="n">
        <v>7</v>
      </c>
    </row>
    <row r="71" customFormat="false" ht="15" hidden="false" customHeight="false" outlineLevel="0" collapsed="false">
      <c r="A71" s="0" t="n">
        <v>70</v>
      </c>
      <c r="B71" s="0" t="s">
        <v>251</v>
      </c>
      <c r="C71" s="0" t="s">
        <v>155</v>
      </c>
      <c r="D71" s="0" t="s">
        <v>252</v>
      </c>
      <c r="E71" s="0" t="s">
        <v>253</v>
      </c>
      <c r="F71" s="0" t="s">
        <v>21</v>
      </c>
      <c r="G71" s="0" t="s">
        <v>29</v>
      </c>
      <c r="H71" s="0" t="n">
        <v>4</v>
      </c>
    </row>
    <row r="72" customFormat="false" ht="15" hidden="false" customHeight="false" outlineLevel="0" collapsed="false">
      <c r="A72" s="0" t="n">
        <v>71</v>
      </c>
      <c r="B72" s="0" t="s">
        <v>254</v>
      </c>
      <c r="C72" s="0" t="s">
        <v>35</v>
      </c>
      <c r="D72" s="0" t="s">
        <v>255</v>
      </c>
      <c r="E72" s="0" t="s">
        <v>256</v>
      </c>
      <c r="F72" s="0" t="s">
        <v>13</v>
      </c>
      <c r="G72" s="0" t="s">
        <v>22</v>
      </c>
      <c r="H72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257</v>
      </c>
      <c r="D1" s="1" t="s">
        <v>258</v>
      </c>
      <c r="E1" s="1" t="s">
        <v>259</v>
      </c>
      <c r="F1" s="1" t="s">
        <v>260</v>
      </c>
    </row>
    <row r="2" customFormat="false" ht="15" hidden="false" customHeight="false" outlineLevel="0" collapsed="false">
      <c r="A2" s="0" t="n">
        <v>1</v>
      </c>
      <c r="B2" s="0" t="s">
        <v>9</v>
      </c>
      <c r="C2" s="0" t="s">
        <v>261</v>
      </c>
      <c r="D2" s="0" t="s">
        <v>262</v>
      </c>
      <c r="F2" s="0" t="s">
        <v>263</v>
      </c>
    </row>
    <row r="3" customFormat="false" ht="15" hidden="false" customHeight="false" outlineLevel="0" collapsed="false">
      <c r="A3" s="0" t="n">
        <v>2</v>
      </c>
      <c r="B3" s="0" t="s">
        <v>9</v>
      </c>
      <c r="C3" s="0" t="s">
        <v>264</v>
      </c>
      <c r="D3" s="0" t="s">
        <v>262</v>
      </c>
      <c r="F3" s="0" t="s">
        <v>265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s">
        <v>266</v>
      </c>
      <c r="D4" s="0" t="s">
        <v>262</v>
      </c>
      <c r="F4" s="0" t="s">
        <v>267</v>
      </c>
    </row>
    <row r="5" customFormat="false" ht="15" hidden="false" customHeight="false" outlineLevel="0" collapsed="false">
      <c r="A5" s="0" t="n">
        <v>4</v>
      </c>
      <c r="B5" s="0" t="s">
        <v>9</v>
      </c>
      <c r="C5" s="0" t="s">
        <v>268</v>
      </c>
      <c r="D5" s="0" t="s">
        <v>262</v>
      </c>
      <c r="F5" s="0" t="s">
        <v>265</v>
      </c>
    </row>
    <row r="6" customFormat="false" ht="15" hidden="false" customHeight="false" outlineLevel="0" collapsed="false">
      <c r="A6" s="0" t="n">
        <v>5</v>
      </c>
      <c r="B6" s="0" t="s">
        <v>9</v>
      </c>
      <c r="C6" s="0" t="s">
        <v>269</v>
      </c>
      <c r="D6" s="0" t="s">
        <v>262</v>
      </c>
      <c r="F6" s="0" t="s">
        <v>270</v>
      </c>
    </row>
    <row r="7" customFormat="false" ht="15" hidden="false" customHeight="false" outlineLevel="0" collapsed="false">
      <c r="A7" s="0" t="n">
        <v>6</v>
      </c>
      <c r="B7" s="0" t="s">
        <v>9</v>
      </c>
      <c r="C7" s="0" t="s">
        <v>271</v>
      </c>
      <c r="D7" s="0" t="s">
        <v>262</v>
      </c>
    </row>
    <row r="8" customFormat="false" ht="15" hidden="false" customHeight="false" outlineLevel="0" collapsed="false">
      <c r="A8" s="0" t="n">
        <v>7</v>
      </c>
      <c r="B8" s="0" t="s">
        <v>9</v>
      </c>
      <c r="C8" s="0" t="s">
        <v>272</v>
      </c>
      <c r="D8" s="0" t="s">
        <v>262</v>
      </c>
    </row>
    <row r="9" customFormat="false" ht="15" hidden="false" customHeight="false" outlineLevel="0" collapsed="false">
      <c r="A9" s="0" t="n">
        <v>8</v>
      </c>
      <c r="B9" s="0" t="s">
        <v>9</v>
      </c>
      <c r="C9" s="0" t="s">
        <v>273</v>
      </c>
      <c r="D9" s="0" t="s">
        <v>262</v>
      </c>
      <c r="F9" s="0" t="s">
        <v>273</v>
      </c>
    </row>
    <row r="10" customFormat="false" ht="15" hidden="false" customHeight="false" outlineLevel="0" collapsed="false">
      <c r="A10" s="0" t="n">
        <v>9</v>
      </c>
      <c r="B10" s="0" t="s">
        <v>9</v>
      </c>
      <c r="C10" s="0" t="s">
        <v>274</v>
      </c>
      <c r="D10" s="0" t="s">
        <v>262</v>
      </c>
      <c r="F10" s="0" t="s">
        <v>273</v>
      </c>
    </row>
    <row r="11" customFormat="false" ht="15" hidden="false" customHeight="false" outlineLevel="0" collapsed="false">
      <c r="A11" s="0" t="n">
        <v>10</v>
      </c>
      <c r="B11" s="0" t="s">
        <v>9</v>
      </c>
      <c r="C11" s="0" t="s">
        <v>275</v>
      </c>
      <c r="D11" s="0" t="s">
        <v>262</v>
      </c>
      <c r="F11" s="0" t="s">
        <v>275</v>
      </c>
    </row>
    <row r="12" customFormat="false" ht="15" hidden="false" customHeight="false" outlineLevel="0" collapsed="false">
      <c r="A12" s="0" t="n">
        <v>11</v>
      </c>
      <c r="B12" s="0" t="s">
        <v>9</v>
      </c>
      <c r="C12" s="0" t="s">
        <v>276</v>
      </c>
      <c r="D12" s="0" t="s">
        <v>262</v>
      </c>
      <c r="F12" s="0" t="s">
        <v>276</v>
      </c>
    </row>
    <row r="13" customFormat="false" ht="15" hidden="false" customHeight="false" outlineLevel="0" collapsed="false">
      <c r="A13" s="0" t="n">
        <v>12</v>
      </c>
      <c r="B13" s="0" t="s">
        <v>9</v>
      </c>
      <c r="C13" s="0" t="s">
        <v>277</v>
      </c>
      <c r="D13" s="0" t="s">
        <v>262</v>
      </c>
      <c r="F13" s="0" t="s">
        <v>278</v>
      </c>
    </row>
    <row r="14" customFormat="false" ht="15" hidden="false" customHeight="false" outlineLevel="0" collapsed="false">
      <c r="A14" s="0" t="n">
        <v>13</v>
      </c>
      <c r="B14" s="0" t="s">
        <v>9</v>
      </c>
      <c r="C14" s="0" t="s">
        <v>279</v>
      </c>
      <c r="D14" s="0" t="s">
        <v>262</v>
      </c>
      <c r="F14" s="0" t="s">
        <v>280</v>
      </c>
    </row>
    <row r="15" customFormat="false" ht="15" hidden="false" customHeight="false" outlineLevel="0" collapsed="false">
      <c r="A15" s="0" t="n">
        <v>14</v>
      </c>
      <c r="B15" s="0" t="s">
        <v>15</v>
      </c>
      <c r="C15" s="0" t="s">
        <v>281</v>
      </c>
      <c r="D15" s="0" t="s">
        <v>262</v>
      </c>
      <c r="F15" s="0" t="s">
        <v>263</v>
      </c>
    </row>
    <row r="16" customFormat="false" ht="15" hidden="false" customHeight="false" outlineLevel="0" collapsed="false">
      <c r="A16" s="0" t="n">
        <v>15</v>
      </c>
      <c r="B16" s="0" t="s">
        <v>15</v>
      </c>
      <c r="C16" s="0" t="s">
        <v>282</v>
      </c>
      <c r="D16" s="0" t="s">
        <v>262</v>
      </c>
    </row>
    <row r="17" customFormat="false" ht="15" hidden="false" customHeight="false" outlineLevel="0" collapsed="false">
      <c r="A17" s="0" t="n">
        <v>16</v>
      </c>
      <c r="B17" s="0" t="s">
        <v>15</v>
      </c>
      <c r="C17" s="0" t="s">
        <v>283</v>
      </c>
      <c r="D17" s="0" t="s">
        <v>262</v>
      </c>
      <c r="F17" s="0" t="s">
        <v>265</v>
      </c>
    </row>
    <row r="18" customFormat="false" ht="15" hidden="false" customHeight="false" outlineLevel="0" collapsed="false">
      <c r="A18" s="0" t="n">
        <v>17</v>
      </c>
      <c r="B18" s="0" t="s">
        <v>15</v>
      </c>
      <c r="C18" s="0" t="s">
        <v>284</v>
      </c>
      <c r="D18" s="0" t="s">
        <v>262</v>
      </c>
      <c r="F18" s="0" t="s">
        <v>285</v>
      </c>
    </row>
    <row r="19" customFormat="false" ht="15" hidden="false" customHeight="false" outlineLevel="0" collapsed="false">
      <c r="A19" s="0" t="n">
        <v>18</v>
      </c>
      <c r="B19" s="0" t="s">
        <v>15</v>
      </c>
      <c r="C19" s="0" t="s">
        <v>286</v>
      </c>
      <c r="D19" s="0" t="s">
        <v>262</v>
      </c>
    </row>
    <row r="20" customFormat="false" ht="15" hidden="false" customHeight="false" outlineLevel="0" collapsed="false">
      <c r="A20" s="0" t="n">
        <v>19</v>
      </c>
      <c r="B20" s="0" t="s">
        <v>18</v>
      </c>
      <c r="C20" s="0" t="s">
        <v>281</v>
      </c>
      <c r="D20" s="0" t="s">
        <v>287</v>
      </c>
      <c r="F20" s="0" t="s">
        <v>263</v>
      </c>
    </row>
    <row r="21" customFormat="false" ht="15" hidden="false" customHeight="false" outlineLevel="0" collapsed="false">
      <c r="A21" s="0" t="n">
        <v>20</v>
      </c>
      <c r="B21" s="0" t="s">
        <v>18</v>
      </c>
      <c r="C21" s="0" t="s">
        <v>288</v>
      </c>
      <c r="D21" s="0" t="s">
        <v>289</v>
      </c>
      <c r="F21" s="0" t="s">
        <v>265</v>
      </c>
    </row>
    <row r="22" customFormat="false" ht="15" hidden="false" customHeight="false" outlineLevel="0" collapsed="false">
      <c r="A22" s="0" t="n">
        <v>21</v>
      </c>
      <c r="B22" s="0" t="s">
        <v>18</v>
      </c>
      <c r="C22" s="0" t="s">
        <v>290</v>
      </c>
      <c r="D22" s="0" t="s">
        <v>291</v>
      </c>
    </row>
    <row r="23" customFormat="false" ht="15" hidden="false" customHeight="false" outlineLevel="0" collapsed="false">
      <c r="A23" s="0" t="n">
        <v>22</v>
      </c>
      <c r="B23" s="0" t="s">
        <v>23</v>
      </c>
      <c r="C23" s="0" t="s">
        <v>292</v>
      </c>
      <c r="D23" s="0" t="s">
        <v>262</v>
      </c>
      <c r="F23" s="0" t="s">
        <v>263</v>
      </c>
    </row>
    <row r="24" customFormat="false" ht="15" hidden="false" customHeight="false" outlineLevel="0" collapsed="false">
      <c r="A24" s="0" t="n">
        <v>23</v>
      </c>
      <c r="B24" s="0" t="s">
        <v>23</v>
      </c>
      <c r="C24" s="0" t="s">
        <v>283</v>
      </c>
      <c r="D24" s="0" t="s">
        <v>262</v>
      </c>
      <c r="F24" s="0" t="s">
        <v>265</v>
      </c>
    </row>
    <row r="25" customFormat="false" ht="15" hidden="false" customHeight="false" outlineLevel="0" collapsed="false">
      <c r="A25" s="0" t="n">
        <v>24</v>
      </c>
      <c r="B25" s="0" t="s">
        <v>23</v>
      </c>
      <c r="C25" s="0" t="s">
        <v>277</v>
      </c>
      <c r="D25" s="0" t="s">
        <v>262</v>
      </c>
      <c r="F25" s="0" t="s">
        <v>278</v>
      </c>
    </row>
    <row r="26" customFormat="false" ht="15" hidden="false" customHeight="false" outlineLevel="0" collapsed="false">
      <c r="A26" s="0" t="n">
        <v>25</v>
      </c>
      <c r="B26" s="0" t="s">
        <v>26</v>
      </c>
      <c r="C26" s="0" t="s">
        <v>293</v>
      </c>
      <c r="D26" s="0" t="s">
        <v>294</v>
      </c>
      <c r="F26" s="0" t="s">
        <v>265</v>
      </c>
    </row>
    <row r="27" customFormat="false" ht="15" hidden="false" customHeight="false" outlineLevel="0" collapsed="false">
      <c r="A27" s="0" t="n">
        <v>26</v>
      </c>
      <c r="B27" s="0" t="s">
        <v>26</v>
      </c>
      <c r="C27" s="0" t="s">
        <v>295</v>
      </c>
      <c r="D27" s="0" t="s">
        <v>296</v>
      </c>
      <c r="F27" s="0" t="s">
        <v>265</v>
      </c>
    </row>
    <row r="28" customFormat="false" ht="15" hidden="false" customHeight="false" outlineLevel="0" collapsed="false">
      <c r="A28" s="0" t="n">
        <v>27</v>
      </c>
      <c r="B28" s="0" t="s">
        <v>26</v>
      </c>
      <c r="C28" s="0" t="s">
        <v>281</v>
      </c>
      <c r="D28" s="0" t="s">
        <v>262</v>
      </c>
      <c r="F28" s="0" t="s">
        <v>263</v>
      </c>
    </row>
    <row r="29" customFormat="false" ht="15" hidden="false" customHeight="false" outlineLevel="0" collapsed="false">
      <c r="A29" s="0" t="n">
        <v>28</v>
      </c>
      <c r="B29" s="0" t="s">
        <v>26</v>
      </c>
      <c r="C29" s="0" t="s">
        <v>276</v>
      </c>
      <c r="D29" s="0" t="s">
        <v>262</v>
      </c>
      <c r="F29" s="0" t="s">
        <v>276</v>
      </c>
    </row>
    <row r="30" customFormat="false" ht="15" hidden="false" customHeight="false" outlineLevel="0" collapsed="false">
      <c r="A30" s="0" t="n">
        <v>29</v>
      </c>
      <c r="B30" s="0" t="s">
        <v>26</v>
      </c>
      <c r="C30" s="0" t="s">
        <v>273</v>
      </c>
      <c r="D30" s="0" t="s">
        <v>262</v>
      </c>
      <c r="F30" s="0" t="s">
        <v>273</v>
      </c>
    </row>
    <row r="31" customFormat="false" ht="15" hidden="false" customHeight="false" outlineLevel="0" collapsed="false">
      <c r="A31" s="0" t="n">
        <v>30</v>
      </c>
      <c r="B31" s="0" t="s">
        <v>26</v>
      </c>
      <c r="C31" s="0" t="s">
        <v>297</v>
      </c>
      <c r="D31" s="0" t="s">
        <v>262</v>
      </c>
      <c r="F31" s="0" t="s">
        <v>297</v>
      </c>
    </row>
    <row r="32" customFormat="false" ht="15" hidden="false" customHeight="false" outlineLevel="0" collapsed="false">
      <c r="A32" s="0" t="n">
        <v>31</v>
      </c>
      <c r="B32" s="0" t="s">
        <v>30</v>
      </c>
      <c r="C32" s="0" t="s">
        <v>298</v>
      </c>
      <c r="D32" s="0" t="s">
        <v>262</v>
      </c>
    </row>
    <row r="33" customFormat="false" ht="15" hidden="false" customHeight="false" outlineLevel="0" collapsed="false">
      <c r="A33" s="0" t="n">
        <v>32</v>
      </c>
      <c r="B33" s="0" t="s">
        <v>30</v>
      </c>
      <c r="C33" s="0" t="s">
        <v>281</v>
      </c>
      <c r="D33" s="0" t="s">
        <v>262</v>
      </c>
      <c r="F33" s="0" t="s">
        <v>263</v>
      </c>
    </row>
    <row r="34" customFormat="false" ht="15" hidden="false" customHeight="false" outlineLevel="0" collapsed="false">
      <c r="A34" s="0" t="n">
        <v>33</v>
      </c>
      <c r="B34" s="0" t="s">
        <v>30</v>
      </c>
      <c r="C34" s="0" t="s">
        <v>284</v>
      </c>
      <c r="D34" s="0" t="s">
        <v>262</v>
      </c>
      <c r="F34" s="0" t="s">
        <v>285</v>
      </c>
    </row>
    <row r="35" customFormat="false" ht="15" hidden="false" customHeight="false" outlineLevel="0" collapsed="false">
      <c r="A35" s="0" t="n">
        <v>34</v>
      </c>
      <c r="B35" s="0" t="s">
        <v>30</v>
      </c>
      <c r="C35" s="0" t="s">
        <v>299</v>
      </c>
      <c r="D35" s="0" t="s">
        <v>262</v>
      </c>
      <c r="F35" s="0" t="s">
        <v>299</v>
      </c>
    </row>
    <row r="36" customFormat="false" ht="15" hidden="false" customHeight="false" outlineLevel="0" collapsed="false">
      <c r="A36" s="0" t="n">
        <v>35</v>
      </c>
      <c r="B36" s="0" t="s">
        <v>30</v>
      </c>
      <c r="C36" s="0" t="s">
        <v>300</v>
      </c>
      <c r="D36" s="0" t="s">
        <v>262</v>
      </c>
    </row>
    <row r="37" customFormat="false" ht="15" hidden="false" customHeight="false" outlineLevel="0" collapsed="false">
      <c r="A37" s="0" t="n">
        <v>36</v>
      </c>
      <c r="B37" s="0" t="s">
        <v>30</v>
      </c>
      <c r="C37" s="0" t="s">
        <v>280</v>
      </c>
      <c r="D37" s="0" t="s">
        <v>262</v>
      </c>
      <c r="F37" s="0" t="s">
        <v>280</v>
      </c>
    </row>
    <row r="38" customFormat="false" ht="15" hidden="false" customHeight="false" outlineLevel="0" collapsed="false">
      <c r="A38" s="0" t="n">
        <v>37</v>
      </c>
      <c r="B38" s="0" t="s">
        <v>30</v>
      </c>
      <c r="C38" s="0" t="s">
        <v>301</v>
      </c>
      <c r="D38" s="0" t="s">
        <v>262</v>
      </c>
      <c r="F38" s="0" t="s">
        <v>301</v>
      </c>
    </row>
    <row r="39" customFormat="false" ht="15" hidden="false" customHeight="false" outlineLevel="0" collapsed="false">
      <c r="A39" s="0" t="n">
        <v>38</v>
      </c>
      <c r="B39" s="0" t="s">
        <v>34</v>
      </c>
      <c r="C39" s="0" t="s">
        <v>266</v>
      </c>
      <c r="D39" s="0" t="s">
        <v>302</v>
      </c>
      <c r="F39" s="0" t="s">
        <v>267</v>
      </c>
    </row>
    <row r="40" customFormat="false" ht="15" hidden="false" customHeight="false" outlineLevel="0" collapsed="false">
      <c r="A40" s="0" t="n">
        <v>39</v>
      </c>
      <c r="B40" s="0" t="s">
        <v>34</v>
      </c>
      <c r="C40" s="0" t="s">
        <v>303</v>
      </c>
      <c r="D40" s="0" t="s">
        <v>304</v>
      </c>
      <c r="F40" s="0" t="s">
        <v>278</v>
      </c>
    </row>
    <row r="41" customFormat="false" ht="15" hidden="false" customHeight="false" outlineLevel="0" collapsed="false">
      <c r="A41" s="0" t="n">
        <v>40</v>
      </c>
      <c r="B41" s="0" t="s">
        <v>34</v>
      </c>
      <c r="C41" s="0" t="s">
        <v>281</v>
      </c>
      <c r="D41" s="0" t="s">
        <v>262</v>
      </c>
      <c r="F41" s="0" t="s">
        <v>263</v>
      </c>
    </row>
    <row r="42" customFormat="false" ht="15" hidden="false" customHeight="false" outlineLevel="0" collapsed="false">
      <c r="A42" s="0" t="n">
        <v>41</v>
      </c>
      <c r="B42" s="0" t="s">
        <v>34</v>
      </c>
      <c r="C42" s="0" t="s">
        <v>288</v>
      </c>
      <c r="D42" s="0" t="s">
        <v>262</v>
      </c>
      <c r="F42" s="0" t="s">
        <v>265</v>
      </c>
    </row>
    <row r="43" customFormat="false" ht="15" hidden="false" customHeight="false" outlineLevel="0" collapsed="false">
      <c r="A43" s="0" t="n">
        <v>42</v>
      </c>
      <c r="B43" s="0" t="s">
        <v>34</v>
      </c>
      <c r="C43" s="0" t="s">
        <v>269</v>
      </c>
      <c r="D43" s="0" t="s">
        <v>262</v>
      </c>
      <c r="F43" s="0" t="s">
        <v>270</v>
      </c>
    </row>
    <row r="44" customFormat="false" ht="15" hidden="false" customHeight="false" outlineLevel="0" collapsed="false">
      <c r="A44" s="0" t="n">
        <v>43</v>
      </c>
      <c r="B44" s="0" t="s">
        <v>34</v>
      </c>
      <c r="C44" s="0" t="s">
        <v>273</v>
      </c>
      <c r="D44" s="0" t="s">
        <v>262</v>
      </c>
      <c r="F44" s="0" t="s">
        <v>273</v>
      </c>
    </row>
    <row r="45" customFormat="false" ht="15" hidden="false" customHeight="false" outlineLevel="0" collapsed="false">
      <c r="A45" s="0" t="n">
        <v>44</v>
      </c>
      <c r="B45" s="0" t="s">
        <v>34</v>
      </c>
      <c r="C45" s="0" t="s">
        <v>284</v>
      </c>
      <c r="D45" s="0" t="s">
        <v>262</v>
      </c>
      <c r="F45" s="0" t="s">
        <v>285</v>
      </c>
    </row>
    <row r="46" customFormat="false" ht="15" hidden="false" customHeight="false" outlineLevel="0" collapsed="false">
      <c r="A46" s="0" t="n">
        <v>45</v>
      </c>
      <c r="B46" s="0" t="s">
        <v>38</v>
      </c>
      <c r="C46" s="0" t="s">
        <v>281</v>
      </c>
      <c r="D46" s="0" t="s">
        <v>287</v>
      </c>
      <c r="F46" s="0" t="s">
        <v>263</v>
      </c>
    </row>
    <row r="47" customFormat="false" ht="15" hidden="false" customHeight="false" outlineLevel="0" collapsed="false">
      <c r="A47" s="0" t="n">
        <v>46</v>
      </c>
      <c r="B47" s="0" t="s">
        <v>38</v>
      </c>
      <c r="C47" s="0" t="s">
        <v>288</v>
      </c>
      <c r="D47" s="0" t="s">
        <v>305</v>
      </c>
      <c r="F47" s="0" t="s">
        <v>265</v>
      </c>
    </row>
    <row r="48" customFormat="false" ht="15" hidden="false" customHeight="false" outlineLevel="0" collapsed="false">
      <c r="A48" s="0" t="n">
        <v>47</v>
      </c>
      <c r="B48" s="0" t="s">
        <v>38</v>
      </c>
      <c r="C48" s="0" t="s">
        <v>279</v>
      </c>
      <c r="D48" s="0" t="s">
        <v>262</v>
      </c>
      <c r="F48" s="0" t="s">
        <v>280</v>
      </c>
    </row>
    <row r="49" customFormat="false" ht="15" hidden="false" customHeight="false" outlineLevel="0" collapsed="false">
      <c r="A49" s="0" t="n">
        <v>48</v>
      </c>
      <c r="B49" s="0" t="s">
        <v>38</v>
      </c>
      <c r="C49" s="0" t="s">
        <v>306</v>
      </c>
      <c r="D49" s="0" t="s">
        <v>262</v>
      </c>
      <c r="F49" s="0" t="s">
        <v>265</v>
      </c>
    </row>
    <row r="50" customFormat="false" ht="15" hidden="false" customHeight="false" outlineLevel="0" collapsed="false">
      <c r="A50" s="0" t="n">
        <v>49</v>
      </c>
      <c r="B50" s="0" t="s">
        <v>38</v>
      </c>
      <c r="C50" s="0" t="s">
        <v>299</v>
      </c>
      <c r="D50" s="0" t="s">
        <v>262</v>
      </c>
      <c r="F50" s="0" t="s">
        <v>299</v>
      </c>
    </row>
    <row r="51" customFormat="false" ht="15" hidden="false" customHeight="false" outlineLevel="0" collapsed="false">
      <c r="A51" s="0" t="n">
        <v>50</v>
      </c>
      <c r="B51" s="0" t="s">
        <v>41</v>
      </c>
      <c r="C51" s="0" t="s">
        <v>281</v>
      </c>
      <c r="D51" s="0" t="s">
        <v>262</v>
      </c>
      <c r="F51" s="0" t="s">
        <v>263</v>
      </c>
    </row>
    <row r="52" customFormat="false" ht="15" hidden="false" customHeight="false" outlineLevel="0" collapsed="false">
      <c r="A52" s="0" t="n">
        <v>51</v>
      </c>
      <c r="B52" s="0" t="s">
        <v>41</v>
      </c>
      <c r="C52" s="0" t="s">
        <v>288</v>
      </c>
      <c r="D52" s="0" t="s">
        <v>262</v>
      </c>
      <c r="F52" s="0" t="s">
        <v>265</v>
      </c>
    </row>
    <row r="53" customFormat="false" ht="15" hidden="false" customHeight="false" outlineLevel="0" collapsed="false">
      <c r="A53" s="0" t="n">
        <v>52</v>
      </c>
      <c r="B53" s="0" t="s">
        <v>41</v>
      </c>
      <c r="C53" s="0" t="s">
        <v>307</v>
      </c>
      <c r="D53" s="0" t="s">
        <v>262</v>
      </c>
    </row>
    <row r="54" customFormat="false" ht="15" hidden="false" customHeight="false" outlineLevel="0" collapsed="false">
      <c r="A54" s="0" t="n">
        <v>53</v>
      </c>
      <c r="B54" s="0" t="s">
        <v>44</v>
      </c>
      <c r="C54" s="0" t="s">
        <v>308</v>
      </c>
      <c r="D54" s="0" t="s">
        <v>309</v>
      </c>
      <c r="F54" s="0" t="s">
        <v>285</v>
      </c>
    </row>
    <row r="55" customFormat="false" ht="15" hidden="false" customHeight="false" outlineLevel="0" collapsed="false">
      <c r="A55" s="0" t="n">
        <v>54</v>
      </c>
      <c r="B55" s="0" t="s">
        <v>44</v>
      </c>
      <c r="C55" s="0" t="s">
        <v>281</v>
      </c>
      <c r="D55" s="0" t="s">
        <v>262</v>
      </c>
      <c r="F55" s="0" t="s">
        <v>263</v>
      </c>
    </row>
    <row r="56" customFormat="false" ht="15" hidden="false" customHeight="false" outlineLevel="0" collapsed="false">
      <c r="A56" s="0" t="n">
        <v>55</v>
      </c>
      <c r="B56" s="0" t="s">
        <v>44</v>
      </c>
      <c r="C56" s="0" t="s">
        <v>310</v>
      </c>
      <c r="D56" s="0" t="s">
        <v>262</v>
      </c>
      <c r="F56" s="0" t="s">
        <v>311</v>
      </c>
    </row>
    <row r="57" customFormat="false" ht="15" hidden="false" customHeight="false" outlineLevel="0" collapsed="false">
      <c r="A57" s="0" t="n">
        <v>56</v>
      </c>
      <c r="B57" s="0" t="s">
        <v>44</v>
      </c>
      <c r="C57" s="0" t="s">
        <v>299</v>
      </c>
      <c r="D57" s="0" t="s">
        <v>262</v>
      </c>
      <c r="F57" s="0" t="s">
        <v>299</v>
      </c>
    </row>
    <row r="58" customFormat="false" ht="15" hidden="false" customHeight="false" outlineLevel="0" collapsed="false">
      <c r="A58" s="0" t="n">
        <v>57</v>
      </c>
      <c r="B58" s="0" t="s">
        <v>47</v>
      </c>
      <c r="C58" s="0" t="s">
        <v>312</v>
      </c>
      <c r="D58" s="0" t="s">
        <v>313</v>
      </c>
      <c r="F58" s="0" t="s">
        <v>263</v>
      </c>
    </row>
    <row r="59" customFormat="false" ht="15" hidden="false" customHeight="false" outlineLevel="0" collapsed="false">
      <c r="A59" s="0" t="n">
        <v>58</v>
      </c>
      <c r="B59" s="0" t="s">
        <v>47</v>
      </c>
      <c r="C59" s="0" t="s">
        <v>314</v>
      </c>
      <c r="D59" s="0" t="s">
        <v>315</v>
      </c>
      <c r="F59" s="0" t="s">
        <v>265</v>
      </c>
    </row>
    <row r="60" customFormat="false" ht="15" hidden="false" customHeight="false" outlineLevel="0" collapsed="false">
      <c r="A60" s="0" t="n">
        <v>59</v>
      </c>
      <c r="B60" s="0" t="s">
        <v>47</v>
      </c>
      <c r="C60" s="0" t="s">
        <v>273</v>
      </c>
      <c r="D60" s="0" t="s">
        <v>316</v>
      </c>
      <c r="F60" s="0" t="s">
        <v>273</v>
      </c>
    </row>
    <row r="61" customFormat="false" ht="15" hidden="false" customHeight="false" outlineLevel="0" collapsed="false">
      <c r="A61" s="0" t="n">
        <v>60</v>
      </c>
      <c r="B61" s="0" t="s">
        <v>47</v>
      </c>
      <c r="C61" s="0" t="s">
        <v>266</v>
      </c>
      <c r="D61" s="0" t="s">
        <v>317</v>
      </c>
      <c r="F61" s="0" t="s">
        <v>267</v>
      </c>
    </row>
    <row r="62" customFormat="false" ht="15" hidden="false" customHeight="false" outlineLevel="0" collapsed="false">
      <c r="A62" s="0" t="n">
        <v>61</v>
      </c>
      <c r="B62" s="0" t="s">
        <v>47</v>
      </c>
      <c r="C62" s="0" t="s">
        <v>318</v>
      </c>
      <c r="D62" s="0" t="s">
        <v>319</v>
      </c>
      <c r="F62" s="0" t="s">
        <v>275</v>
      </c>
    </row>
    <row r="63" customFormat="false" ht="15" hidden="false" customHeight="false" outlineLevel="0" collapsed="false">
      <c r="A63" s="0" t="n">
        <v>62</v>
      </c>
      <c r="B63" s="0" t="s">
        <v>47</v>
      </c>
      <c r="C63" s="0" t="s">
        <v>269</v>
      </c>
      <c r="D63" s="0" t="s">
        <v>262</v>
      </c>
      <c r="F63" s="0" t="s">
        <v>270</v>
      </c>
    </row>
    <row r="64" customFormat="false" ht="15" hidden="false" customHeight="false" outlineLevel="0" collapsed="false">
      <c r="A64" s="0" t="n">
        <v>63</v>
      </c>
      <c r="B64" s="0" t="s">
        <v>47</v>
      </c>
      <c r="C64" s="0" t="s">
        <v>320</v>
      </c>
      <c r="D64" s="0" t="s">
        <v>262</v>
      </c>
      <c r="F64" s="0" t="s">
        <v>270</v>
      </c>
    </row>
    <row r="65" customFormat="false" ht="15" hidden="false" customHeight="false" outlineLevel="0" collapsed="false">
      <c r="A65" s="0" t="n">
        <v>64</v>
      </c>
      <c r="B65" s="0" t="s">
        <v>50</v>
      </c>
      <c r="C65" s="0" t="s">
        <v>321</v>
      </c>
      <c r="D65" s="0" t="s">
        <v>262</v>
      </c>
    </row>
    <row r="66" customFormat="false" ht="15" hidden="false" customHeight="false" outlineLevel="0" collapsed="false">
      <c r="A66" s="0" t="n">
        <v>65</v>
      </c>
      <c r="B66" s="0" t="s">
        <v>50</v>
      </c>
      <c r="C66" s="0" t="s">
        <v>288</v>
      </c>
      <c r="D66" s="0" t="s">
        <v>262</v>
      </c>
      <c r="F66" s="0" t="s">
        <v>265</v>
      </c>
    </row>
    <row r="67" customFormat="false" ht="15" hidden="false" customHeight="false" outlineLevel="0" collapsed="false">
      <c r="A67" s="0" t="n">
        <v>66</v>
      </c>
      <c r="B67" s="0" t="s">
        <v>53</v>
      </c>
      <c r="C67" s="0" t="s">
        <v>281</v>
      </c>
      <c r="D67" s="0" t="s">
        <v>262</v>
      </c>
      <c r="F67" s="0" t="s">
        <v>263</v>
      </c>
    </row>
    <row r="68" customFormat="false" ht="15" hidden="false" customHeight="false" outlineLevel="0" collapsed="false">
      <c r="A68" s="0" t="n">
        <v>67</v>
      </c>
      <c r="B68" s="0" t="s">
        <v>53</v>
      </c>
      <c r="C68" s="0" t="s">
        <v>283</v>
      </c>
      <c r="D68" s="0" t="s">
        <v>262</v>
      </c>
      <c r="F68" s="0" t="s">
        <v>265</v>
      </c>
    </row>
    <row r="69" customFormat="false" ht="15" hidden="false" customHeight="false" outlineLevel="0" collapsed="false">
      <c r="A69" s="0" t="n">
        <v>68</v>
      </c>
      <c r="B69" s="0" t="s">
        <v>53</v>
      </c>
      <c r="C69" s="0" t="s">
        <v>322</v>
      </c>
      <c r="D69" s="0" t="s">
        <v>262</v>
      </c>
    </row>
    <row r="70" customFormat="false" ht="15" hidden="false" customHeight="false" outlineLevel="0" collapsed="false">
      <c r="A70" s="0" t="n">
        <v>69</v>
      </c>
      <c r="B70" s="0" t="s">
        <v>53</v>
      </c>
      <c r="C70" s="0" t="s">
        <v>323</v>
      </c>
      <c r="D70" s="0" t="s">
        <v>262</v>
      </c>
    </row>
    <row r="71" customFormat="false" ht="15" hidden="false" customHeight="false" outlineLevel="0" collapsed="false">
      <c r="A71" s="0" t="n">
        <v>70</v>
      </c>
      <c r="B71" s="0" t="s">
        <v>53</v>
      </c>
      <c r="C71" s="0" t="s">
        <v>273</v>
      </c>
      <c r="D71" s="0" t="s">
        <v>262</v>
      </c>
      <c r="F71" s="0" t="s">
        <v>273</v>
      </c>
    </row>
    <row r="72" customFormat="false" ht="15" hidden="false" customHeight="false" outlineLevel="0" collapsed="false">
      <c r="A72" s="0" t="n">
        <v>71</v>
      </c>
      <c r="B72" s="0" t="s">
        <v>53</v>
      </c>
      <c r="C72" s="0" t="s">
        <v>299</v>
      </c>
      <c r="D72" s="0" t="s">
        <v>262</v>
      </c>
      <c r="F72" s="0" t="s">
        <v>299</v>
      </c>
    </row>
    <row r="73" customFormat="false" ht="15" hidden="false" customHeight="false" outlineLevel="0" collapsed="false">
      <c r="A73" s="0" t="n">
        <v>72</v>
      </c>
      <c r="B73" s="0" t="s">
        <v>53</v>
      </c>
      <c r="C73" s="0" t="s">
        <v>324</v>
      </c>
      <c r="D73" s="0" t="s">
        <v>262</v>
      </c>
      <c r="F73" s="0" t="s">
        <v>285</v>
      </c>
    </row>
    <row r="74" customFormat="false" ht="15" hidden="false" customHeight="false" outlineLevel="0" collapsed="false">
      <c r="A74" s="0" t="n">
        <v>73</v>
      </c>
      <c r="B74" s="0" t="s">
        <v>53</v>
      </c>
      <c r="C74" s="0" t="s">
        <v>325</v>
      </c>
      <c r="D74" s="0" t="s">
        <v>262</v>
      </c>
      <c r="F74" s="0" t="s">
        <v>301</v>
      </c>
    </row>
    <row r="75" customFormat="false" ht="15" hidden="false" customHeight="false" outlineLevel="0" collapsed="false">
      <c r="A75" s="0" t="n">
        <v>74</v>
      </c>
      <c r="B75" s="0" t="s">
        <v>53</v>
      </c>
      <c r="C75" s="0" t="s">
        <v>326</v>
      </c>
      <c r="D75" s="0" t="s">
        <v>262</v>
      </c>
    </row>
    <row r="76" customFormat="false" ht="15" hidden="false" customHeight="false" outlineLevel="0" collapsed="false">
      <c r="A76" s="0" t="n">
        <v>75</v>
      </c>
      <c r="B76" s="0" t="s">
        <v>57</v>
      </c>
      <c r="C76" s="0" t="s">
        <v>327</v>
      </c>
      <c r="D76" s="0" t="s">
        <v>328</v>
      </c>
    </row>
    <row r="77" customFormat="false" ht="15" hidden="false" customHeight="false" outlineLevel="0" collapsed="false">
      <c r="A77" s="0" t="n">
        <v>76</v>
      </c>
      <c r="B77" s="0" t="s">
        <v>57</v>
      </c>
      <c r="C77" s="0" t="s">
        <v>281</v>
      </c>
      <c r="D77" s="0" t="s">
        <v>262</v>
      </c>
      <c r="F77" s="0" t="s">
        <v>263</v>
      </c>
    </row>
    <row r="78" customFormat="false" ht="15" hidden="false" customHeight="false" outlineLevel="0" collapsed="false">
      <c r="A78" s="0" t="n">
        <v>77</v>
      </c>
      <c r="B78" s="0" t="s">
        <v>57</v>
      </c>
      <c r="C78" s="0" t="s">
        <v>283</v>
      </c>
      <c r="D78" s="0" t="s">
        <v>262</v>
      </c>
      <c r="F78" s="0" t="s">
        <v>265</v>
      </c>
    </row>
    <row r="79" customFormat="false" ht="15" hidden="false" customHeight="false" outlineLevel="0" collapsed="false">
      <c r="A79" s="0" t="n">
        <v>78</v>
      </c>
      <c r="B79" s="0" t="s">
        <v>57</v>
      </c>
      <c r="C79" s="0" t="s">
        <v>272</v>
      </c>
      <c r="D79" s="0" t="s">
        <v>262</v>
      </c>
    </row>
    <row r="80" customFormat="false" ht="15" hidden="false" customHeight="false" outlineLevel="0" collapsed="false">
      <c r="A80" s="0" t="n">
        <v>79</v>
      </c>
      <c r="B80" s="0" t="s">
        <v>57</v>
      </c>
      <c r="C80" s="0" t="s">
        <v>273</v>
      </c>
      <c r="D80" s="0" t="s">
        <v>262</v>
      </c>
      <c r="F80" s="0" t="s">
        <v>273</v>
      </c>
    </row>
    <row r="81" customFormat="false" ht="15" hidden="false" customHeight="false" outlineLevel="0" collapsed="false">
      <c r="A81" s="0" t="n">
        <v>80</v>
      </c>
      <c r="B81" s="0" t="s">
        <v>57</v>
      </c>
      <c r="C81" s="0" t="s">
        <v>329</v>
      </c>
      <c r="D81" s="0" t="s">
        <v>262</v>
      </c>
      <c r="F81" s="0" t="s">
        <v>311</v>
      </c>
    </row>
    <row r="82" customFormat="false" ht="15" hidden="false" customHeight="false" outlineLevel="0" collapsed="false">
      <c r="A82" s="0" t="n">
        <v>81</v>
      </c>
      <c r="B82" s="0" t="s">
        <v>57</v>
      </c>
      <c r="C82" s="0" t="s">
        <v>330</v>
      </c>
      <c r="D82" s="0" t="s">
        <v>262</v>
      </c>
      <c r="F82" s="0" t="s">
        <v>270</v>
      </c>
    </row>
    <row r="83" customFormat="false" ht="15" hidden="false" customHeight="false" outlineLevel="0" collapsed="false">
      <c r="A83" s="0" t="n">
        <v>82</v>
      </c>
      <c r="B83" s="0" t="s">
        <v>57</v>
      </c>
      <c r="C83" s="0" t="s">
        <v>301</v>
      </c>
      <c r="D83" s="0" t="s">
        <v>262</v>
      </c>
      <c r="F83" s="0" t="s">
        <v>301</v>
      </c>
    </row>
    <row r="84" customFormat="false" ht="15" hidden="false" customHeight="false" outlineLevel="0" collapsed="false">
      <c r="A84" s="0" t="n">
        <v>83</v>
      </c>
      <c r="B84" s="0" t="s">
        <v>60</v>
      </c>
      <c r="C84" s="0" t="s">
        <v>331</v>
      </c>
      <c r="D84" s="0" t="s">
        <v>262</v>
      </c>
    </row>
    <row r="85" customFormat="false" ht="15" hidden="false" customHeight="false" outlineLevel="0" collapsed="false">
      <c r="A85" s="0" t="n">
        <v>84</v>
      </c>
      <c r="B85" s="0" t="s">
        <v>60</v>
      </c>
      <c r="C85" s="0" t="s">
        <v>307</v>
      </c>
      <c r="D85" s="0" t="s">
        <v>262</v>
      </c>
    </row>
    <row r="86" customFormat="false" ht="15" hidden="false" customHeight="false" outlineLevel="0" collapsed="false">
      <c r="A86" s="0" t="n">
        <v>85</v>
      </c>
      <c r="B86" s="0" t="s">
        <v>64</v>
      </c>
      <c r="C86" s="0" t="s">
        <v>332</v>
      </c>
      <c r="D86" s="0" t="s">
        <v>262</v>
      </c>
    </row>
    <row r="87" customFormat="false" ht="15" hidden="false" customHeight="false" outlineLevel="0" collapsed="false">
      <c r="A87" s="0" t="n">
        <v>86</v>
      </c>
      <c r="B87" s="0" t="s">
        <v>64</v>
      </c>
      <c r="C87" s="0" t="s">
        <v>333</v>
      </c>
      <c r="D87" s="0" t="s">
        <v>262</v>
      </c>
    </row>
    <row r="88" customFormat="false" ht="15" hidden="false" customHeight="false" outlineLevel="0" collapsed="false">
      <c r="A88" s="0" t="n">
        <v>87</v>
      </c>
      <c r="B88" s="0" t="s">
        <v>64</v>
      </c>
      <c r="C88" s="0" t="s">
        <v>334</v>
      </c>
      <c r="D88" s="0" t="s">
        <v>262</v>
      </c>
    </row>
    <row r="89" customFormat="false" ht="15" hidden="false" customHeight="false" outlineLevel="0" collapsed="false">
      <c r="A89" s="0" t="n">
        <v>88</v>
      </c>
      <c r="B89" s="0" t="s">
        <v>64</v>
      </c>
      <c r="C89" s="0" t="s">
        <v>335</v>
      </c>
      <c r="D89" s="0" t="s">
        <v>262</v>
      </c>
    </row>
    <row r="90" customFormat="false" ht="15" hidden="false" customHeight="false" outlineLevel="0" collapsed="false">
      <c r="A90" s="0" t="n">
        <v>89</v>
      </c>
      <c r="B90" s="0" t="s">
        <v>64</v>
      </c>
      <c r="C90" s="0" t="s">
        <v>299</v>
      </c>
      <c r="D90" s="0" t="s">
        <v>262</v>
      </c>
      <c r="F90" s="0" t="s">
        <v>299</v>
      </c>
    </row>
    <row r="91" customFormat="false" ht="15" hidden="false" customHeight="false" outlineLevel="0" collapsed="false">
      <c r="A91" s="0" t="n">
        <v>90</v>
      </c>
      <c r="B91" s="0" t="s">
        <v>68</v>
      </c>
      <c r="C91" s="0" t="s">
        <v>281</v>
      </c>
      <c r="D91" s="0" t="s">
        <v>336</v>
      </c>
      <c r="F91" s="0" t="s">
        <v>263</v>
      </c>
    </row>
    <row r="92" customFormat="false" ht="15" hidden="false" customHeight="false" outlineLevel="0" collapsed="false">
      <c r="A92" s="0" t="n">
        <v>91</v>
      </c>
      <c r="B92" s="0" t="s">
        <v>68</v>
      </c>
      <c r="C92" s="0" t="s">
        <v>266</v>
      </c>
      <c r="D92" s="0" t="s">
        <v>337</v>
      </c>
      <c r="F92" s="0" t="s">
        <v>267</v>
      </c>
    </row>
    <row r="93" customFormat="false" ht="15" hidden="false" customHeight="false" outlineLevel="0" collapsed="false">
      <c r="A93" s="0" t="n">
        <v>92</v>
      </c>
      <c r="B93" s="0" t="s">
        <v>68</v>
      </c>
      <c r="C93" s="0" t="s">
        <v>288</v>
      </c>
      <c r="D93" s="0" t="s">
        <v>262</v>
      </c>
      <c r="F93" s="0" t="s">
        <v>265</v>
      </c>
    </row>
    <row r="94" customFormat="false" ht="15" hidden="false" customHeight="false" outlineLevel="0" collapsed="false">
      <c r="A94" s="0" t="n">
        <v>93</v>
      </c>
      <c r="B94" s="0" t="s">
        <v>68</v>
      </c>
      <c r="C94" s="0" t="s">
        <v>338</v>
      </c>
      <c r="D94" s="0" t="s">
        <v>262</v>
      </c>
    </row>
    <row r="95" customFormat="false" ht="15" hidden="false" customHeight="false" outlineLevel="0" collapsed="false">
      <c r="A95" s="0" t="n">
        <v>94</v>
      </c>
      <c r="B95" s="0" t="s">
        <v>68</v>
      </c>
      <c r="C95" s="0" t="s">
        <v>273</v>
      </c>
      <c r="D95" s="0" t="s">
        <v>262</v>
      </c>
      <c r="F95" s="0" t="s">
        <v>273</v>
      </c>
    </row>
    <row r="96" customFormat="false" ht="15" hidden="false" customHeight="false" outlineLevel="0" collapsed="false">
      <c r="A96" s="0" t="n">
        <v>95</v>
      </c>
      <c r="B96" s="0" t="s">
        <v>68</v>
      </c>
      <c r="C96" s="0" t="s">
        <v>272</v>
      </c>
      <c r="D96" s="0" t="s">
        <v>262</v>
      </c>
    </row>
    <row r="97" customFormat="false" ht="15" hidden="false" customHeight="false" outlineLevel="0" collapsed="false">
      <c r="A97" s="0" t="n">
        <v>96</v>
      </c>
      <c r="B97" s="0" t="s">
        <v>71</v>
      </c>
      <c r="C97" s="0" t="s">
        <v>339</v>
      </c>
      <c r="D97" s="0" t="s">
        <v>340</v>
      </c>
    </row>
    <row r="98" customFormat="false" ht="15" hidden="false" customHeight="false" outlineLevel="0" collapsed="false">
      <c r="A98" s="0" t="n">
        <v>97</v>
      </c>
      <c r="B98" s="0" t="s">
        <v>71</v>
      </c>
      <c r="C98" s="0" t="s">
        <v>330</v>
      </c>
      <c r="D98" s="0" t="s">
        <v>341</v>
      </c>
      <c r="F98" s="0" t="s">
        <v>270</v>
      </c>
    </row>
    <row r="99" customFormat="false" ht="15" hidden="false" customHeight="false" outlineLevel="0" collapsed="false">
      <c r="A99" s="0" t="n">
        <v>98</v>
      </c>
      <c r="B99" s="0" t="s">
        <v>71</v>
      </c>
      <c r="C99" s="0" t="s">
        <v>281</v>
      </c>
      <c r="D99" s="0" t="s">
        <v>262</v>
      </c>
      <c r="F99" s="0" t="s">
        <v>263</v>
      </c>
    </row>
    <row r="100" customFormat="false" ht="15" hidden="false" customHeight="false" outlineLevel="0" collapsed="false">
      <c r="A100" s="0" t="n">
        <v>99</v>
      </c>
      <c r="B100" s="0" t="s">
        <v>71</v>
      </c>
      <c r="C100" s="0" t="s">
        <v>283</v>
      </c>
      <c r="D100" s="0" t="s">
        <v>262</v>
      </c>
      <c r="F100" s="0" t="s">
        <v>265</v>
      </c>
    </row>
    <row r="101" customFormat="false" ht="15" hidden="false" customHeight="false" outlineLevel="0" collapsed="false">
      <c r="A101" s="0" t="n">
        <v>100</v>
      </c>
      <c r="B101" s="0" t="s">
        <v>71</v>
      </c>
      <c r="C101" s="0" t="s">
        <v>284</v>
      </c>
      <c r="D101" s="0" t="s">
        <v>262</v>
      </c>
      <c r="F101" s="0" t="s">
        <v>285</v>
      </c>
    </row>
    <row r="102" customFormat="false" ht="15" hidden="false" customHeight="false" outlineLevel="0" collapsed="false">
      <c r="A102" s="0" t="n">
        <v>101</v>
      </c>
      <c r="B102" s="0" t="s">
        <v>71</v>
      </c>
      <c r="C102" s="0" t="s">
        <v>299</v>
      </c>
      <c r="D102" s="0" t="s">
        <v>262</v>
      </c>
      <c r="F102" s="0" t="s">
        <v>299</v>
      </c>
    </row>
    <row r="103" customFormat="false" ht="15" hidden="false" customHeight="false" outlineLevel="0" collapsed="false">
      <c r="A103" s="0" t="n">
        <v>102</v>
      </c>
      <c r="B103" s="0" t="s">
        <v>74</v>
      </c>
      <c r="C103" s="0" t="s">
        <v>321</v>
      </c>
      <c r="D103" s="0" t="s">
        <v>262</v>
      </c>
    </row>
    <row r="104" customFormat="false" ht="15" hidden="false" customHeight="false" outlineLevel="0" collapsed="false">
      <c r="A104" s="0" t="n">
        <v>103</v>
      </c>
      <c r="B104" s="0" t="s">
        <v>74</v>
      </c>
      <c r="C104" s="0" t="s">
        <v>342</v>
      </c>
      <c r="D104" s="0" t="s">
        <v>262</v>
      </c>
      <c r="F104" s="0" t="s">
        <v>311</v>
      </c>
    </row>
    <row r="105" customFormat="false" ht="15" hidden="false" customHeight="false" outlineLevel="0" collapsed="false">
      <c r="A105" s="0" t="n">
        <v>104</v>
      </c>
      <c r="B105" s="0" t="s">
        <v>74</v>
      </c>
      <c r="C105" s="0" t="s">
        <v>343</v>
      </c>
      <c r="D105" s="0" t="s">
        <v>262</v>
      </c>
    </row>
    <row r="106" customFormat="false" ht="15" hidden="false" customHeight="false" outlineLevel="0" collapsed="false">
      <c r="A106" s="0" t="n">
        <v>105</v>
      </c>
      <c r="B106" s="0" t="s">
        <v>74</v>
      </c>
      <c r="C106" s="0" t="s">
        <v>273</v>
      </c>
      <c r="D106" s="0" t="s">
        <v>262</v>
      </c>
      <c r="F106" s="0" t="s">
        <v>273</v>
      </c>
    </row>
    <row r="107" customFormat="false" ht="15" hidden="false" customHeight="false" outlineLevel="0" collapsed="false">
      <c r="A107" s="0" t="n">
        <v>106</v>
      </c>
      <c r="B107" s="0" t="s">
        <v>74</v>
      </c>
      <c r="C107" s="0" t="s">
        <v>324</v>
      </c>
      <c r="D107" s="0" t="s">
        <v>262</v>
      </c>
      <c r="F107" s="0" t="s">
        <v>285</v>
      </c>
    </row>
    <row r="108" customFormat="false" ht="15" hidden="false" customHeight="false" outlineLevel="0" collapsed="false">
      <c r="A108" s="0" t="n">
        <v>107</v>
      </c>
      <c r="B108" s="0" t="s">
        <v>74</v>
      </c>
      <c r="C108" s="0" t="s">
        <v>299</v>
      </c>
      <c r="D108" s="0" t="s">
        <v>262</v>
      </c>
      <c r="F108" s="0" t="s">
        <v>299</v>
      </c>
    </row>
    <row r="109" customFormat="false" ht="15" hidden="false" customHeight="false" outlineLevel="0" collapsed="false">
      <c r="A109" s="0" t="n">
        <v>108</v>
      </c>
      <c r="B109" s="0" t="s">
        <v>78</v>
      </c>
      <c r="C109" s="0" t="s">
        <v>344</v>
      </c>
      <c r="D109" s="0" t="s">
        <v>345</v>
      </c>
      <c r="F109" s="0" t="s">
        <v>263</v>
      </c>
    </row>
    <row r="110" customFormat="false" ht="15" hidden="false" customHeight="false" outlineLevel="0" collapsed="false">
      <c r="A110" s="0" t="n">
        <v>109</v>
      </c>
      <c r="B110" s="0" t="s">
        <v>78</v>
      </c>
      <c r="C110" s="0" t="s">
        <v>346</v>
      </c>
      <c r="D110" s="0" t="s">
        <v>262</v>
      </c>
      <c r="F110" s="0" t="s">
        <v>263</v>
      </c>
    </row>
    <row r="111" customFormat="false" ht="15" hidden="false" customHeight="false" outlineLevel="0" collapsed="false">
      <c r="A111" s="0" t="n">
        <v>110</v>
      </c>
      <c r="B111" s="0" t="s">
        <v>78</v>
      </c>
      <c r="C111" s="0" t="s">
        <v>283</v>
      </c>
      <c r="D111" s="0" t="s">
        <v>262</v>
      </c>
      <c r="F111" s="0" t="s">
        <v>265</v>
      </c>
    </row>
    <row r="112" customFormat="false" ht="15" hidden="false" customHeight="false" outlineLevel="0" collapsed="false">
      <c r="A112" s="0" t="n">
        <v>111</v>
      </c>
      <c r="B112" s="0" t="s">
        <v>78</v>
      </c>
      <c r="C112" s="0" t="s">
        <v>347</v>
      </c>
      <c r="D112" s="0" t="s">
        <v>262</v>
      </c>
      <c r="F112" s="0" t="s">
        <v>348</v>
      </c>
    </row>
    <row r="113" customFormat="false" ht="15" hidden="false" customHeight="false" outlineLevel="0" collapsed="false">
      <c r="A113" s="0" t="n">
        <v>112</v>
      </c>
      <c r="B113" s="0" t="s">
        <v>78</v>
      </c>
      <c r="C113" s="0" t="s">
        <v>273</v>
      </c>
      <c r="D113" s="0" t="s">
        <v>262</v>
      </c>
      <c r="F113" s="0" t="s">
        <v>273</v>
      </c>
    </row>
    <row r="114" customFormat="false" ht="15" hidden="false" customHeight="false" outlineLevel="0" collapsed="false">
      <c r="A114" s="0" t="n">
        <v>113</v>
      </c>
      <c r="B114" s="0" t="s">
        <v>81</v>
      </c>
      <c r="C114" s="0" t="s">
        <v>349</v>
      </c>
      <c r="D114" s="0" t="s">
        <v>350</v>
      </c>
      <c r="F114" s="0" t="s">
        <v>263</v>
      </c>
    </row>
    <row r="115" customFormat="false" ht="15" hidden="false" customHeight="false" outlineLevel="0" collapsed="false">
      <c r="A115" s="0" t="n">
        <v>114</v>
      </c>
      <c r="B115" s="0" t="s">
        <v>81</v>
      </c>
      <c r="C115" s="0" t="s">
        <v>351</v>
      </c>
      <c r="D115" s="0" t="s">
        <v>352</v>
      </c>
      <c r="F115" s="0" t="s">
        <v>265</v>
      </c>
    </row>
    <row r="116" customFormat="false" ht="15" hidden="false" customHeight="false" outlineLevel="0" collapsed="false">
      <c r="A116" s="0" t="n">
        <v>115</v>
      </c>
      <c r="B116" s="0" t="s">
        <v>81</v>
      </c>
      <c r="C116" s="0" t="s">
        <v>281</v>
      </c>
      <c r="D116" s="0" t="s">
        <v>262</v>
      </c>
      <c r="F116" s="0" t="s">
        <v>263</v>
      </c>
    </row>
    <row r="117" customFormat="false" ht="15" hidden="false" customHeight="false" outlineLevel="0" collapsed="false">
      <c r="A117" s="0" t="n">
        <v>116</v>
      </c>
      <c r="B117" s="0" t="s">
        <v>81</v>
      </c>
      <c r="C117" s="0" t="s">
        <v>276</v>
      </c>
      <c r="D117" s="0" t="s">
        <v>262</v>
      </c>
      <c r="F117" s="0" t="s">
        <v>276</v>
      </c>
    </row>
    <row r="118" customFormat="false" ht="15" hidden="false" customHeight="false" outlineLevel="0" collapsed="false">
      <c r="A118" s="0" t="n">
        <v>117</v>
      </c>
      <c r="B118" s="0" t="s">
        <v>81</v>
      </c>
      <c r="C118" s="0" t="s">
        <v>353</v>
      </c>
      <c r="D118" s="0" t="s">
        <v>262</v>
      </c>
    </row>
    <row r="119" customFormat="false" ht="15" hidden="false" customHeight="false" outlineLevel="0" collapsed="false">
      <c r="A119" s="0" t="n">
        <v>118</v>
      </c>
      <c r="B119" s="0" t="s">
        <v>83</v>
      </c>
      <c r="C119" s="0" t="s">
        <v>276</v>
      </c>
      <c r="D119" s="0" t="s">
        <v>262</v>
      </c>
      <c r="F119" s="0" t="s">
        <v>276</v>
      </c>
    </row>
    <row r="120" customFormat="false" ht="15" hidden="false" customHeight="false" outlineLevel="0" collapsed="false">
      <c r="A120" s="0" t="n">
        <v>119</v>
      </c>
      <c r="B120" s="0" t="s">
        <v>83</v>
      </c>
      <c r="C120" s="0" t="s">
        <v>299</v>
      </c>
      <c r="D120" s="0" t="s">
        <v>262</v>
      </c>
      <c r="F120" s="0" t="s">
        <v>299</v>
      </c>
    </row>
    <row r="121" customFormat="false" ht="15" hidden="false" customHeight="false" outlineLevel="0" collapsed="false">
      <c r="A121" s="0" t="n">
        <v>120</v>
      </c>
      <c r="B121" s="0" t="s">
        <v>83</v>
      </c>
      <c r="C121" s="0" t="s">
        <v>353</v>
      </c>
      <c r="D121" s="0" t="s">
        <v>262</v>
      </c>
    </row>
    <row r="122" customFormat="false" ht="15" hidden="false" customHeight="false" outlineLevel="0" collapsed="false">
      <c r="A122" s="0" t="n">
        <v>121</v>
      </c>
      <c r="B122" s="0" t="s">
        <v>83</v>
      </c>
      <c r="C122" s="0" t="s">
        <v>354</v>
      </c>
      <c r="D122" s="0" t="s">
        <v>262</v>
      </c>
    </row>
    <row r="123" customFormat="false" ht="15" hidden="false" customHeight="false" outlineLevel="0" collapsed="false">
      <c r="A123" s="0" t="n">
        <v>122</v>
      </c>
      <c r="B123" s="0" t="s">
        <v>83</v>
      </c>
      <c r="C123" s="0" t="s">
        <v>355</v>
      </c>
      <c r="D123" s="0" t="s">
        <v>262</v>
      </c>
    </row>
    <row r="124" customFormat="false" ht="15" hidden="false" customHeight="false" outlineLevel="0" collapsed="false">
      <c r="A124" s="0" t="n">
        <v>123</v>
      </c>
      <c r="B124" s="0" t="s">
        <v>86</v>
      </c>
      <c r="C124" s="0" t="s">
        <v>281</v>
      </c>
      <c r="D124" s="0" t="s">
        <v>356</v>
      </c>
      <c r="F124" s="0" t="s">
        <v>263</v>
      </c>
    </row>
    <row r="125" customFormat="false" ht="15" hidden="false" customHeight="false" outlineLevel="0" collapsed="false">
      <c r="A125" s="0" t="n">
        <v>124</v>
      </c>
      <c r="B125" s="0" t="s">
        <v>86</v>
      </c>
      <c r="C125" s="0" t="s">
        <v>357</v>
      </c>
      <c r="D125" s="0" t="s">
        <v>262</v>
      </c>
    </row>
    <row r="126" customFormat="false" ht="15" hidden="false" customHeight="false" outlineLevel="0" collapsed="false">
      <c r="A126" s="0" t="n">
        <v>125</v>
      </c>
      <c r="B126" s="0" t="s">
        <v>86</v>
      </c>
      <c r="C126" s="0" t="s">
        <v>288</v>
      </c>
      <c r="D126" s="0" t="s">
        <v>262</v>
      </c>
      <c r="F126" s="0" t="s">
        <v>265</v>
      </c>
    </row>
    <row r="127" customFormat="false" ht="15" hidden="false" customHeight="false" outlineLevel="0" collapsed="false">
      <c r="A127" s="0" t="n">
        <v>126</v>
      </c>
      <c r="B127" s="0" t="s">
        <v>86</v>
      </c>
      <c r="C127" s="0" t="s">
        <v>358</v>
      </c>
      <c r="D127" s="0" t="s">
        <v>262</v>
      </c>
    </row>
    <row r="128" customFormat="false" ht="15" hidden="false" customHeight="false" outlineLevel="0" collapsed="false">
      <c r="A128" s="0" t="n">
        <v>127</v>
      </c>
      <c r="B128" s="0" t="s">
        <v>86</v>
      </c>
      <c r="C128" s="0" t="s">
        <v>323</v>
      </c>
      <c r="D128" s="0" t="s">
        <v>262</v>
      </c>
    </row>
    <row r="129" customFormat="false" ht="15" hidden="false" customHeight="false" outlineLevel="0" collapsed="false">
      <c r="A129" s="0" t="n">
        <v>128</v>
      </c>
      <c r="B129" s="0" t="s">
        <v>86</v>
      </c>
      <c r="C129" s="0" t="s">
        <v>359</v>
      </c>
      <c r="D129" s="0" t="s">
        <v>262</v>
      </c>
    </row>
    <row r="130" customFormat="false" ht="15" hidden="false" customHeight="false" outlineLevel="0" collapsed="false">
      <c r="A130" s="0" t="n">
        <v>129</v>
      </c>
      <c r="B130" s="0" t="s">
        <v>86</v>
      </c>
      <c r="C130" s="0" t="s">
        <v>324</v>
      </c>
      <c r="D130" s="0" t="s">
        <v>262</v>
      </c>
      <c r="F130" s="0" t="s">
        <v>285</v>
      </c>
    </row>
    <row r="131" customFormat="false" ht="15" hidden="false" customHeight="false" outlineLevel="0" collapsed="false">
      <c r="A131" s="0" t="n">
        <v>130</v>
      </c>
      <c r="B131" s="0" t="s">
        <v>86</v>
      </c>
      <c r="C131" s="0" t="s">
        <v>360</v>
      </c>
      <c r="D131" s="0" t="s">
        <v>262</v>
      </c>
    </row>
    <row r="132" customFormat="false" ht="15" hidden="false" customHeight="false" outlineLevel="0" collapsed="false">
      <c r="A132" s="0" t="n">
        <v>131</v>
      </c>
      <c r="B132" s="0" t="s">
        <v>86</v>
      </c>
      <c r="C132" s="0" t="s">
        <v>361</v>
      </c>
      <c r="D132" s="0" t="s">
        <v>262</v>
      </c>
    </row>
    <row r="133" customFormat="false" ht="15" hidden="false" customHeight="false" outlineLevel="0" collapsed="false">
      <c r="A133" s="0" t="n">
        <v>132</v>
      </c>
      <c r="B133" s="0" t="s">
        <v>86</v>
      </c>
      <c r="C133" s="0" t="s">
        <v>362</v>
      </c>
      <c r="D133" s="0" t="s">
        <v>262</v>
      </c>
    </row>
    <row r="134" customFormat="false" ht="15" hidden="false" customHeight="false" outlineLevel="0" collapsed="false">
      <c r="A134" s="0" t="n">
        <v>133</v>
      </c>
      <c r="B134" s="0" t="s">
        <v>86</v>
      </c>
      <c r="C134" s="0" t="s">
        <v>363</v>
      </c>
      <c r="D134" s="0" t="s">
        <v>262</v>
      </c>
    </row>
    <row r="135" customFormat="false" ht="15" hidden="false" customHeight="false" outlineLevel="0" collapsed="false">
      <c r="A135" s="0" t="n">
        <v>134</v>
      </c>
      <c r="B135" s="0" t="s">
        <v>86</v>
      </c>
      <c r="C135" s="0" t="s">
        <v>299</v>
      </c>
      <c r="D135" s="0" t="s">
        <v>262</v>
      </c>
      <c r="F135" s="0" t="s">
        <v>299</v>
      </c>
    </row>
    <row r="136" customFormat="false" ht="15" hidden="false" customHeight="false" outlineLevel="0" collapsed="false">
      <c r="A136" s="0" t="n">
        <v>135</v>
      </c>
      <c r="B136" s="0" t="s">
        <v>89</v>
      </c>
      <c r="C136" s="0" t="s">
        <v>364</v>
      </c>
      <c r="D136" s="0" t="s">
        <v>365</v>
      </c>
      <c r="F136" s="0" t="s">
        <v>278</v>
      </c>
    </row>
    <row r="137" customFormat="false" ht="15" hidden="false" customHeight="false" outlineLevel="0" collapsed="false">
      <c r="A137" s="0" t="n">
        <v>136</v>
      </c>
      <c r="B137" s="0" t="s">
        <v>89</v>
      </c>
      <c r="C137" s="0" t="s">
        <v>281</v>
      </c>
      <c r="D137" s="0" t="s">
        <v>262</v>
      </c>
      <c r="F137" s="0" t="s">
        <v>263</v>
      </c>
    </row>
    <row r="138" customFormat="false" ht="15" hidden="false" customHeight="false" outlineLevel="0" collapsed="false">
      <c r="A138" s="0" t="n">
        <v>137</v>
      </c>
      <c r="B138" s="0" t="s">
        <v>89</v>
      </c>
      <c r="C138" s="0" t="s">
        <v>306</v>
      </c>
      <c r="D138" s="0" t="s">
        <v>262</v>
      </c>
      <c r="F138" s="0" t="s">
        <v>265</v>
      </c>
    </row>
    <row r="139" customFormat="false" ht="15" hidden="false" customHeight="false" outlineLevel="0" collapsed="false">
      <c r="A139" s="0" t="n">
        <v>138</v>
      </c>
      <c r="B139" s="0" t="s">
        <v>89</v>
      </c>
      <c r="C139" s="0" t="s">
        <v>266</v>
      </c>
      <c r="D139" s="0" t="s">
        <v>262</v>
      </c>
      <c r="F139" s="0" t="s">
        <v>267</v>
      </c>
    </row>
    <row r="140" customFormat="false" ht="15" hidden="false" customHeight="false" outlineLevel="0" collapsed="false">
      <c r="A140" s="0" t="n">
        <v>139</v>
      </c>
      <c r="B140" s="0" t="s">
        <v>89</v>
      </c>
      <c r="C140" s="0" t="s">
        <v>279</v>
      </c>
      <c r="D140" s="0" t="s">
        <v>262</v>
      </c>
      <c r="F140" s="0" t="s">
        <v>280</v>
      </c>
    </row>
    <row r="141" customFormat="false" ht="15" hidden="false" customHeight="false" outlineLevel="0" collapsed="false">
      <c r="A141" s="0" t="n">
        <v>140</v>
      </c>
      <c r="B141" s="0" t="s">
        <v>89</v>
      </c>
      <c r="C141" s="0" t="s">
        <v>366</v>
      </c>
      <c r="D141" s="0" t="s">
        <v>262</v>
      </c>
    </row>
    <row r="142" customFormat="false" ht="15" hidden="false" customHeight="false" outlineLevel="0" collapsed="false">
      <c r="A142" s="0" t="n">
        <v>141</v>
      </c>
      <c r="B142" s="0" t="s">
        <v>94</v>
      </c>
      <c r="C142" s="0" t="s">
        <v>277</v>
      </c>
      <c r="D142" s="0" t="s">
        <v>262</v>
      </c>
      <c r="F142" s="0" t="s">
        <v>278</v>
      </c>
    </row>
    <row r="143" customFormat="false" ht="15" hidden="false" customHeight="false" outlineLevel="0" collapsed="false">
      <c r="A143" s="0" t="n">
        <v>142</v>
      </c>
      <c r="B143" s="0" t="s">
        <v>94</v>
      </c>
      <c r="C143" s="0" t="s">
        <v>367</v>
      </c>
      <c r="D143" s="0" t="s">
        <v>262</v>
      </c>
      <c r="F143" s="0" t="s">
        <v>368</v>
      </c>
    </row>
    <row r="144" customFormat="false" ht="15" hidden="false" customHeight="false" outlineLevel="0" collapsed="false">
      <c r="A144" s="0" t="n">
        <v>143</v>
      </c>
      <c r="B144" s="0" t="s">
        <v>94</v>
      </c>
      <c r="C144" s="0" t="s">
        <v>369</v>
      </c>
      <c r="D144" s="0" t="s">
        <v>262</v>
      </c>
    </row>
    <row r="145" customFormat="false" ht="15" hidden="false" customHeight="false" outlineLevel="0" collapsed="false">
      <c r="A145" s="0" t="n">
        <v>144</v>
      </c>
      <c r="B145" s="0" t="s">
        <v>94</v>
      </c>
      <c r="C145" s="0" t="s">
        <v>370</v>
      </c>
      <c r="D145" s="0" t="s">
        <v>262</v>
      </c>
    </row>
    <row r="146" customFormat="false" ht="15" hidden="false" customHeight="false" outlineLevel="0" collapsed="false">
      <c r="A146" s="0" t="n">
        <v>145</v>
      </c>
      <c r="B146" s="0" t="s">
        <v>98</v>
      </c>
      <c r="C146" s="0" t="s">
        <v>371</v>
      </c>
      <c r="D146" s="0" t="s">
        <v>372</v>
      </c>
      <c r="F146" s="0" t="s">
        <v>263</v>
      </c>
    </row>
    <row r="147" customFormat="false" ht="15" hidden="false" customHeight="false" outlineLevel="0" collapsed="false">
      <c r="A147" s="0" t="n">
        <v>146</v>
      </c>
      <c r="B147" s="0" t="s">
        <v>98</v>
      </c>
      <c r="C147" s="0" t="s">
        <v>283</v>
      </c>
      <c r="D147" s="0" t="s">
        <v>262</v>
      </c>
      <c r="F147" s="0" t="s">
        <v>265</v>
      </c>
    </row>
    <row r="148" customFormat="false" ht="15" hidden="false" customHeight="false" outlineLevel="0" collapsed="false">
      <c r="A148" s="0" t="n">
        <v>147</v>
      </c>
      <c r="B148" s="0" t="s">
        <v>98</v>
      </c>
      <c r="C148" s="0" t="s">
        <v>272</v>
      </c>
      <c r="D148" s="0" t="s">
        <v>262</v>
      </c>
    </row>
    <row r="149" customFormat="false" ht="15" hidden="false" customHeight="false" outlineLevel="0" collapsed="false">
      <c r="A149" s="0" t="n">
        <v>148</v>
      </c>
      <c r="B149" s="0" t="s">
        <v>98</v>
      </c>
      <c r="C149" s="0" t="s">
        <v>373</v>
      </c>
      <c r="D149" s="0" t="s">
        <v>262</v>
      </c>
    </row>
    <row r="150" customFormat="false" ht="15" hidden="false" customHeight="false" outlineLevel="0" collapsed="false">
      <c r="A150" s="0" t="n">
        <v>149</v>
      </c>
      <c r="B150" s="0" t="s">
        <v>98</v>
      </c>
      <c r="C150" s="0" t="s">
        <v>273</v>
      </c>
      <c r="D150" s="0" t="s">
        <v>262</v>
      </c>
      <c r="F150" s="0" t="s">
        <v>273</v>
      </c>
    </row>
    <row r="151" customFormat="false" ht="15" hidden="false" customHeight="false" outlineLevel="0" collapsed="false">
      <c r="A151" s="0" t="n">
        <v>150</v>
      </c>
      <c r="B151" s="0" t="s">
        <v>102</v>
      </c>
      <c r="C151" s="0" t="s">
        <v>281</v>
      </c>
      <c r="D151" s="0" t="s">
        <v>374</v>
      </c>
      <c r="F151" s="0" t="s">
        <v>263</v>
      </c>
    </row>
    <row r="152" customFormat="false" ht="15" hidden="false" customHeight="false" outlineLevel="0" collapsed="false">
      <c r="A152" s="0" t="n">
        <v>151</v>
      </c>
      <c r="B152" s="0" t="s">
        <v>102</v>
      </c>
      <c r="C152" s="0" t="s">
        <v>306</v>
      </c>
      <c r="D152" s="0" t="s">
        <v>262</v>
      </c>
      <c r="F152" s="0" t="s">
        <v>265</v>
      </c>
    </row>
    <row r="153" customFormat="false" ht="15" hidden="false" customHeight="false" outlineLevel="0" collapsed="false">
      <c r="A153" s="0" t="n">
        <v>152</v>
      </c>
      <c r="B153" s="0" t="s">
        <v>102</v>
      </c>
      <c r="C153" s="0" t="s">
        <v>375</v>
      </c>
      <c r="D153" s="0" t="s">
        <v>376</v>
      </c>
      <c r="F153" s="0" t="s">
        <v>275</v>
      </c>
    </row>
    <row r="154" customFormat="false" ht="15" hidden="false" customHeight="false" outlineLevel="0" collapsed="false">
      <c r="A154" s="0" t="n">
        <v>153</v>
      </c>
      <c r="B154" s="0" t="s">
        <v>105</v>
      </c>
      <c r="C154" s="0" t="s">
        <v>377</v>
      </c>
      <c r="D154" s="0" t="s">
        <v>378</v>
      </c>
    </row>
    <row r="155" customFormat="false" ht="15" hidden="false" customHeight="false" outlineLevel="0" collapsed="false">
      <c r="A155" s="0" t="n">
        <v>154</v>
      </c>
      <c r="B155" s="0" t="s">
        <v>105</v>
      </c>
      <c r="C155" s="0" t="s">
        <v>281</v>
      </c>
      <c r="D155" s="0" t="s">
        <v>262</v>
      </c>
      <c r="F155" s="0" t="s">
        <v>263</v>
      </c>
    </row>
    <row r="156" customFormat="false" ht="15" hidden="false" customHeight="false" outlineLevel="0" collapsed="false">
      <c r="A156" s="0" t="n">
        <v>155</v>
      </c>
      <c r="B156" s="0" t="s">
        <v>105</v>
      </c>
      <c r="C156" s="0" t="s">
        <v>288</v>
      </c>
      <c r="D156" s="0" t="s">
        <v>262</v>
      </c>
      <c r="F156" s="0" t="s">
        <v>265</v>
      </c>
    </row>
    <row r="157" customFormat="false" ht="15" hidden="false" customHeight="false" outlineLevel="0" collapsed="false">
      <c r="A157" s="0" t="n">
        <v>156</v>
      </c>
      <c r="B157" s="0" t="s">
        <v>105</v>
      </c>
      <c r="C157" s="0" t="s">
        <v>307</v>
      </c>
      <c r="D157" s="0" t="s">
        <v>262</v>
      </c>
    </row>
    <row r="158" customFormat="false" ht="15" hidden="false" customHeight="false" outlineLevel="0" collapsed="false">
      <c r="A158" s="0" t="n">
        <v>157</v>
      </c>
      <c r="B158" s="0" t="s">
        <v>109</v>
      </c>
      <c r="C158" s="0" t="s">
        <v>379</v>
      </c>
      <c r="D158" s="0" t="s">
        <v>380</v>
      </c>
      <c r="F158" s="0" t="s">
        <v>265</v>
      </c>
    </row>
    <row r="159" customFormat="false" ht="15" hidden="false" customHeight="false" outlineLevel="0" collapsed="false">
      <c r="A159" s="0" t="n">
        <v>158</v>
      </c>
      <c r="B159" s="0" t="s">
        <v>109</v>
      </c>
      <c r="C159" s="0" t="s">
        <v>381</v>
      </c>
      <c r="D159" s="0" t="s">
        <v>262</v>
      </c>
    </row>
    <row r="160" customFormat="false" ht="15" hidden="false" customHeight="false" outlineLevel="0" collapsed="false">
      <c r="A160" s="0" t="n">
        <v>159</v>
      </c>
      <c r="B160" s="0" t="s">
        <v>113</v>
      </c>
      <c r="C160" s="0" t="s">
        <v>382</v>
      </c>
      <c r="D160" s="0" t="s">
        <v>262</v>
      </c>
      <c r="F160" s="0" t="s">
        <v>263</v>
      </c>
    </row>
    <row r="161" customFormat="false" ht="15" hidden="false" customHeight="false" outlineLevel="0" collapsed="false">
      <c r="A161" s="0" t="n">
        <v>160</v>
      </c>
      <c r="B161" s="0" t="s">
        <v>113</v>
      </c>
      <c r="C161" s="0" t="s">
        <v>383</v>
      </c>
      <c r="D161" s="0" t="s">
        <v>262</v>
      </c>
      <c r="F161" s="0" t="s">
        <v>265</v>
      </c>
    </row>
    <row r="162" customFormat="false" ht="15" hidden="false" customHeight="false" outlineLevel="0" collapsed="false">
      <c r="A162" s="0" t="n">
        <v>161</v>
      </c>
      <c r="B162" s="0" t="s">
        <v>113</v>
      </c>
      <c r="C162" s="0" t="s">
        <v>384</v>
      </c>
      <c r="D162" s="0" t="s">
        <v>262</v>
      </c>
      <c r="F162" s="0" t="s">
        <v>278</v>
      </c>
    </row>
    <row r="163" customFormat="false" ht="15" hidden="false" customHeight="false" outlineLevel="0" collapsed="false">
      <c r="A163" s="0" t="n">
        <v>162</v>
      </c>
      <c r="B163" s="0" t="s">
        <v>113</v>
      </c>
      <c r="C163" s="0" t="s">
        <v>385</v>
      </c>
      <c r="D163" s="0" t="s">
        <v>262</v>
      </c>
      <c r="F163" s="0" t="s">
        <v>311</v>
      </c>
    </row>
    <row r="164" customFormat="false" ht="15" hidden="false" customHeight="false" outlineLevel="0" collapsed="false">
      <c r="A164" s="0" t="n">
        <v>163</v>
      </c>
      <c r="B164" s="0" t="s">
        <v>113</v>
      </c>
      <c r="C164" s="0" t="s">
        <v>386</v>
      </c>
      <c r="D164" s="0" t="s">
        <v>262</v>
      </c>
    </row>
    <row r="165" customFormat="false" ht="15" hidden="false" customHeight="false" outlineLevel="0" collapsed="false">
      <c r="A165" s="0" t="n">
        <v>164</v>
      </c>
      <c r="B165" s="0" t="s">
        <v>116</v>
      </c>
      <c r="C165" s="0" t="s">
        <v>387</v>
      </c>
      <c r="D165" s="0" t="s">
        <v>388</v>
      </c>
    </row>
    <row r="166" customFormat="false" ht="15" hidden="false" customHeight="false" outlineLevel="0" collapsed="false">
      <c r="A166" s="0" t="n">
        <v>165</v>
      </c>
      <c r="B166" s="0" t="s">
        <v>116</v>
      </c>
      <c r="C166" s="0" t="s">
        <v>321</v>
      </c>
      <c r="D166" s="0" t="s">
        <v>262</v>
      </c>
    </row>
    <row r="167" customFormat="false" ht="15" hidden="false" customHeight="false" outlineLevel="0" collapsed="false">
      <c r="A167" s="0" t="n">
        <v>166</v>
      </c>
      <c r="B167" s="0" t="s">
        <v>116</v>
      </c>
      <c r="C167" s="0" t="s">
        <v>389</v>
      </c>
      <c r="D167" s="0" t="s">
        <v>262</v>
      </c>
    </row>
    <row r="168" customFormat="false" ht="15" hidden="false" customHeight="false" outlineLevel="0" collapsed="false">
      <c r="A168" s="0" t="n">
        <v>167</v>
      </c>
      <c r="B168" s="0" t="s">
        <v>116</v>
      </c>
      <c r="C168" s="0" t="s">
        <v>284</v>
      </c>
      <c r="D168" s="0" t="s">
        <v>262</v>
      </c>
      <c r="F168" s="0" t="s">
        <v>285</v>
      </c>
    </row>
    <row r="169" customFormat="false" ht="15" hidden="false" customHeight="false" outlineLevel="0" collapsed="false">
      <c r="A169" s="0" t="n">
        <v>168</v>
      </c>
      <c r="B169" s="0" t="s">
        <v>116</v>
      </c>
      <c r="C169" s="0" t="s">
        <v>273</v>
      </c>
      <c r="D169" s="0" t="s">
        <v>262</v>
      </c>
      <c r="F169" s="0" t="s">
        <v>273</v>
      </c>
    </row>
    <row r="170" customFormat="false" ht="15" hidden="false" customHeight="false" outlineLevel="0" collapsed="false">
      <c r="A170" s="0" t="n">
        <v>169</v>
      </c>
      <c r="B170" s="0" t="s">
        <v>120</v>
      </c>
      <c r="C170" s="0" t="s">
        <v>390</v>
      </c>
      <c r="D170" s="0" t="s">
        <v>391</v>
      </c>
    </row>
    <row r="171" customFormat="false" ht="15" hidden="false" customHeight="false" outlineLevel="0" collapsed="false">
      <c r="A171" s="0" t="n">
        <v>170</v>
      </c>
      <c r="B171" s="0" t="s">
        <v>120</v>
      </c>
      <c r="C171" s="0" t="s">
        <v>392</v>
      </c>
      <c r="D171" s="0" t="s">
        <v>393</v>
      </c>
    </row>
    <row r="172" customFormat="false" ht="15" hidden="false" customHeight="false" outlineLevel="0" collapsed="false">
      <c r="A172" s="0" t="n">
        <v>171</v>
      </c>
      <c r="B172" s="0" t="s">
        <v>120</v>
      </c>
      <c r="C172" s="0" t="s">
        <v>394</v>
      </c>
      <c r="D172" s="0" t="s">
        <v>395</v>
      </c>
    </row>
    <row r="173" customFormat="false" ht="15" hidden="false" customHeight="false" outlineLevel="0" collapsed="false">
      <c r="A173" s="0" t="n">
        <v>172</v>
      </c>
      <c r="B173" s="0" t="s">
        <v>120</v>
      </c>
      <c r="C173" s="0" t="s">
        <v>396</v>
      </c>
      <c r="D173" s="0" t="s">
        <v>397</v>
      </c>
    </row>
    <row r="174" customFormat="false" ht="15" hidden="false" customHeight="false" outlineLevel="0" collapsed="false">
      <c r="A174" s="0" t="n">
        <v>173</v>
      </c>
      <c r="B174" s="0" t="s">
        <v>120</v>
      </c>
      <c r="C174" s="0" t="s">
        <v>398</v>
      </c>
      <c r="D174" s="0" t="s">
        <v>399</v>
      </c>
    </row>
    <row r="175" customFormat="false" ht="15" hidden="false" customHeight="false" outlineLevel="0" collapsed="false">
      <c r="A175" s="0" t="n">
        <v>174</v>
      </c>
      <c r="B175" s="0" t="s">
        <v>120</v>
      </c>
      <c r="C175" s="0" t="s">
        <v>299</v>
      </c>
      <c r="D175" s="0" t="s">
        <v>262</v>
      </c>
      <c r="F175" s="0" t="s">
        <v>299</v>
      </c>
    </row>
    <row r="176" customFormat="false" ht="15" hidden="false" customHeight="false" outlineLevel="0" collapsed="false">
      <c r="A176" s="0" t="n">
        <v>175</v>
      </c>
      <c r="B176" s="0" t="s">
        <v>120</v>
      </c>
      <c r="C176" s="0" t="s">
        <v>301</v>
      </c>
      <c r="D176" s="0" t="s">
        <v>262</v>
      </c>
      <c r="F176" s="0" t="s">
        <v>301</v>
      </c>
    </row>
    <row r="177" customFormat="false" ht="15" hidden="false" customHeight="false" outlineLevel="0" collapsed="false">
      <c r="A177" s="0" t="n">
        <v>176</v>
      </c>
      <c r="B177" s="0" t="s">
        <v>124</v>
      </c>
      <c r="C177" s="0" t="s">
        <v>400</v>
      </c>
      <c r="D177" s="0" t="s">
        <v>262</v>
      </c>
      <c r="F177" s="0" t="s">
        <v>263</v>
      </c>
    </row>
    <row r="178" customFormat="false" ht="15" hidden="false" customHeight="false" outlineLevel="0" collapsed="false">
      <c r="A178" s="0" t="n">
        <v>177</v>
      </c>
      <c r="B178" s="0" t="s">
        <v>124</v>
      </c>
      <c r="C178" s="0" t="s">
        <v>401</v>
      </c>
      <c r="D178" s="0" t="s">
        <v>262</v>
      </c>
      <c r="F178" s="0" t="s">
        <v>263</v>
      </c>
    </row>
    <row r="179" customFormat="false" ht="15" hidden="false" customHeight="false" outlineLevel="0" collapsed="false">
      <c r="A179" s="0" t="n">
        <v>178</v>
      </c>
      <c r="B179" s="0" t="s">
        <v>124</v>
      </c>
      <c r="C179" s="0" t="s">
        <v>402</v>
      </c>
      <c r="D179" s="0" t="s">
        <v>262</v>
      </c>
      <c r="F179" s="0" t="s">
        <v>263</v>
      </c>
    </row>
    <row r="180" customFormat="false" ht="15" hidden="false" customHeight="false" outlineLevel="0" collapsed="false">
      <c r="A180" s="0" t="n">
        <v>179</v>
      </c>
      <c r="B180" s="0" t="s">
        <v>124</v>
      </c>
      <c r="C180" s="0" t="s">
        <v>403</v>
      </c>
      <c r="D180" s="0" t="s">
        <v>262</v>
      </c>
      <c r="F180" s="0" t="s">
        <v>263</v>
      </c>
    </row>
    <row r="181" customFormat="false" ht="15" hidden="false" customHeight="false" outlineLevel="0" collapsed="false">
      <c r="A181" s="0" t="n">
        <v>180</v>
      </c>
      <c r="B181" s="0" t="s">
        <v>124</v>
      </c>
      <c r="C181" s="0" t="s">
        <v>404</v>
      </c>
      <c r="D181" s="0" t="s">
        <v>262</v>
      </c>
      <c r="F181" s="0" t="s">
        <v>263</v>
      </c>
    </row>
    <row r="182" customFormat="false" ht="15" hidden="false" customHeight="false" outlineLevel="0" collapsed="false">
      <c r="A182" s="0" t="n">
        <v>181</v>
      </c>
      <c r="B182" s="0" t="s">
        <v>124</v>
      </c>
      <c r="C182" s="0" t="s">
        <v>405</v>
      </c>
      <c r="D182" s="0" t="s">
        <v>262</v>
      </c>
      <c r="F182" s="0" t="s">
        <v>263</v>
      </c>
    </row>
    <row r="183" customFormat="false" ht="15" hidden="false" customHeight="false" outlineLevel="0" collapsed="false">
      <c r="A183" s="0" t="n">
        <v>182</v>
      </c>
      <c r="B183" s="0" t="s">
        <v>124</v>
      </c>
      <c r="C183" s="0" t="s">
        <v>406</v>
      </c>
      <c r="D183" s="0" t="s">
        <v>262</v>
      </c>
      <c r="F183" s="0" t="s">
        <v>263</v>
      </c>
    </row>
    <row r="184" customFormat="false" ht="15" hidden="false" customHeight="false" outlineLevel="0" collapsed="false">
      <c r="A184" s="0" t="n">
        <v>183</v>
      </c>
      <c r="B184" s="0" t="s">
        <v>124</v>
      </c>
      <c r="C184" s="0" t="s">
        <v>407</v>
      </c>
      <c r="D184" s="0" t="s">
        <v>262</v>
      </c>
      <c r="F184" s="0" t="s">
        <v>408</v>
      </c>
    </row>
    <row r="185" customFormat="false" ht="15" hidden="false" customHeight="false" outlineLevel="0" collapsed="false">
      <c r="A185" s="0" t="n">
        <v>184</v>
      </c>
      <c r="B185" s="0" t="s">
        <v>124</v>
      </c>
      <c r="C185" s="0" t="s">
        <v>409</v>
      </c>
      <c r="D185" s="0" t="s">
        <v>262</v>
      </c>
      <c r="F185" s="0" t="s">
        <v>263</v>
      </c>
    </row>
    <row r="186" customFormat="false" ht="15" hidden="false" customHeight="false" outlineLevel="0" collapsed="false">
      <c r="A186" s="0" t="n">
        <v>185</v>
      </c>
      <c r="B186" s="0" t="s">
        <v>124</v>
      </c>
      <c r="C186" s="0" t="s">
        <v>410</v>
      </c>
      <c r="D186" s="0" t="s">
        <v>262</v>
      </c>
      <c r="F186" s="0" t="s">
        <v>263</v>
      </c>
    </row>
    <row r="187" customFormat="false" ht="15" hidden="false" customHeight="false" outlineLevel="0" collapsed="false">
      <c r="A187" s="0" t="n">
        <v>186</v>
      </c>
      <c r="B187" s="0" t="s">
        <v>124</v>
      </c>
      <c r="C187" s="0" t="s">
        <v>411</v>
      </c>
      <c r="D187" s="0" t="s">
        <v>262</v>
      </c>
      <c r="F187" s="0" t="s">
        <v>263</v>
      </c>
    </row>
    <row r="188" customFormat="false" ht="15" hidden="false" customHeight="false" outlineLevel="0" collapsed="false">
      <c r="A188" s="0" t="n">
        <v>187</v>
      </c>
      <c r="B188" s="0" t="s">
        <v>124</v>
      </c>
      <c r="C188" s="0" t="s">
        <v>412</v>
      </c>
      <c r="D188" s="0" t="s">
        <v>262</v>
      </c>
      <c r="F188" s="0" t="s">
        <v>263</v>
      </c>
    </row>
    <row r="189" customFormat="false" ht="15" hidden="false" customHeight="false" outlineLevel="0" collapsed="false">
      <c r="A189" s="0" t="n">
        <v>188</v>
      </c>
      <c r="B189" s="0" t="s">
        <v>124</v>
      </c>
      <c r="C189" s="0" t="s">
        <v>413</v>
      </c>
      <c r="D189" s="0" t="s">
        <v>262</v>
      </c>
      <c r="F189" s="0" t="s">
        <v>263</v>
      </c>
    </row>
    <row r="190" customFormat="false" ht="15" hidden="false" customHeight="false" outlineLevel="0" collapsed="false">
      <c r="A190" s="0" t="n">
        <v>189</v>
      </c>
      <c r="B190" s="0" t="s">
        <v>124</v>
      </c>
      <c r="C190" s="0" t="s">
        <v>414</v>
      </c>
      <c r="D190" s="0" t="s">
        <v>262</v>
      </c>
      <c r="F190" s="0" t="s">
        <v>263</v>
      </c>
    </row>
    <row r="191" customFormat="false" ht="15" hidden="false" customHeight="false" outlineLevel="0" collapsed="false">
      <c r="A191" s="0" t="n">
        <v>190</v>
      </c>
      <c r="B191" s="0" t="s">
        <v>124</v>
      </c>
      <c r="C191" s="0" t="s">
        <v>415</v>
      </c>
      <c r="D191" s="0" t="s">
        <v>262</v>
      </c>
      <c r="F191" s="0" t="s">
        <v>263</v>
      </c>
    </row>
    <row r="192" customFormat="false" ht="15" hidden="false" customHeight="false" outlineLevel="0" collapsed="false">
      <c r="A192" s="0" t="n">
        <v>191</v>
      </c>
      <c r="B192" s="0" t="s">
        <v>124</v>
      </c>
      <c r="C192" s="0" t="s">
        <v>416</v>
      </c>
      <c r="D192" s="0" t="s">
        <v>262</v>
      </c>
      <c r="F192" s="0" t="s">
        <v>265</v>
      </c>
    </row>
    <row r="193" customFormat="false" ht="15" hidden="false" customHeight="false" outlineLevel="0" collapsed="false">
      <c r="A193" s="0" t="n">
        <v>192</v>
      </c>
      <c r="B193" s="0" t="s">
        <v>124</v>
      </c>
      <c r="C193" s="0" t="s">
        <v>417</v>
      </c>
      <c r="D193" s="0" t="s">
        <v>262</v>
      </c>
      <c r="F193" s="0" t="s">
        <v>265</v>
      </c>
    </row>
    <row r="194" customFormat="false" ht="15" hidden="false" customHeight="false" outlineLevel="0" collapsed="false">
      <c r="A194" s="0" t="n">
        <v>193</v>
      </c>
      <c r="B194" s="0" t="s">
        <v>124</v>
      </c>
      <c r="C194" s="0" t="s">
        <v>418</v>
      </c>
      <c r="D194" s="0" t="s">
        <v>262</v>
      </c>
      <c r="F194" s="0" t="s">
        <v>265</v>
      </c>
    </row>
    <row r="195" customFormat="false" ht="15" hidden="false" customHeight="false" outlineLevel="0" collapsed="false">
      <c r="A195" s="0" t="n">
        <v>194</v>
      </c>
      <c r="B195" s="0" t="s">
        <v>128</v>
      </c>
      <c r="C195" s="0" t="s">
        <v>419</v>
      </c>
      <c r="D195" s="0" t="s">
        <v>420</v>
      </c>
    </row>
    <row r="196" customFormat="false" ht="15" hidden="false" customHeight="false" outlineLevel="0" collapsed="false">
      <c r="A196" s="0" t="n">
        <v>195</v>
      </c>
      <c r="B196" s="0" t="s">
        <v>128</v>
      </c>
      <c r="C196" s="0" t="s">
        <v>421</v>
      </c>
      <c r="D196" s="0" t="s">
        <v>422</v>
      </c>
    </row>
    <row r="197" customFormat="false" ht="15" hidden="false" customHeight="false" outlineLevel="0" collapsed="false">
      <c r="A197" s="0" t="n">
        <v>196</v>
      </c>
      <c r="B197" s="0" t="s">
        <v>128</v>
      </c>
      <c r="C197" s="0" t="s">
        <v>423</v>
      </c>
      <c r="D197" s="0" t="s">
        <v>424</v>
      </c>
    </row>
    <row r="198" customFormat="false" ht="15" hidden="false" customHeight="false" outlineLevel="0" collapsed="false">
      <c r="A198" s="0" t="n">
        <v>197</v>
      </c>
      <c r="B198" s="0" t="s">
        <v>128</v>
      </c>
      <c r="C198" s="0" t="s">
        <v>425</v>
      </c>
      <c r="D198" s="0" t="s">
        <v>426</v>
      </c>
      <c r="F198" s="0" t="s">
        <v>299</v>
      </c>
    </row>
    <row r="199" customFormat="false" ht="15" hidden="false" customHeight="false" outlineLevel="0" collapsed="false">
      <c r="A199" s="0" t="n">
        <v>198</v>
      </c>
      <c r="B199" s="0" t="s">
        <v>128</v>
      </c>
      <c r="C199" s="0" t="s">
        <v>320</v>
      </c>
      <c r="D199" s="0" t="s">
        <v>262</v>
      </c>
      <c r="F199" s="0" t="s">
        <v>270</v>
      </c>
    </row>
    <row r="200" customFormat="false" ht="15" hidden="false" customHeight="false" outlineLevel="0" collapsed="false">
      <c r="A200" s="0" t="n">
        <v>199</v>
      </c>
      <c r="B200" s="0" t="s">
        <v>128</v>
      </c>
      <c r="C200" s="0" t="s">
        <v>284</v>
      </c>
      <c r="D200" s="0" t="s">
        <v>262</v>
      </c>
      <c r="F200" s="0" t="s">
        <v>285</v>
      </c>
    </row>
    <row r="201" customFormat="false" ht="15" hidden="false" customHeight="false" outlineLevel="0" collapsed="false">
      <c r="A201" s="0" t="n">
        <v>200</v>
      </c>
      <c r="B201" s="0" t="s">
        <v>131</v>
      </c>
      <c r="C201" s="0" t="s">
        <v>427</v>
      </c>
      <c r="D201" s="0" t="s">
        <v>428</v>
      </c>
      <c r="F201" s="0" t="s">
        <v>348</v>
      </c>
    </row>
    <row r="202" customFormat="false" ht="15" hidden="false" customHeight="false" outlineLevel="0" collapsed="false">
      <c r="A202" s="0" t="n">
        <v>201</v>
      </c>
      <c r="B202" s="0" t="s">
        <v>131</v>
      </c>
      <c r="C202" s="0" t="s">
        <v>429</v>
      </c>
      <c r="D202" s="0" t="s">
        <v>430</v>
      </c>
      <c r="F202" s="0" t="s">
        <v>348</v>
      </c>
    </row>
    <row r="203" customFormat="false" ht="15" hidden="false" customHeight="false" outlineLevel="0" collapsed="false">
      <c r="A203" s="0" t="n">
        <v>202</v>
      </c>
      <c r="B203" s="0" t="s">
        <v>131</v>
      </c>
      <c r="C203" s="0" t="s">
        <v>284</v>
      </c>
      <c r="D203" s="0" t="s">
        <v>262</v>
      </c>
      <c r="F203" s="0" t="s">
        <v>285</v>
      </c>
    </row>
    <row r="204" customFormat="false" ht="15" hidden="false" customHeight="false" outlineLevel="0" collapsed="false">
      <c r="A204" s="0" t="n">
        <v>203</v>
      </c>
      <c r="B204" s="0" t="s">
        <v>131</v>
      </c>
      <c r="C204" s="0" t="s">
        <v>431</v>
      </c>
      <c r="D204" s="0" t="s">
        <v>262</v>
      </c>
    </row>
    <row r="205" customFormat="false" ht="15" hidden="false" customHeight="false" outlineLevel="0" collapsed="false">
      <c r="A205" s="0" t="n">
        <v>204</v>
      </c>
      <c r="B205" s="0" t="s">
        <v>131</v>
      </c>
      <c r="C205" s="0" t="s">
        <v>273</v>
      </c>
      <c r="D205" s="0" t="s">
        <v>262</v>
      </c>
      <c r="F205" s="0" t="s">
        <v>273</v>
      </c>
    </row>
    <row r="206" customFormat="false" ht="15" hidden="false" customHeight="false" outlineLevel="0" collapsed="false">
      <c r="A206" s="0" t="n">
        <v>205</v>
      </c>
      <c r="B206" s="0" t="s">
        <v>131</v>
      </c>
      <c r="C206" s="0" t="s">
        <v>432</v>
      </c>
      <c r="D206" s="0" t="s">
        <v>262</v>
      </c>
      <c r="F206" s="0" t="s">
        <v>348</v>
      </c>
    </row>
    <row r="207" customFormat="false" ht="15" hidden="false" customHeight="false" outlineLevel="0" collapsed="false">
      <c r="A207" s="0" t="n">
        <v>206</v>
      </c>
      <c r="B207" s="0" t="s">
        <v>131</v>
      </c>
      <c r="C207" s="0" t="s">
        <v>301</v>
      </c>
      <c r="D207" s="0" t="s">
        <v>262</v>
      </c>
      <c r="F207" s="0" t="s">
        <v>301</v>
      </c>
    </row>
    <row r="208" customFormat="false" ht="15" hidden="false" customHeight="false" outlineLevel="0" collapsed="false">
      <c r="A208" s="0" t="n">
        <v>207</v>
      </c>
      <c r="B208" s="0" t="s">
        <v>131</v>
      </c>
      <c r="C208" s="0" t="s">
        <v>433</v>
      </c>
      <c r="D208" s="0" t="s">
        <v>262</v>
      </c>
    </row>
    <row r="209" customFormat="false" ht="15" hidden="false" customHeight="false" outlineLevel="0" collapsed="false">
      <c r="A209" s="0" t="n">
        <v>208</v>
      </c>
      <c r="B209" s="0" t="s">
        <v>135</v>
      </c>
      <c r="C209" s="0" t="s">
        <v>273</v>
      </c>
      <c r="D209" s="0" t="s">
        <v>262</v>
      </c>
      <c r="F209" s="0" t="s">
        <v>273</v>
      </c>
    </row>
    <row r="210" customFormat="false" ht="15" hidden="false" customHeight="false" outlineLevel="0" collapsed="false">
      <c r="A210" s="0" t="n">
        <v>209</v>
      </c>
      <c r="B210" s="0" t="s">
        <v>135</v>
      </c>
      <c r="C210" s="0" t="s">
        <v>299</v>
      </c>
      <c r="D210" s="0" t="s">
        <v>262</v>
      </c>
      <c r="F210" s="0" t="s">
        <v>299</v>
      </c>
    </row>
    <row r="211" customFormat="false" ht="15" hidden="false" customHeight="false" outlineLevel="0" collapsed="false">
      <c r="A211" s="0" t="n">
        <v>210</v>
      </c>
      <c r="B211" s="0" t="s">
        <v>135</v>
      </c>
      <c r="C211" s="0" t="s">
        <v>434</v>
      </c>
      <c r="D211" s="0" t="s">
        <v>262</v>
      </c>
      <c r="F211" s="0" t="s">
        <v>285</v>
      </c>
    </row>
    <row r="212" customFormat="false" ht="15" hidden="false" customHeight="false" outlineLevel="0" collapsed="false">
      <c r="A212" s="0" t="n">
        <v>211</v>
      </c>
      <c r="B212" s="0" t="s">
        <v>135</v>
      </c>
      <c r="C212" s="0" t="s">
        <v>435</v>
      </c>
      <c r="D212" s="0" t="s">
        <v>262</v>
      </c>
    </row>
    <row r="213" customFormat="false" ht="15" hidden="false" customHeight="false" outlineLevel="0" collapsed="false">
      <c r="A213" s="0" t="n">
        <v>212</v>
      </c>
      <c r="B213" s="0" t="s">
        <v>138</v>
      </c>
      <c r="C213" s="0" t="s">
        <v>436</v>
      </c>
      <c r="D213" s="0" t="s">
        <v>262</v>
      </c>
      <c r="F213" s="0" t="s">
        <v>263</v>
      </c>
    </row>
    <row r="214" customFormat="false" ht="15" hidden="false" customHeight="false" outlineLevel="0" collapsed="false">
      <c r="A214" s="0" t="n">
        <v>213</v>
      </c>
      <c r="B214" s="0" t="s">
        <v>138</v>
      </c>
      <c r="C214" s="0" t="s">
        <v>437</v>
      </c>
      <c r="D214" s="0" t="s">
        <v>262</v>
      </c>
      <c r="F214" s="0" t="s">
        <v>276</v>
      </c>
    </row>
    <row r="215" customFormat="false" ht="15" hidden="false" customHeight="false" outlineLevel="0" collapsed="false">
      <c r="A215" s="0" t="n">
        <v>214</v>
      </c>
      <c r="B215" s="0" t="s">
        <v>138</v>
      </c>
      <c r="C215" s="0" t="s">
        <v>322</v>
      </c>
      <c r="D215" s="0" t="s">
        <v>262</v>
      </c>
    </row>
    <row r="216" customFormat="false" ht="15" hidden="false" customHeight="false" outlineLevel="0" collapsed="false">
      <c r="A216" s="0" t="n">
        <v>215</v>
      </c>
      <c r="B216" s="0" t="s">
        <v>138</v>
      </c>
      <c r="C216" s="0" t="s">
        <v>438</v>
      </c>
      <c r="D216" s="0" t="s">
        <v>262</v>
      </c>
    </row>
    <row r="217" customFormat="false" ht="15" hidden="false" customHeight="false" outlineLevel="0" collapsed="false">
      <c r="A217" s="0" t="n">
        <v>216</v>
      </c>
      <c r="B217" s="0" t="s">
        <v>138</v>
      </c>
      <c r="C217" s="0" t="s">
        <v>439</v>
      </c>
      <c r="D217" s="0" t="s">
        <v>440</v>
      </c>
    </row>
    <row r="218" customFormat="false" ht="15" hidden="false" customHeight="false" outlineLevel="0" collapsed="false">
      <c r="A218" s="0" t="n">
        <v>217</v>
      </c>
      <c r="B218" s="0" t="s">
        <v>143</v>
      </c>
      <c r="C218" s="0" t="s">
        <v>441</v>
      </c>
      <c r="D218" s="0" t="s">
        <v>442</v>
      </c>
    </row>
    <row r="219" customFormat="false" ht="15" hidden="false" customHeight="false" outlineLevel="0" collapsed="false">
      <c r="A219" s="0" t="n">
        <v>218</v>
      </c>
      <c r="B219" s="0" t="s">
        <v>143</v>
      </c>
      <c r="C219" s="0" t="s">
        <v>443</v>
      </c>
      <c r="D219" s="0" t="s">
        <v>442</v>
      </c>
    </row>
    <row r="220" customFormat="false" ht="15" hidden="false" customHeight="false" outlineLevel="0" collapsed="false">
      <c r="A220" s="0" t="n">
        <v>219</v>
      </c>
      <c r="B220" s="0" t="s">
        <v>143</v>
      </c>
      <c r="C220" s="0" t="s">
        <v>322</v>
      </c>
      <c r="D220" s="0" t="s">
        <v>444</v>
      </c>
    </row>
    <row r="221" customFormat="false" ht="15" hidden="false" customHeight="false" outlineLevel="0" collapsed="false">
      <c r="A221" s="0" t="n">
        <v>220</v>
      </c>
      <c r="B221" s="0" t="s">
        <v>143</v>
      </c>
      <c r="C221" s="0" t="s">
        <v>445</v>
      </c>
      <c r="D221" s="0" t="s">
        <v>262</v>
      </c>
    </row>
    <row r="222" customFormat="false" ht="15" hidden="false" customHeight="false" outlineLevel="0" collapsed="false">
      <c r="A222" s="0" t="n">
        <v>221</v>
      </c>
      <c r="B222" s="0" t="s">
        <v>143</v>
      </c>
      <c r="C222" s="0" t="s">
        <v>446</v>
      </c>
      <c r="D222" s="0" t="s">
        <v>447</v>
      </c>
      <c r="F222" s="0" t="s">
        <v>408</v>
      </c>
    </row>
    <row r="223" customFormat="false" ht="15" hidden="false" customHeight="false" outlineLevel="0" collapsed="false">
      <c r="A223" s="0" t="n">
        <v>222</v>
      </c>
      <c r="B223" s="0" t="s">
        <v>143</v>
      </c>
      <c r="C223" s="0" t="s">
        <v>373</v>
      </c>
      <c r="D223" s="0" t="s">
        <v>262</v>
      </c>
    </row>
    <row r="224" customFormat="false" ht="15" hidden="false" customHeight="false" outlineLevel="0" collapsed="false">
      <c r="A224" s="0" t="n">
        <v>223</v>
      </c>
      <c r="B224" s="0" t="s">
        <v>146</v>
      </c>
      <c r="C224" s="0" t="s">
        <v>448</v>
      </c>
      <c r="D224" s="0" t="s">
        <v>449</v>
      </c>
      <c r="F224" s="0" t="s">
        <v>265</v>
      </c>
    </row>
    <row r="225" customFormat="false" ht="15" hidden="false" customHeight="false" outlineLevel="0" collapsed="false">
      <c r="A225" s="0" t="n">
        <v>224</v>
      </c>
      <c r="B225" s="0" t="s">
        <v>146</v>
      </c>
      <c r="C225" s="0" t="s">
        <v>450</v>
      </c>
      <c r="D225" s="0" t="s">
        <v>451</v>
      </c>
      <c r="F225" s="0" t="s">
        <v>265</v>
      </c>
    </row>
    <row r="226" customFormat="false" ht="15" hidden="false" customHeight="false" outlineLevel="0" collapsed="false">
      <c r="A226" s="0" t="n">
        <v>225</v>
      </c>
      <c r="B226" s="0" t="s">
        <v>146</v>
      </c>
      <c r="C226" s="0" t="s">
        <v>266</v>
      </c>
      <c r="D226" s="0" t="s">
        <v>262</v>
      </c>
      <c r="F226" s="0" t="s">
        <v>267</v>
      </c>
    </row>
    <row r="227" customFormat="false" ht="15" hidden="false" customHeight="false" outlineLevel="0" collapsed="false">
      <c r="A227" s="0" t="n">
        <v>226</v>
      </c>
      <c r="B227" s="0" t="s">
        <v>146</v>
      </c>
      <c r="C227" s="0" t="s">
        <v>452</v>
      </c>
      <c r="D227" s="0" t="s">
        <v>262</v>
      </c>
      <c r="F227" s="0" t="s">
        <v>280</v>
      </c>
    </row>
    <row r="228" customFormat="false" ht="15" hidden="false" customHeight="false" outlineLevel="0" collapsed="false">
      <c r="A228" s="0" t="n">
        <v>227</v>
      </c>
      <c r="B228" s="0" t="s">
        <v>146</v>
      </c>
      <c r="C228" s="0" t="s">
        <v>453</v>
      </c>
      <c r="D228" s="0" t="s">
        <v>262</v>
      </c>
      <c r="F228" s="0" t="s">
        <v>263</v>
      </c>
    </row>
    <row r="229" customFormat="false" ht="15" hidden="false" customHeight="false" outlineLevel="0" collapsed="false">
      <c r="A229" s="0" t="n">
        <v>228</v>
      </c>
      <c r="B229" s="0" t="s">
        <v>146</v>
      </c>
      <c r="C229" s="0" t="s">
        <v>347</v>
      </c>
      <c r="D229" s="0" t="s">
        <v>262</v>
      </c>
      <c r="F229" s="0" t="s">
        <v>348</v>
      </c>
    </row>
    <row r="230" customFormat="false" ht="15" hidden="false" customHeight="false" outlineLevel="0" collapsed="false">
      <c r="A230" s="0" t="n">
        <v>229</v>
      </c>
      <c r="B230" s="0" t="s">
        <v>148</v>
      </c>
      <c r="C230" s="0" t="s">
        <v>454</v>
      </c>
      <c r="D230" s="0" t="s">
        <v>262</v>
      </c>
      <c r="F230" s="0" t="s">
        <v>263</v>
      </c>
    </row>
    <row r="231" customFormat="false" ht="15" hidden="false" customHeight="false" outlineLevel="0" collapsed="false">
      <c r="A231" s="0" t="n">
        <v>230</v>
      </c>
      <c r="B231" s="0" t="s">
        <v>148</v>
      </c>
      <c r="C231" s="0" t="s">
        <v>279</v>
      </c>
      <c r="D231" s="0" t="s">
        <v>262</v>
      </c>
      <c r="F231" s="0" t="s">
        <v>280</v>
      </c>
    </row>
    <row r="232" customFormat="false" ht="15" hidden="false" customHeight="false" outlineLevel="0" collapsed="false">
      <c r="A232" s="0" t="n">
        <v>231</v>
      </c>
      <c r="B232" s="0" t="s">
        <v>148</v>
      </c>
      <c r="C232" s="0" t="s">
        <v>299</v>
      </c>
      <c r="D232" s="0" t="s">
        <v>262</v>
      </c>
      <c r="F232" s="0" t="s">
        <v>299</v>
      </c>
    </row>
    <row r="233" customFormat="false" ht="15" hidden="false" customHeight="false" outlineLevel="0" collapsed="false">
      <c r="A233" s="0" t="n">
        <v>232</v>
      </c>
      <c r="B233" s="0" t="s">
        <v>148</v>
      </c>
      <c r="C233" s="0" t="s">
        <v>431</v>
      </c>
      <c r="D233" s="0" t="s">
        <v>262</v>
      </c>
    </row>
    <row r="234" customFormat="false" ht="15" hidden="false" customHeight="false" outlineLevel="0" collapsed="false">
      <c r="A234" s="0" t="n">
        <v>233</v>
      </c>
      <c r="B234" s="0" t="s">
        <v>151</v>
      </c>
      <c r="C234" s="0" t="s">
        <v>455</v>
      </c>
      <c r="D234" s="0" t="s">
        <v>456</v>
      </c>
      <c r="F234" s="0" t="s">
        <v>263</v>
      </c>
    </row>
    <row r="235" customFormat="false" ht="15" hidden="false" customHeight="false" outlineLevel="0" collapsed="false">
      <c r="A235" s="0" t="n">
        <v>234</v>
      </c>
      <c r="B235" s="0" t="s">
        <v>151</v>
      </c>
      <c r="C235" s="0" t="s">
        <v>274</v>
      </c>
      <c r="D235" s="0" t="s">
        <v>457</v>
      </c>
      <c r="F235" s="0" t="s">
        <v>273</v>
      </c>
    </row>
    <row r="236" customFormat="false" ht="15" hidden="false" customHeight="false" outlineLevel="0" collapsed="false">
      <c r="A236" s="0" t="n">
        <v>235</v>
      </c>
      <c r="B236" s="0" t="s">
        <v>151</v>
      </c>
      <c r="C236" s="0" t="s">
        <v>458</v>
      </c>
      <c r="D236" s="0" t="s">
        <v>262</v>
      </c>
    </row>
    <row r="237" customFormat="false" ht="15" hidden="false" customHeight="false" outlineLevel="0" collapsed="false">
      <c r="A237" s="0" t="n">
        <v>236</v>
      </c>
      <c r="B237" s="0" t="s">
        <v>151</v>
      </c>
      <c r="C237" s="0" t="s">
        <v>306</v>
      </c>
      <c r="D237" s="0" t="s">
        <v>262</v>
      </c>
      <c r="F237" s="0" t="s">
        <v>265</v>
      </c>
    </row>
    <row r="238" customFormat="false" ht="15" hidden="false" customHeight="false" outlineLevel="0" collapsed="false">
      <c r="A238" s="0" t="n">
        <v>237</v>
      </c>
      <c r="B238" s="0" t="s">
        <v>154</v>
      </c>
      <c r="C238" s="0" t="s">
        <v>459</v>
      </c>
      <c r="D238" s="0" t="s">
        <v>262</v>
      </c>
      <c r="F238" s="0" t="s">
        <v>265</v>
      </c>
    </row>
    <row r="239" customFormat="false" ht="15" hidden="false" customHeight="false" outlineLevel="0" collapsed="false">
      <c r="A239" s="0" t="n">
        <v>238</v>
      </c>
      <c r="B239" s="0" t="s">
        <v>154</v>
      </c>
      <c r="C239" s="0" t="s">
        <v>460</v>
      </c>
      <c r="D239" s="0" t="s">
        <v>262</v>
      </c>
      <c r="F239" s="0" t="s">
        <v>311</v>
      </c>
    </row>
    <row r="240" customFormat="false" ht="15" hidden="false" customHeight="false" outlineLevel="0" collapsed="false">
      <c r="A240" s="0" t="n">
        <v>239</v>
      </c>
      <c r="B240" s="0" t="s">
        <v>154</v>
      </c>
      <c r="C240" s="0" t="s">
        <v>461</v>
      </c>
      <c r="D240" s="0" t="s">
        <v>262</v>
      </c>
      <c r="F240" s="0" t="s">
        <v>285</v>
      </c>
    </row>
    <row r="241" customFormat="false" ht="15" hidden="false" customHeight="false" outlineLevel="0" collapsed="false">
      <c r="A241" s="0" t="n">
        <v>240</v>
      </c>
      <c r="B241" s="0" t="s">
        <v>154</v>
      </c>
      <c r="C241" s="0" t="s">
        <v>462</v>
      </c>
      <c r="D241" s="0" t="s">
        <v>262</v>
      </c>
    </row>
    <row r="242" customFormat="false" ht="15" hidden="false" customHeight="false" outlineLevel="0" collapsed="false">
      <c r="A242" s="0" t="n">
        <v>241</v>
      </c>
      <c r="B242" s="0" t="s">
        <v>158</v>
      </c>
      <c r="C242" s="0" t="s">
        <v>463</v>
      </c>
      <c r="D242" s="0" t="s">
        <v>464</v>
      </c>
      <c r="F242" s="0" t="s">
        <v>263</v>
      </c>
    </row>
    <row r="243" customFormat="false" ht="15" hidden="false" customHeight="false" outlineLevel="0" collapsed="false">
      <c r="A243" s="0" t="n">
        <v>242</v>
      </c>
      <c r="B243" s="0" t="s">
        <v>158</v>
      </c>
      <c r="C243" s="0" t="s">
        <v>465</v>
      </c>
      <c r="D243" s="0" t="s">
        <v>262</v>
      </c>
      <c r="F243" s="0" t="s">
        <v>270</v>
      </c>
    </row>
    <row r="244" customFormat="false" ht="15" hidden="false" customHeight="false" outlineLevel="0" collapsed="false">
      <c r="A244" s="0" t="n">
        <v>243</v>
      </c>
      <c r="B244" s="0" t="s">
        <v>158</v>
      </c>
      <c r="C244" s="0" t="s">
        <v>466</v>
      </c>
      <c r="D244" s="0" t="s">
        <v>262</v>
      </c>
    </row>
    <row r="245" customFormat="false" ht="15" hidden="false" customHeight="false" outlineLevel="0" collapsed="false">
      <c r="A245" s="0" t="n">
        <v>244</v>
      </c>
      <c r="B245" s="0" t="s">
        <v>161</v>
      </c>
      <c r="C245" s="0" t="s">
        <v>467</v>
      </c>
      <c r="D245" s="0" t="s">
        <v>468</v>
      </c>
      <c r="F245" s="0" t="s">
        <v>263</v>
      </c>
    </row>
    <row r="246" customFormat="false" ht="15" hidden="false" customHeight="false" outlineLevel="0" collapsed="false">
      <c r="A246" s="0" t="n">
        <v>245</v>
      </c>
      <c r="B246" s="0" t="s">
        <v>161</v>
      </c>
      <c r="C246" s="0" t="s">
        <v>469</v>
      </c>
      <c r="D246" s="0" t="s">
        <v>470</v>
      </c>
    </row>
    <row r="247" customFormat="false" ht="15" hidden="false" customHeight="false" outlineLevel="0" collapsed="false">
      <c r="A247" s="0" t="n">
        <v>246</v>
      </c>
      <c r="B247" s="0" t="s">
        <v>161</v>
      </c>
      <c r="C247" s="0" t="s">
        <v>321</v>
      </c>
      <c r="D247" s="0" t="s">
        <v>262</v>
      </c>
    </row>
    <row r="248" customFormat="false" ht="15" hidden="false" customHeight="false" outlineLevel="0" collapsed="false">
      <c r="A248" s="0" t="n">
        <v>247</v>
      </c>
      <c r="B248" s="0" t="s">
        <v>161</v>
      </c>
      <c r="C248" s="0" t="s">
        <v>471</v>
      </c>
      <c r="D248" s="0" t="s">
        <v>262</v>
      </c>
    </row>
    <row r="249" customFormat="false" ht="15" hidden="false" customHeight="false" outlineLevel="0" collapsed="false">
      <c r="A249" s="0" t="n">
        <v>248</v>
      </c>
      <c r="B249" s="0" t="s">
        <v>161</v>
      </c>
      <c r="C249" s="0" t="s">
        <v>284</v>
      </c>
      <c r="D249" s="0" t="s">
        <v>262</v>
      </c>
      <c r="F249" s="0" t="s">
        <v>285</v>
      </c>
    </row>
    <row r="250" customFormat="false" ht="15" hidden="false" customHeight="false" outlineLevel="0" collapsed="false">
      <c r="A250" s="0" t="n">
        <v>249</v>
      </c>
      <c r="B250" s="0" t="s">
        <v>165</v>
      </c>
      <c r="C250" s="0" t="s">
        <v>472</v>
      </c>
      <c r="D250" s="0" t="s">
        <v>473</v>
      </c>
      <c r="F250" s="0" t="s">
        <v>263</v>
      </c>
    </row>
    <row r="251" customFormat="false" ht="15" hidden="false" customHeight="false" outlineLevel="0" collapsed="false">
      <c r="A251" s="0" t="n">
        <v>250</v>
      </c>
      <c r="B251" s="0" t="s">
        <v>165</v>
      </c>
      <c r="C251" s="0" t="s">
        <v>474</v>
      </c>
      <c r="D251" s="0" t="s">
        <v>475</v>
      </c>
    </row>
    <row r="252" customFormat="false" ht="15" hidden="false" customHeight="false" outlineLevel="0" collapsed="false">
      <c r="A252" s="0" t="n">
        <v>251</v>
      </c>
      <c r="B252" s="0" t="s">
        <v>165</v>
      </c>
      <c r="C252" s="0" t="s">
        <v>476</v>
      </c>
      <c r="D252" s="0" t="s">
        <v>477</v>
      </c>
    </row>
    <row r="253" customFormat="false" ht="15" hidden="false" customHeight="false" outlineLevel="0" collapsed="false">
      <c r="A253" s="0" t="n">
        <v>252</v>
      </c>
      <c r="B253" s="0" t="s">
        <v>165</v>
      </c>
      <c r="C253" s="0" t="s">
        <v>478</v>
      </c>
      <c r="D253" s="0" t="s">
        <v>479</v>
      </c>
      <c r="F253" s="0" t="s">
        <v>299</v>
      </c>
    </row>
    <row r="254" customFormat="false" ht="15" hidden="false" customHeight="false" outlineLevel="0" collapsed="false">
      <c r="A254" s="0" t="n">
        <v>253</v>
      </c>
      <c r="B254" s="0" t="s">
        <v>165</v>
      </c>
      <c r="C254" s="0" t="s">
        <v>480</v>
      </c>
      <c r="D254" s="0" t="s">
        <v>262</v>
      </c>
      <c r="F254" s="0" t="s">
        <v>273</v>
      </c>
    </row>
    <row r="255" customFormat="false" ht="15" hidden="false" customHeight="false" outlineLevel="0" collapsed="false">
      <c r="A255" s="0" t="n">
        <v>254</v>
      </c>
      <c r="B255" s="0" t="s">
        <v>165</v>
      </c>
      <c r="C255" s="0" t="s">
        <v>481</v>
      </c>
      <c r="D255" s="0" t="s">
        <v>262</v>
      </c>
    </row>
    <row r="256" customFormat="false" ht="15" hidden="false" customHeight="false" outlineLevel="0" collapsed="false">
      <c r="A256" s="0" t="n">
        <v>255</v>
      </c>
      <c r="B256" s="0" t="s">
        <v>168</v>
      </c>
      <c r="C256" s="0" t="s">
        <v>431</v>
      </c>
      <c r="D256" s="0" t="s">
        <v>482</v>
      </c>
    </row>
    <row r="257" customFormat="false" ht="15" hidden="false" customHeight="false" outlineLevel="0" collapsed="false">
      <c r="A257" s="0" t="n">
        <v>256</v>
      </c>
      <c r="B257" s="0" t="s">
        <v>168</v>
      </c>
      <c r="C257" s="0" t="s">
        <v>327</v>
      </c>
      <c r="D257" s="0" t="s">
        <v>309</v>
      </c>
    </row>
    <row r="258" customFormat="false" ht="15" hidden="false" customHeight="false" outlineLevel="0" collapsed="false">
      <c r="A258" s="0" t="n">
        <v>257</v>
      </c>
      <c r="B258" s="0" t="s">
        <v>168</v>
      </c>
      <c r="C258" s="0" t="s">
        <v>483</v>
      </c>
      <c r="D258" s="0" t="s">
        <v>484</v>
      </c>
    </row>
    <row r="259" customFormat="false" ht="15" hidden="false" customHeight="false" outlineLevel="0" collapsed="false">
      <c r="A259" s="0" t="n">
        <v>258</v>
      </c>
      <c r="B259" s="0" t="s">
        <v>168</v>
      </c>
      <c r="C259" s="0" t="s">
        <v>485</v>
      </c>
      <c r="D259" s="0" t="s">
        <v>262</v>
      </c>
      <c r="F259" s="0" t="s">
        <v>486</v>
      </c>
    </row>
    <row r="260" customFormat="false" ht="15" hidden="false" customHeight="false" outlineLevel="0" collapsed="false">
      <c r="A260" s="0" t="n">
        <v>259</v>
      </c>
      <c r="B260" s="0" t="s">
        <v>171</v>
      </c>
      <c r="C260" s="0" t="s">
        <v>306</v>
      </c>
      <c r="D260" s="0" t="s">
        <v>262</v>
      </c>
      <c r="F260" s="0" t="s">
        <v>265</v>
      </c>
    </row>
    <row r="261" customFormat="false" ht="15" hidden="false" customHeight="false" outlineLevel="0" collapsed="false">
      <c r="A261" s="0" t="n">
        <v>260</v>
      </c>
      <c r="B261" s="0" t="s">
        <v>171</v>
      </c>
      <c r="C261" s="0" t="s">
        <v>281</v>
      </c>
      <c r="D261" s="0" t="s">
        <v>262</v>
      </c>
      <c r="F261" s="0" t="s">
        <v>263</v>
      </c>
    </row>
    <row r="262" customFormat="false" ht="15" hidden="false" customHeight="false" outlineLevel="0" collapsed="false">
      <c r="A262" s="0" t="n">
        <v>261</v>
      </c>
      <c r="B262" s="0" t="s">
        <v>171</v>
      </c>
      <c r="C262" s="0" t="s">
        <v>299</v>
      </c>
      <c r="D262" s="0" t="s">
        <v>262</v>
      </c>
      <c r="F262" s="0" t="s">
        <v>299</v>
      </c>
    </row>
    <row r="263" customFormat="false" ht="15" hidden="false" customHeight="false" outlineLevel="0" collapsed="false">
      <c r="A263" s="0" t="n">
        <v>262</v>
      </c>
      <c r="B263" s="0" t="s">
        <v>174</v>
      </c>
      <c r="C263" s="0" t="s">
        <v>487</v>
      </c>
      <c r="D263" s="0" t="s">
        <v>488</v>
      </c>
      <c r="F263" s="0" t="s">
        <v>263</v>
      </c>
    </row>
    <row r="264" customFormat="false" ht="15" hidden="false" customHeight="false" outlineLevel="0" collapsed="false">
      <c r="A264" s="0" t="n">
        <v>263</v>
      </c>
      <c r="B264" s="0" t="s">
        <v>174</v>
      </c>
      <c r="C264" s="0" t="s">
        <v>489</v>
      </c>
      <c r="D264" s="0" t="s">
        <v>490</v>
      </c>
      <c r="F264" s="0" t="s">
        <v>263</v>
      </c>
    </row>
    <row r="265" customFormat="false" ht="15" hidden="false" customHeight="false" outlineLevel="0" collapsed="false">
      <c r="A265" s="0" t="n">
        <v>264</v>
      </c>
      <c r="B265" s="0" t="s">
        <v>174</v>
      </c>
      <c r="C265" s="0" t="s">
        <v>491</v>
      </c>
      <c r="D265" s="0" t="s">
        <v>492</v>
      </c>
    </row>
    <row r="266" customFormat="false" ht="15" hidden="false" customHeight="false" outlineLevel="0" collapsed="false">
      <c r="A266" s="0" t="n">
        <v>265</v>
      </c>
      <c r="B266" s="0" t="s">
        <v>177</v>
      </c>
      <c r="C266" s="0" t="s">
        <v>493</v>
      </c>
      <c r="D266" s="0" t="s">
        <v>350</v>
      </c>
      <c r="F266" s="0" t="s">
        <v>263</v>
      </c>
    </row>
    <row r="267" customFormat="false" ht="15" hidden="false" customHeight="false" outlineLevel="0" collapsed="false">
      <c r="A267" s="0" t="n">
        <v>266</v>
      </c>
      <c r="B267" s="0" t="s">
        <v>177</v>
      </c>
      <c r="C267" s="0" t="s">
        <v>494</v>
      </c>
      <c r="D267" s="0" t="s">
        <v>495</v>
      </c>
      <c r="F267" s="0" t="s">
        <v>263</v>
      </c>
    </row>
    <row r="268" customFormat="false" ht="15" hidden="false" customHeight="false" outlineLevel="0" collapsed="false">
      <c r="A268" s="0" t="n">
        <v>267</v>
      </c>
      <c r="B268" s="0" t="s">
        <v>177</v>
      </c>
      <c r="C268" s="0" t="s">
        <v>496</v>
      </c>
      <c r="D268" s="0" t="s">
        <v>497</v>
      </c>
    </row>
    <row r="269" customFormat="false" ht="15" hidden="false" customHeight="false" outlineLevel="0" collapsed="false">
      <c r="A269" s="0" t="n">
        <v>268</v>
      </c>
      <c r="B269" s="0" t="s">
        <v>177</v>
      </c>
      <c r="C269" s="0" t="s">
        <v>283</v>
      </c>
      <c r="D269" s="0" t="s">
        <v>262</v>
      </c>
      <c r="F269" s="0" t="s">
        <v>265</v>
      </c>
    </row>
    <row r="270" customFormat="false" ht="15" hidden="false" customHeight="false" outlineLevel="0" collapsed="false">
      <c r="A270" s="0" t="n">
        <v>269</v>
      </c>
      <c r="B270" s="0" t="s">
        <v>177</v>
      </c>
      <c r="C270" s="0" t="s">
        <v>431</v>
      </c>
      <c r="D270" s="0" t="s">
        <v>262</v>
      </c>
    </row>
    <row r="271" customFormat="false" ht="15" hidden="false" customHeight="false" outlineLevel="0" collapsed="false">
      <c r="A271" s="0" t="n">
        <v>270</v>
      </c>
      <c r="B271" s="0" t="s">
        <v>181</v>
      </c>
      <c r="C271" s="0" t="s">
        <v>472</v>
      </c>
      <c r="D271" s="0" t="s">
        <v>473</v>
      </c>
      <c r="F271" s="0" t="s">
        <v>263</v>
      </c>
    </row>
    <row r="272" customFormat="false" ht="15" hidden="false" customHeight="false" outlineLevel="0" collapsed="false">
      <c r="A272" s="0" t="n">
        <v>271</v>
      </c>
      <c r="B272" s="0" t="s">
        <v>181</v>
      </c>
      <c r="C272" s="0" t="s">
        <v>498</v>
      </c>
      <c r="D272" s="0" t="s">
        <v>499</v>
      </c>
      <c r="F272" s="0" t="s">
        <v>299</v>
      </c>
    </row>
    <row r="273" customFormat="false" ht="15" hidden="false" customHeight="false" outlineLevel="0" collapsed="false">
      <c r="A273" s="0" t="n">
        <v>272</v>
      </c>
      <c r="B273" s="0" t="s">
        <v>181</v>
      </c>
      <c r="C273" s="0" t="s">
        <v>481</v>
      </c>
      <c r="D273" s="0" t="s">
        <v>262</v>
      </c>
    </row>
    <row r="274" customFormat="false" ht="15" hidden="false" customHeight="false" outlineLevel="0" collapsed="false">
      <c r="A274" s="0" t="n">
        <v>273</v>
      </c>
      <c r="B274" s="0" t="s">
        <v>185</v>
      </c>
      <c r="C274" s="0" t="s">
        <v>500</v>
      </c>
      <c r="D274" s="0" t="s">
        <v>501</v>
      </c>
      <c r="F274" s="0" t="s">
        <v>263</v>
      </c>
    </row>
    <row r="275" customFormat="false" ht="15" hidden="false" customHeight="false" outlineLevel="0" collapsed="false">
      <c r="A275" s="0" t="n">
        <v>274</v>
      </c>
      <c r="B275" s="0" t="s">
        <v>185</v>
      </c>
      <c r="C275" s="0" t="s">
        <v>502</v>
      </c>
      <c r="D275" s="0" t="s">
        <v>503</v>
      </c>
      <c r="F275" s="0" t="s">
        <v>263</v>
      </c>
    </row>
    <row r="276" customFormat="false" ht="15" hidden="false" customHeight="false" outlineLevel="0" collapsed="false">
      <c r="A276" s="0" t="n">
        <v>275</v>
      </c>
      <c r="B276" s="0" t="s">
        <v>185</v>
      </c>
      <c r="C276" s="0" t="s">
        <v>504</v>
      </c>
      <c r="D276" s="0" t="s">
        <v>505</v>
      </c>
    </row>
    <row r="277" customFormat="false" ht="15" hidden="false" customHeight="false" outlineLevel="0" collapsed="false">
      <c r="A277" s="0" t="n">
        <v>276</v>
      </c>
      <c r="B277" s="0" t="s">
        <v>185</v>
      </c>
      <c r="C277" s="0" t="s">
        <v>301</v>
      </c>
      <c r="D277" s="0" t="s">
        <v>262</v>
      </c>
      <c r="F277" s="0" t="s">
        <v>301</v>
      </c>
    </row>
    <row r="278" customFormat="false" ht="15" hidden="false" customHeight="false" outlineLevel="0" collapsed="false">
      <c r="A278" s="0" t="n">
        <v>277</v>
      </c>
      <c r="B278" s="0" t="s">
        <v>185</v>
      </c>
      <c r="C278" s="0" t="s">
        <v>273</v>
      </c>
      <c r="D278" s="0" t="s">
        <v>262</v>
      </c>
      <c r="F278" s="0" t="s">
        <v>273</v>
      </c>
    </row>
    <row r="279" customFormat="false" ht="15" hidden="false" customHeight="false" outlineLevel="0" collapsed="false">
      <c r="A279" s="0" t="n">
        <v>278</v>
      </c>
      <c r="B279" s="0" t="s">
        <v>185</v>
      </c>
      <c r="C279" s="0" t="s">
        <v>322</v>
      </c>
      <c r="D279" s="0" t="s">
        <v>262</v>
      </c>
    </row>
    <row r="280" customFormat="false" ht="15" hidden="false" customHeight="false" outlineLevel="0" collapsed="false">
      <c r="A280" s="0" t="n">
        <v>279</v>
      </c>
      <c r="B280" s="0" t="s">
        <v>185</v>
      </c>
      <c r="C280" s="0" t="s">
        <v>506</v>
      </c>
      <c r="D280" s="0" t="s">
        <v>507</v>
      </c>
    </row>
    <row r="281" customFormat="false" ht="15" hidden="false" customHeight="false" outlineLevel="0" collapsed="false">
      <c r="A281" s="0" t="n">
        <v>280</v>
      </c>
      <c r="B281" s="0" t="s">
        <v>189</v>
      </c>
      <c r="C281" s="0" t="s">
        <v>320</v>
      </c>
      <c r="D281" s="0" t="s">
        <v>262</v>
      </c>
      <c r="F281" s="0" t="s">
        <v>270</v>
      </c>
    </row>
    <row r="282" customFormat="false" ht="15" hidden="false" customHeight="false" outlineLevel="0" collapsed="false">
      <c r="A282" s="0" t="n">
        <v>281</v>
      </c>
      <c r="B282" s="0" t="s">
        <v>189</v>
      </c>
      <c r="C282" s="0" t="s">
        <v>508</v>
      </c>
      <c r="D282" s="0" t="s">
        <v>262</v>
      </c>
      <c r="F282" s="0" t="s">
        <v>270</v>
      </c>
    </row>
    <row r="283" customFormat="false" ht="15" hidden="false" customHeight="false" outlineLevel="0" collapsed="false">
      <c r="A283" s="0" t="n">
        <v>282</v>
      </c>
      <c r="B283" s="0" t="s">
        <v>189</v>
      </c>
      <c r="C283" s="0" t="s">
        <v>509</v>
      </c>
      <c r="D283" s="0" t="s">
        <v>510</v>
      </c>
    </row>
    <row r="284" customFormat="false" ht="15" hidden="false" customHeight="false" outlineLevel="0" collapsed="false">
      <c r="A284" s="0" t="n">
        <v>283</v>
      </c>
      <c r="B284" s="0" t="s">
        <v>189</v>
      </c>
      <c r="C284" s="0" t="s">
        <v>511</v>
      </c>
      <c r="D284" s="0" t="s">
        <v>262</v>
      </c>
    </row>
    <row r="285" customFormat="false" ht="15" hidden="false" customHeight="false" outlineLevel="0" collapsed="false">
      <c r="A285" s="0" t="n">
        <v>284</v>
      </c>
      <c r="B285" s="0" t="s">
        <v>192</v>
      </c>
      <c r="C285" s="0" t="s">
        <v>512</v>
      </c>
      <c r="D285" s="0" t="s">
        <v>513</v>
      </c>
      <c r="F285" s="0" t="s">
        <v>301</v>
      </c>
    </row>
    <row r="286" customFormat="false" ht="15" hidden="false" customHeight="false" outlineLevel="0" collapsed="false">
      <c r="A286" s="0" t="n">
        <v>285</v>
      </c>
      <c r="B286" s="0" t="s">
        <v>192</v>
      </c>
      <c r="C286" s="0" t="s">
        <v>514</v>
      </c>
      <c r="D286" s="0" t="s">
        <v>515</v>
      </c>
    </row>
    <row r="287" customFormat="false" ht="15" hidden="false" customHeight="false" outlineLevel="0" collapsed="false">
      <c r="A287" s="0" t="n">
        <v>286</v>
      </c>
      <c r="B287" s="0" t="s">
        <v>192</v>
      </c>
      <c r="C287" s="0" t="s">
        <v>281</v>
      </c>
      <c r="D287" s="0" t="s">
        <v>262</v>
      </c>
      <c r="F287" s="0" t="s">
        <v>263</v>
      </c>
    </row>
    <row r="288" customFormat="false" ht="15" hidden="false" customHeight="false" outlineLevel="0" collapsed="false">
      <c r="A288" s="0" t="n">
        <v>287</v>
      </c>
      <c r="B288" s="0" t="s">
        <v>192</v>
      </c>
      <c r="C288" s="0" t="s">
        <v>283</v>
      </c>
      <c r="D288" s="0" t="s">
        <v>262</v>
      </c>
      <c r="F288" s="0" t="s">
        <v>265</v>
      </c>
    </row>
    <row r="289" customFormat="false" ht="15" hidden="false" customHeight="false" outlineLevel="0" collapsed="false">
      <c r="A289" s="0" t="n">
        <v>288</v>
      </c>
      <c r="B289" s="0" t="s">
        <v>192</v>
      </c>
      <c r="C289" s="0" t="s">
        <v>516</v>
      </c>
      <c r="D289" s="0" t="s">
        <v>262</v>
      </c>
      <c r="F289" s="0" t="s">
        <v>278</v>
      </c>
    </row>
    <row r="290" customFormat="false" ht="15" hidden="false" customHeight="false" outlineLevel="0" collapsed="false">
      <c r="A290" s="0" t="n">
        <v>289</v>
      </c>
      <c r="B290" s="0" t="s">
        <v>192</v>
      </c>
      <c r="C290" s="0" t="s">
        <v>307</v>
      </c>
      <c r="D290" s="0" t="s">
        <v>262</v>
      </c>
    </row>
    <row r="291" customFormat="false" ht="15" hidden="false" customHeight="false" outlineLevel="0" collapsed="false">
      <c r="A291" s="0" t="n">
        <v>290</v>
      </c>
      <c r="B291" s="0" t="s">
        <v>192</v>
      </c>
      <c r="C291" s="0" t="s">
        <v>517</v>
      </c>
      <c r="D291" s="0" t="s">
        <v>262</v>
      </c>
    </row>
    <row r="292" customFormat="false" ht="15" hidden="false" customHeight="false" outlineLevel="0" collapsed="false">
      <c r="A292" s="0" t="n">
        <v>291</v>
      </c>
      <c r="B292" s="0" t="s">
        <v>192</v>
      </c>
      <c r="C292" s="0" t="s">
        <v>280</v>
      </c>
      <c r="D292" s="0" t="s">
        <v>262</v>
      </c>
      <c r="F292" s="0" t="s">
        <v>280</v>
      </c>
    </row>
    <row r="293" customFormat="false" ht="15" hidden="false" customHeight="false" outlineLevel="0" collapsed="false">
      <c r="A293" s="0" t="n">
        <v>292</v>
      </c>
      <c r="B293" s="0" t="s">
        <v>192</v>
      </c>
      <c r="C293" s="0" t="s">
        <v>301</v>
      </c>
      <c r="D293" s="0" t="s">
        <v>262</v>
      </c>
      <c r="F293" s="0" t="s">
        <v>301</v>
      </c>
    </row>
    <row r="294" customFormat="false" ht="15" hidden="false" customHeight="false" outlineLevel="0" collapsed="false">
      <c r="A294" s="0" t="n">
        <v>293</v>
      </c>
      <c r="B294" s="0" t="s">
        <v>195</v>
      </c>
      <c r="C294" s="0" t="s">
        <v>518</v>
      </c>
      <c r="D294" s="0" t="s">
        <v>262</v>
      </c>
      <c r="F294" s="0" t="s">
        <v>285</v>
      </c>
    </row>
    <row r="295" customFormat="false" ht="15" hidden="false" customHeight="false" outlineLevel="0" collapsed="false">
      <c r="A295" s="0" t="n">
        <v>294</v>
      </c>
      <c r="B295" s="0" t="s">
        <v>195</v>
      </c>
      <c r="C295" s="0" t="s">
        <v>519</v>
      </c>
      <c r="D295" s="0" t="s">
        <v>262</v>
      </c>
      <c r="F295" s="0" t="s">
        <v>285</v>
      </c>
    </row>
    <row r="296" customFormat="false" ht="15" hidden="false" customHeight="false" outlineLevel="0" collapsed="false">
      <c r="A296" s="0" t="n">
        <v>295</v>
      </c>
      <c r="B296" s="0" t="s">
        <v>195</v>
      </c>
      <c r="C296" s="0" t="s">
        <v>520</v>
      </c>
      <c r="D296" s="0" t="s">
        <v>262</v>
      </c>
      <c r="F296" s="0" t="s">
        <v>285</v>
      </c>
    </row>
    <row r="297" customFormat="false" ht="15" hidden="false" customHeight="false" outlineLevel="0" collapsed="false">
      <c r="A297" s="0" t="n">
        <v>296</v>
      </c>
      <c r="B297" s="0" t="s">
        <v>195</v>
      </c>
      <c r="C297" s="0" t="s">
        <v>521</v>
      </c>
      <c r="D297" s="0" t="s">
        <v>262</v>
      </c>
      <c r="F297" s="0" t="s">
        <v>285</v>
      </c>
    </row>
    <row r="298" customFormat="false" ht="15" hidden="false" customHeight="false" outlineLevel="0" collapsed="false">
      <c r="A298" s="0" t="n">
        <v>297</v>
      </c>
      <c r="B298" s="0" t="s">
        <v>199</v>
      </c>
      <c r="C298" s="0" t="s">
        <v>472</v>
      </c>
      <c r="D298" s="0" t="s">
        <v>473</v>
      </c>
      <c r="F298" s="0" t="s">
        <v>263</v>
      </c>
    </row>
    <row r="299" customFormat="false" ht="15" hidden="false" customHeight="false" outlineLevel="0" collapsed="false">
      <c r="A299" s="0" t="n">
        <v>298</v>
      </c>
      <c r="B299" s="0" t="s">
        <v>199</v>
      </c>
      <c r="C299" s="0" t="s">
        <v>522</v>
      </c>
      <c r="D299" s="0" t="s">
        <v>262</v>
      </c>
    </row>
    <row r="300" customFormat="false" ht="15" hidden="false" customHeight="false" outlineLevel="0" collapsed="false">
      <c r="A300" s="0" t="n">
        <v>299</v>
      </c>
      <c r="B300" s="0" t="s">
        <v>199</v>
      </c>
      <c r="C300" s="0" t="s">
        <v>481</v>
      </c>
      <c r="D300" s="0" t="s">
        <v>262</v>
      </c>
    </row>
    <row r="301" customFormat="false" ht="15" hidden="false" customHeight="false" outlineLevel="0" collapsed="false">
      <c r="A301" s="0" t="n">
        <v>300</v>
      </c>
      <c r="B301" s="0" t="s">
        <v>203</v>
      </c>
      <c r="C301" s="0" t="s">
        <v>523</v>
      </c>
      <c r="D301" s="0" t="s">
        <v>524</v>
      </c>
    </row>
    <row r="302" customFormat="false" ht="15" hidden="false" customHeight="false" outlineLevel="0" collapsed="false">
      <c r="A302" s="0" t="n">
        <v>301</v>
      </c>
      <c r="B302" s="0" t="s">
        <v>203</v>
      </c>
      <c r="C302" s="0" t="s">
        <v>525</v>
      </c>
      <c r="D302" s="0" t="s">
        <v>526</v>
      </c>
      <c r="F302" s="0" t="s">
        <v>263</v>
      </c>
    </row>
    <row r="303" customFormat="false" ht="15" hidden="false" customHeight="false" outlineLevel="0" collapsed="false">
      <c r="A303" s="0" t="n">
        <v>302</v>
      </c>
      <c r="B303" s="0" t="s">
        <v>203</v>
      </c>
      <c r="C303" s="0" t="s">
        <v>527</v>
      </c>
      <c r="D303" s="0" t="s">
        <v>262</v>
      </c>
    </row>
    <row r="304" customFormat="false" ht="15" hidden="false" customHeight="false" outlineLevel="0" collapsed="false">
      <c r="A304" s="0" t="n">
        <v>303</v>
      </c>
      <c r="B304" s="0" t="s">
        <v>203</v>
      </c>
      <c r="C304" s="0" t="s">
        <v>299</v>
      </c>
      <c r="D304" s="0" t="s">
        <v>262</v>
      </c>
      <c r="F304" s="0" t="s">
        <v>299</v>
      </c>
    </row>
    <row r="305" customFormat="false" ht="15" hidden="false" customHeight="false" outlineLevel="0" collapsed="false">
      <c r="A305" s="0" t="n">
        <v>304</v>
      </c>
      <c r="B305" s="0" t="s">
        <v>203</v>
      </c>
      <c r="C305" s="0" t="s">
        <v>281</v>
      </c>
      <c r="D305" s="0" t="s">
        <v>262</v>
      </c>
      <c r="F305" s="0" t="s">
        <v>263</v>
      </c>
    </row>
    <row r="306" customFormat="false" ht="15" hidden="false" customHeight="false" outlineLevel="0" collapsed="false">
      <c r="A306" s="0" t="n">
        <v>305</v>
      </c>
      <c r="B306" s="0" t="s">
        <v>203</v>
      </c>
      <c r="C306" s="0" t="s">
        <v>329</v>
      </c>
      <c r="D306" s="0" t="s">
        <v>262</v>
      </c>
      <c r="F306" s="0" t="s">
        <v>311</v>
      </c>
    </row>
    <row r="307" customFormat="false" ht="15" hidden="false" customHeight="false" outlineLevel="0" collapsed="false">
      <c r="A307" s="0" t="n">
        <v>306</v>
      </c>
      <c r="B307" s="0" t="s">
        <v>203</v>
      </c>
      <c r="C307" s="0" t="s">
        <v>528</v>
      </c>
      <c r="D307" s="0" t="s">
        <v>262</v>
      </c>
      <c r="F307" s="0" t="s">
        <v>265</v>
      </c>
    </row>
    <row r="308" customFormat="false" ht="15" hidden="false" customHeight="false" outlineLevel="0" collapsed="false">
      <c r="A308" s="0" t="n">
        <v>307</v>
      </c>
      <c r="B308" s="0" t="s">
        <v>206</v>
      </c>
      <c r="C308" s="0" t="s">
        <v>529</v>
      </c>
      <c r="D308" s="0" t="s">
        <v>530</v>
      </c>
      <c r="F308" s="0" t="s">
        <v>265</v>
      </c>
    </row>
    <row r="309" customFormat="false" ht="15" hidden="false" customHeight="false" outlineLevel="0" collapsed="false">
      <c r="A309" s="0" t="n">
        <v>308</v>
      </c>
      <c r="B309" s="0" t="s">
        <v>206</v>
      </c>
      <c r="C309" s="0" t="s">
        <v>531</v>
      </c>
      <c r="D309" s="0" t="s">
        <v>262</v>
      </c>
    </row>
    <row r="310" customFormat="false" ht="15" hidden="false" customHeight="false" outlineLevel="0" collapsed="false">
      <c r="A310" s="0" t="n">
        <v>309</v>
      </c>
      <c r="B310" s="0" t="s">
        <v>206</v>
      </c>
      <c r="C310" s="0" t="s">
        <v>299</v>
      </c>
      <c r="D310" s="0" t="s">
        <v>262</v>
      </c>
      <c r="F310" s="0" t="s">
        <v>299</v>
      </c>
    </row>
    <row r="311" customFormat="false" ht="15" hidden="false" customHeight="false" outlineLevel="0" collapsed="false">
      <c r="A311" s="0" t="n">
        <v>310</v>
      </c>
      <c r="B311" s="0" t="s">
        <v>206</v>
      </c>
      <c r="C311" s="0" t="s">
        <v>532</v>
      </c>
      <c r="D311" s="0" t="s">
        <v>262</v>
      </c>
      <c r="F311" s="0" t="s">
        <v>263</v>
      </c>
    </row>
    <row r="312" customFormat="false" ht="15" hidden="false" customHeight="false" outlineLevel="0" collapsed="false">
      <c r="A312" s="0" t="n">
        <v>311</v>
      </c>
      <c r="B312" s="0" t="s">
        <v>210</v>
      </c>
      <c r="C312" s="0" t="s">
        <v>533</v>
      </c>
      <c r="D312" s="0" t="s">
        <v>534</v>
      </c>
      <c r="F312" s="0" t="s">
        <v>263</v>
      </c>
    </row>
    <row r="313" customFormat="false" ht="15" hidden="false" customHeight="false" outlineLevel="0" collapsed="false">
      <c r="A313" s="0" t="n">
        <v>312</v>
      </c>
      <c r="B313" s="0" t="s">
        <v>210</v>
      </c>
      <c r="C313" s="0" t="s">
        <v>535</v>
      </c>
      <c r="D313" s="0" t="s">
        <v>262</v>
      </c>
    </row>
    <row r="314" customFormat="false" ht="15" hidden="false" customHeight="false" outlineLevel="0" collapsed="false">
      <c r="A314" s="0" t="n">
        <v>313</v>
      </c>
      <c r="B314" s="0" t="s">
        <v>210</v>
      </c>
      <c r="C314" s="0" t="s">
        <v>536</v>
      </c>
      <c r="D314" s="0" t="s">
        <v>262</v>
      </c>
    </row>
    <row r="315" customFormat="false" ht="15" hidden="false" customHeight="false" outlineLevel="0" collapsed="false">
      <c r="A315" s="0" t="n">
        <v>314</v>
      </c>
      <c r="B315" s="0" t="s">
        <v>213</v>
      </c>
      <c r="C315" s="0" t="s">
        <v>537</v>
      </c>
      <c r="D315" s="0" t="s">
        <v>456</v>
      </c>
      <c r="F315" s="0" t="s">
        <v>263</v>
      </c>
    </row>
    <row r="316" customFormat="false" ht="15" hidden="false" customHeight="false" outlineLevel="0" collapsed="false">
      <c r="A316" s="0" t="n">
        <v>315</v>
      </c>
      <c r="B316" s="0" t="s">
        <v>213</v>
      </c>
      <c r="C316" s="0" t="s">
        <v>538</v>
      </c>
      <c r="D316" s="0" t="s">
        <v>539</v>
      </c>
      <c r="F316" s="0" t="s">
        <v>263</v>
      </c>
    </row>
    <row r="317" customFormat="false" ht="15" hidden="false" customHeight="false" outlineLevel="0" collapsed="false">
      <c r="A317" s="0" t="n">
        <v>316</v>
      </c>
      <c r="B317" s="0" t="s">
        <v>213</v>
      </c>
      <c r="C317" s="0" t="s">
        <v>281</v>
      </c>
      <c r="D317" s="0" t="s">
        <v>262</v>
      </c>
      <c r="F317" s="0" t="s">
        <v>263</v>
      </c>
    </row>
    <row r="318" customFormat="false" ht="15" hidden="false" customHeight="false" outlineLevel="0" collapsed="false">
      <c r="A318" s="0" t="n">
        <v>317</v>
      </c>
      <c r="B318" s="0" t="s">
        <v>213</v>
      </c>
      <c r="C318" s="0" t="s">
        <v>540</v>
      </c>
      <c r="D318" s="0" t="s">
        <v>262</v>
      </c>
      <c r="F318" s="0" t="s">
        <v>263</v>
      </c>
    </row>
    <row r="319" customFormat="false" ht="15" hidden="false" customHeight="false" outlineLevel="0" collapsed="false">
      <c r="A319" s="0" t="n">
        <v>318</v>
      </c>
      <c r="B319" s="0" t="s">
        <v>213</v>
      </c>
      <c r="C319" s="0" t="s">
        <v>541</v>
      </c>
      <c r="D319" s="0" t="s">
        <v>262</v>
      </c>
      <c r="F319" s="0" t="s">
        <v>263</v>
      </c>
    </row>
    <row r="320" customFormat="false" ht="15" hidden="false" customHeight="false" outlineLevel="0" collapsed="false">
      <c r="A320" s="0" t="n">
        <v>319</v>
      </c>
      <c r="B320" s="0" t="s">
        <v>213</v>
      </c>
      <c r="C320" s="0" t="s">
        <v>283</v>
      </c>
      <c r="D320" s="0" t="s">
        <v>262</v>
      </c>
      <c r="F320" s="0" t="s">
        <v>265</v>
      </c>
    </row>
    <row r="321" customFormat="false" ht="15" hidden="false" customHeight="false" outlineLevel="0" collapsed="false">
      <c r="A321" s="0" t="n">
        <v>320</v>
      </c>
      <c r="B321" s="0" t="s">
        <v>213</v>
      </c>
      <c r="C321" s="0" t="s">
        <v>542</v>
      </c>
      <c r="D321" s="0" t="s">
        <v>262</v>
      </c>
    </row>
    <row r="322" customFormat="false" ht="15" hidden="false" customHeight="false" outlineLevel="0" collapsed="false">
      <c r="A322" s="0" t="n">
        <v>321</v>
      </c>
      <c r="B322" s="0" t="s">
        <v>216</v>
      </c>
      <c r="C322" s="0" t="s">
        <v>543</v>
      </c>
      <c r="D322" s="0" t="s">
        <v>544</v>
      </c>
    </row>
    <row r="323" customFormat="false" ht="15" hidden="false" customHeight="false" outlineLevel="0" collapsed="false">
      <c r="A323" s="0" t="n">
        <v>322</v>
      </c>
      <c r="B323" s="0" t="s">
        <v>216</v>
      </c>
      <c r="C323" s="0" t="s">
        <v>276</v>
      </c>
      <c r="D323" s="0" t="s">
        <v>262</v>
      </c>
      <c r="F323" s="0" t="s">
        <v>276</v>
      </c>
    </row>
    <row r="324" customFormat="false" ht="15" hidden="false" customHeight="false" outlineLevel="0" collapsed="false">
      <c r="A324" s="0" t="n">
        <v>323</v>
      </c>
      <c r="B324" s="0" t="s">
        <v>216</v>
      </c>
      <c r="C324" s="0" t="s">
        <v>273</v>
      </c>
      <c r="D324" s="0" t="s">
        <v>262</v>
      </c>
      <c r="F324" s="0" t="s">
        <v>273</v>
      </c>
    </row>
    <row r="325" customFormat="false" ht="15" hidden="false" customHeight="false" outlineLevel="0" collapsed="false">
      <c r="A325" s="0" t="n">
        <v>324</v>
      </c>
      <c r="B325" s="0" t="s">
        <v>216</v>
      </c>
      <c r="C325" s="0" t="s">
        <v>545</v>
      </c>
      <c r="D325" s="0" t="s">
        <v>262</v>
      </c>
    </row>
    <row r="326" customFormat="false" ht="15" hidden="false" customHeight="false" outlineLevel="0" collapsed="false">
      <c r="A326" s="0" t="n">
        <v>325</v>
      </c>
      <c r="B326" s="0" t="s">
        <v>219</v>
      </c>
      <c r="C326" s="0" t="s">
        <v>546</v>
      </c>
      <c r="D326" s="0" t="s">
        <v>547</v>
      </c>
      <c r="F326" s="0" t="s">
        <v>263</v>
      </c>
    </row>
    <row r="327" customFormat="false" ht="15" hidden="false" customHeight="false" outlineLevel="0" collapsed="false">
      <c r="A327" s="0" t="n">
        <v>326</v>
      </c>
      <c r="B327" s="0" t="s">
        <v>219</v>
      </c>
      <c r="C327" s="0" t="s">
        <v>293</v>
      </c>
      <c r="D327" s="0" t="s">
        <v>294</v>
      </c>
      <c r="F327" s="0" t="s">
        <v>265</v>
      </c>
    </row>
    <row r="328" customFormat="false" ht="15" hidden="false" customHeight="false" outlineLevel="0" collapsed="false">
      <c r="A328" s="0" t="n">
        <v>327</v>
      </c>
      <c r="B328" s="0" t="s">
        <v>219</v>
      </c>
      <c r="C328" s="0" t="s">
        <v>548</v>
      </c>
      <c r="D328" s="0" t="s">
        <v>549</v>
      </c>
      <c r="F328" s="0" t="s">
        <v>265</v>
      </c>
    </row>
    <row r="329" customFormat="false" ht="15" hidden="false" customHeight="false" outlineLevel="0" collapsed="false">
      <c r="A329" s="0" t="n">
        <v>328</v>
      </c>
      <c r="B329" s="0" t="s">
        <v>219</v>
      </c>
      <c r="C329" s="0" t="s">
        <v>550</v>
      </c>
      <c r="D329" s="0" t="s">
        <v>262</v>
      </c>
      <c r="F329" s="0" t="s">
        <v>263</v>
      </c>
    </row>
    <row r="330" customFormat="false" ht="15" hidden="false" customHeight="false" outlineLevel="0" collapsed="false">
      <c r="A330" s="0" t="n">
        <v>329</v>
      </c>
      <c r="B330" s="0" t="s">
        <v>222</v>
      </c>
      <c r="C330" s="0" t="s">
        <v>281</v>
      </c>
      <c r="D330" s="0" t="s">
        <v>551</v>
      </c>
      <c r="F330" s="0" t="s">
        <v>263</v>
      </c>
    </row>
    <row r="331" customFormat="false" ht="15" hidden="false" customHeight="false" outlineLevel="0" collapsed="false">
      <c r="A331" s="0" t="n">
        <v>330</v>
      </c>
      <c r="B331" s="0" t="s">
        <v>222</v>
      </c>
      <c r="C331" s="0" t="s">
        <v>306</v>
      </c>
      <c r="D331" s="0" t="s">
        <v>552</v>
      </c>
      <c r="F331" s="0" t="s">
        <v>265</v>
      </c>
    </row>
    <row r="332" customFormat="false" ht="15" hidden="false" customHeight="false" outlineLevel="0" collapsed="false">
      <c r="A332" s="0" t="n">
        <v>331</v>
      </c>
      <c r="B332" s="0" t="s">
        <v>222</v>
      </c>
      <c r="C332" s="0" t="s">
        <v>528</v>
      </c>
      <c r="D332" s="0" t="s">
        <v>553</v>
      </c>
      <c r="F332" s="0" t="s">
        <v>265</v>
      </c>
    </row>
    <row r="333" customFormat="false" ht="15" hidden="false" customHeight="false" outlineLevel="0" collapsed="false">
      <c r="A333" s="0" t="n">
        <v>332</v>
      </c>
      <c r="B333" s="0" t="s">
        <v>222</v>
      </c>
      <c r="C333" s="0" t="s">
        <v>277</v>
      </c>
      <c r="D333" s="0" t="s">
        <v>309</v>
      </c>
      <c r="F333" s="0" t="s">
        <v>278</v>
      </c>
    </row>
    <row r="334" customFormat="false" ht="15" hidden="false" customHeight="false" outlineLevel="0" collapsed="false">
      <c r="A334" s="0" t="n">
        <v>333</v>
      </c>
      <c r="B334" s="0" t="s">
        <v>222</v>
      </c>
      <c r="C334" s="0" t="s">
        <v>554</v>
      </c>
      <c r="D334" s="0" t="s">
        <v>555</v>
      </c>
      <c r="F334" s="0" t="s">
        <v>301</v>
      </c>
    </row>
    <row r="335" customFormat="false" ht="15" hidden="false" customHeight="false" outlineLevel="0" collapsed="false">
      <c r="A335" s="0" t="n">
        <v>334</v>
      </c>
      <c r="B335" s="0" t="s">
        <v>222</v>
      </c>
      <c r="C335" s="0" t="s">
        <v>556</v>
      </c>
      <c r="D335" s="0" t="s">
        <v>557</v>
      </c>
      <c r="F335" s="0" t="s">
        <v>265</v>
      </c>
    </row>
    <row r="336" customFormat="false" ht="15" hidden="false" customHeight="false" outlineLevel="0" collapsed="false">
      <c r="A336" s="0" t="n">
        <v>335</v>
      </c>
      <c r="B336" s="0" t="s">
        <v>222</v>
      </c>
      <c r="C336" s="0" t="s">
        <v>558</v>
      </c>
      <c r="D336" s="0" t="s">
        <v>559</v>
      </c>
      <c r="F336" s="0" t="s">
        <v>275</v>
      </c>
    </row>
    <row r="337" customFormat="false" ht="15" hidden="false" customHeight="false" outlineLevel="0" collapsed="false">
      <c r="A337" s="0" t="n">
        <v>336</v>
      </c>
      <c r="B337" s="0" t="s">
        <v>222</v>
      </c>
      <c r="C337" s="0" t="s">
        <v>560</v>
      </c>
      <c r="D337" s="0" t="s">
        <v>561</v>
      </c>
      <c r="F337" s="0" t="s">
        <v>265</v>
      </c>
    </row>
    <row r="338" customFormat="false" ht="15" hidden="false" customHeight="false" outlineLevel="0" collapsed="false">
      <c r="A338" s="0" t="n">
        <v>337</v>
      </c>
      <c r="B338" s="0" t="s">
        <v>225</v>
      </c>
      <c r="C338" s="0" t="s">
        <v>562</v>
      </c>
      <c r="D338" s="0" t="s">
        <v>262</v>
      </c>
    </row>
    <row r="339" customFormat="false" ht="15" hidden="false" customHeight="false" outlineLevel="0" collapsed="false">
      <c r="A339" s="0" t="n">
        <v>338</v>
      </c>
      <c r="B339" s="0" t="s">
        <v>225</v>
      </c>
      <c r="C339" s="0" t="s">
        <v>563</v>
      </c>
      <c r="D339" s="0" t="s">
        <v>262</v>
      </c>
    </row>
    <row r="340" customFormat="false" ht="15" hidden="false" customHeight="false" outlineLevel="0" collapsed="false">
      <c r="A340" s="0" t="n">
        <v>339</v>
      </c>
      <c r="B340" s="0" t="s">
        <v>225</v>
      </c>
      <c r="C340" s="0" t="s">
        <v>564</v>
      </c>
      <c r="D340" s="0" t="s">
        <v>262</v>
      </c>
    </row>
    <row r="341" customFormat="false" ht="15" hidden="false" customHeight="false" outlineLevel="0" collapsed="false">
      <c r="A341" s="0" t="n">
        <v>340</v>
      </c>
      <c r="B341" s="0" t="s">
        <v>225</v>
      </c>
      <c r="C341" s="0" t="s">
        <v>565</v>
      </c>
      <c r="D341" s="0" t="s">
        <v>262</v>
      </c>
    </row>
    <row r="342" customFormat="false" ht="15" hidden="false" customHeight="false" outlineLevel="0" collapsed="false">
      <c r="A342" s="0" t="n">
        <v>341</v>
      </c>
      <c r="B342" s="0" t="s">
        <v>229</v>
      </c>
      <c r="C342" s="0" t="s">
        <v>566</v>
      </c>
      <c r="D342" s="0" t="s">
        <v>567</v>
      </c>
    </row>
    <row r="343" customFormat="false" ht="15" hidden="false" customHeight="false" outlineLevel="0" collapsed="false">
      <c r="A343" s="0" t="n">
        <v>342</v>
      </c>
      <c r="B343" s="0" t="s">
        <v>229</v>
      </c>
      <c r="C343" s="0" t="s">
        <v>568</v>
      </c>
      <c r="D343" s="0" t="s">
        <v>567</v>
      </c>
    </row>
    <row r="344" customFormat="false" ht="15" hidden="false" customHeight="false" outlineLevel="0" collapsed="false">
      <c r="A344" s="0" t="n">
        <v>343</v>
      </c>
      <c r="B344" s="0" t="s">
        <v>229</v>
      </c>
      <c r="C344" s="0" t="s">
        <v>569</v>
      </c>
      <c r="D344" s="0" t="s">
        <v>570</v>
      </c>
    </row>
    <row r="345" customFormat="false" ht="15" hidden="false" customHeight="false" outlineLevel="0" collapsed="false">
      <c r="A345" s="0" t="n">
        <v>344</v>
      </c>
      <c r="B345" s="0" t="s">
        <v>229</v>
      </c>
      <c r="C345" s="0" t="s">
        <v>571</v>
      </c>
      <c r="D345" s="0" t="s">
        <v>570</v>
      </c>
    </row>
    <row r="346" customFormat="false" ht="15" hidden="false" customHeight="false" outlineLevel="0" collapsed="false">
      <c r="A346" s="0" t="n">
        <v>345</v>
      </c>
      <c r="B346" s="0" t="s">
        <v>229</v>
      </c>
      <c r="C346" s="0" t="s">
        <v>572</v>
      </c>
      <c r="D346" s="0" t="s">
        <v>505</v>
      </c>
    </row>
    <row r="347" customFormat="false" ht="15" hidden="false" customHeight="false" outlineLevel="0" collapsed="false">
      <c r="A347" s="0" t="n">
        <v>346</v>
      </c>
      <c r="B347" s="0" t="s">
        <v>229</v>
      </c>
      <c r="C347" s="0" t="s">
        <v>573</v>
      </c>
      <c r="D347" s="0" t="s">
        <v>574</v>
      </c>
      <c r="F347" s="0" t="s">
        <v>275</v>
      </c>
    </row>
    <row r="348" customFormat="false" ht="15" hidden="false" customHeight="false" outlineLevel="0" collapsed="false">
      <c r="A348" s="0" t="n">
        <v>347</v>
      </c>
      <c r="B348" s="0" t="s">
        <v>232</v>
      </c>
      <c r="C348" s="0" t="s">
        <v>281</v>
      </c>
      <c r="D348" s="0" t="s">
        <v>262</v>
      </c>
      <c r="F348" s="0" t="s">
        <v>263</v>
      </c>
    </row>
    <row r="349" customFormat="false" ht="15" hidden="false" customHeight="false" outlineLevel="0" collapsed="false">
      <c r="A349" s="0" t="n">
        <v>348</v>
      </c>
      <c r="B349" s="0" t="s">
        <v>232</v>
      </c>
      <c r="C349" s="0" t="s">
        <v>283</v>
      </c>
      <c r="D349" s="0" t="s">
        <v>262</v>
      </c>
      <c r="F349" s="0" t="s">
        <v>265</v>
      </c>
    </row>
    <row r="350" customFormat="false" ht="15" hidden="false" customHeight="false" outlineLevel="0" collapsed="false">
      <c r="A350" s="0" t="n">
        <v>349</v>
      </c>
      <c r="B350" s="0" t="s">
        <v>232</v>
      </c>
      <c r="C350" s="0" t="s">
        <v>297</v>
      </c>
      <c r="D350" s="0" t="s">
        <v>262</v>
      </c>
      <c r="F350" s="0" t="s">
        <v>297</v>
      </c>
    </row>
    <row r="351" customFormat="false" ht="15" hidden="false" customHeight="false" outlineLevel="0" collapsed="false">
      <c r="A351" s="0" t="n">
        <v>350</v>
      </c>
      <c r="B351" s="0" t="s">
        <v>232</v>
      </c>
      <c r="C351" s="0" t="s">
        <v>266</v>
      </c>
      <c r="D351" s="0" t="s">
        <v>262</v>
      </c>
      <c r="F351" s="0" t="s">
        <v>267</v>
      </c>
    </row>
    <row r="352" customFormat="false" ht="15" hidden="false" customHeight="false" outlineLevel="0" collapsed="false">
      <c r="A352" s="0" t="n">
        <v>351</v>
      </c>
      <c r="B352" s="0" t="s">
        <v>232</v>
      </c>
      <c r="C352" s="0" t="s">
        <v>431</v>
      </c>
      <c r="D352" s="0" t="s">
        <v>262</v>
      </c>
    </row>
    <row r="353" customFormat="false" ht="15" hidden="false" customHeight="false" outlineLevel="0" collapsed="false">
      <c r="A353" s="0" t="n">
        <v>352</v>
      </c>
      <c r="B353" s="0" t="s">
        <v>236</v>
      </c>
      <c r="C353" s="0" t="s">
        <v>575</v>
      </c>
      <c r="D353" s="0" t="s">
        <v>576</v>
      </c>
    </row>
    <row r="354" customFormat="false" ht="15" hidden="false" customHeight="false" outlineLevel="0" collapsed="false">
      <c r="A354" s="0" t="n">
        <v>353</v>
      </c>
      <c r="B354" s="0" t="s">
        <v>241</v>
      </c>
      <c r="C354" s="0" t="s">
        <v>281</v>
      </c>
      <c r="D354" s="0" t="s">
        <v>262</v>
      </c>
      <c r="F354" s="0" t="s">
        <v>263</v>
      </c>
    </row>
    <row r="355" customFormat="false" ht="15" hidden="false" customHeight="false" outlineLevel="0" collapsed="false">
      <c r="A355" s="0" t="n">
        <v>354</v>
      </c>
      <c r="B355" s="0" t="s">
        <v>241</v>
      </c>
      <c r="C355" s="0" t="s">
        <v>283</v>
      </c>
      <c r="D355" s="0" t="s">
        <v>262</v>
      </c>
      <c r="F355" s="0" t="s">
        <v>265</v>
      </c>
    </row>
    <row r="356" customFormat="false" ht="15" hidden="false" customHeight="false" outlineLevel="0" collapsed="false">
      <c r="A356" s="0" t="n">
        <v>355</v>
      </c>
      <c r="B356" s="0" t="s">
        <v>241</v>
      </c>
      <c r="C356" s="0" t="s">
        <v>577</v>
      </c>
      <c r="D356" s="0" t="s">
        <v>262</v>
      </c>
      <c r="F356" s="0" t="s">
        <v>263</v>
      </c>
    </row>
    <row r="357" customFormat="false" ht="15" hidden="false" customHeight="false" outlineLevel="0" collapsed="false">
      <c r="A357" s="0" t="n">
        <v>356</v>
      </c>
      <c r="B357" s="0" t="s">
        <v>241</v>
      </c>
      <c r="C357" s="0" t="s">
        <v>578</v>
      </c>
      <c r="D357" s="0" t="s">
        <v>262</v>
      </c>
      <c r="F357" s="0" t="s">
        <v>263</v>
      </c>
    </row>
    <row r="358" customFormat="false" ht="15" hidden="false" customHeight="false" outlineLevel="0" collapsed="false">
      <c r="A358" s="0" t="n">
        <v>357</v>
      </c>
      <c r="B358" s="0" t="s">
        <v>244</v>
      </c>
      <c r="C358" s="0" t="s">
        <v>579</v>
      </c>
      <c r="D358" s="0" t="s">
        <v>580</v>
      </c>
    </row>
    <row r="359" customFormat="false" ht="15" hidden="false" customHeight="false" outlineLevel="0" collapsed="false">
      <c r="A359" s="0" t="n">
        <v>358</v>
      </c>
      <c r="B359" s="0" t="s">
        <v>244</v>
      </c>
      <c r="C359" s="0" t="s">
        <v>581</v>
      </c>
      <c r="D359" s="0" t="s">
        <v>582</v>
      </c>
    </row>
    <row r="360" customFormat="false" ht="15" hidden="false" customHeight="false" outlineLevel="0" collapsed="false">
      <c r="A360" s="0" t="n">
        <v>359</v>
      </c>
      <c r="B360" s="0" t="s">
        <v>244</v>
      </c>
      <c r="C360" s="0" t="s">
        <v>583</v>
      </c>
      <c r="D360" s="0" t="s">
        <v>262</v>
      </c>
    </row>
    <row r="361" customFormat="false" ht="15" hidden="false" customHeight="false" outlineLevel="0" collapsed="false">
      <c r="A361" s="0" t="n">
        <v>360</v>
      </c>
      <c r="B361" s="0" t="s">
        <v>247</v>
      </c>
      <c r="C361" s="0" t="s">
        <v>584</v>
      </c>
      <c r="D361" s="0" t="s">
        <v>262</v>
      </c>
      <c r="F361" s="0" t="s">
        <v>278</v>
      </c>
    </row>
    <row r="362" customFormat="false" ht="15" hidden="false" customHeight="false" outlineLevel="0" collapsed="false">
      <c r="A362" s="0" t="n">
        <v>361</v>
      </c>
      <c r="B362" s="0" t="s">
        <v>247</v>
      </c>
      <c r="C362" s="0" t="s">
        <v>577</v>
      </c>
      <c r="D362" s="0" t="s">
        <v>262</v>
      </c>
      <c r="F362" s="0" t="s">
        <v>263</v>
      </c>
    </row>
    <row r="363" customFormat="false" ht="15" hidden="false" customHeight="false" outlineLevel="0" collapsed="false">
      <c r="A363" s="0" t="n">
        <v>362</v>
      </c>
      <c r="B363" s="0" t="s">
        <v>247</v>
      </c>
      <c r="C363" s="0" t="s">
        <v>585</v>
      </c>
      <c r="D363" s="0" t="s">
        <v>262</v>
      </c>
      <c r="F363" s="0" t="s">
        <v>265</v>
      </c>
    </row>
    <row r="364" customFormat="false" ht="15" hidden="false" customHeight="false" outlineLevel="0" collapsed="false">
      <c r="A364" s="0" t="n">
        <v>363</v>
      </c>
      <c r="B364" s="0" t="s">
        <v>247</v>
      </c>
      <c r="C364" s="0" t="s">
        <v>281</v>
      </c>
      <c r="D364" s="0" t="s">
        <v>262</v>
      </c>
      <c r="F364" s="0" t="s">
        <v>263</v>
      </c>
    </row>
    <row r="365" customFormat="false" ht="15" hidden="false" customHeight="false" outlineLevel="0" collapsed="false">
      <c r="A365" s="0" t="n">
        <v>364</v>
      </c>
      <c r="B365" s="0" t="s">
        <v>247</v>
      </c>
      <c r="C365" s="0" t="s">
        <v>273</v>
      </c>
      <c r="D365" s="0" t="s">
        <v>262</v>
      </c>
      <c r="F365" s="0" t="s">
        <v>273</v>
      </c>
    </row>
    <row r="366" customFormat="false" ht="15" hidden="false" customHeight="false" outlineLevel="0" collapsed="false">
      <c r="A366" s="0" t="n">
        <v>365</v>
      </c>
      <c r="B366" s="0" t="s">
        <v>247</v>
      </c>
      <c r="C366" s="0" t="s">
        <v>586</v>
      </c>
      <c r="D366" s="0" t="s">
        <v>262</v>
      </c>
      <c r="F366" s="0" t="s">
        <v>275</v>
      </c>
    </row>
    <row r="367" customFormat="false" ht="15" hidden="false" customHeight="false" outlineLevel="0" collapsed="false">
      <c r="A367" s="0" t="n">
        <v>366</v>
      </c>
      <c r="B367" s="0" t="s">
        <v>247</v>
      </c>
      <c r="C367" s="0" t="s">
        <v>330</v>
      </c>
      <c r="D367" s="0" t="s">
        <v>262</v>
      </c>
      <c r="F367" s="0" t="s">
        <v>270</v>
      </c>
    </row>
    <row r="368" customFormat="false" ht="15" hidden="false" customHeight="false" outlineLevel="0" collapsed="false">
      <c r="A368" s="0" t="n">
        <v>367</v>
      </c>
      <c r="B368" s="0" t="s">
        <v>251</v>
      </c>
      <c r="C368" s="0" t="s">
        <v>587</v>
      </c>
      <c r="D368" s="0" t="s">
        <v>588</v>
      </c>
      <c r="F368" s="0" t="s">
        <v>276</v>
      </c>
    </row>
    <row r="369" customFormat="false" ht="15" hidden="false" customHeight="false" outlineLevel="0" collapsed="false">
      <c r="A369" s="0" t="n">
        <v>368</v>
      </c>
      <c r="B369" s="0" t="s">
        <v>251</v>
      </c>
      <c r="C369" s="0" t="s">
        <v>589</v>
      </c>
      <c r="D369" s="0" t="s">
        <v>262</v>
      </c>
    </row>
    <row r="370" customFormat="false" ht="15" hidden="false" customHeight="false" outlineLevel="0" collapsed="false">
      <c r="A370" s="0" t="n">
        <v>369</v>
      </c>
      <c r="B370" s="0" t="s">
        <v>251</v>
      </c>
      <c r="C370" s="0" t="s">
        <v>516</v>
      </c>
      <c r="D370" s="0" t="s">
        <v>262</v>
      </c>
      <c r="F370" s="0" t="s">
        <v>278</v>
      </c>
    </row>
    <row r="371" customFormat="false" ht="15" hidden="false" customHeight="false" outlineLevel="0" collapsed="false">
      <c r="A371" s="0" t="n">
        <v>370</v>
      </c>
      <c r="B371" s="0" t="s">
        <v>251</v>
      </c>
      <c r="C371" s="0" t="s">
        <v>301</v>
      </c>
      <c r="D371" s="0" t="s">
        <v>262</v>
      </c>
      <c r="F371" s="0" t="s">
        <v>301</v>
      </c>
    </row>
    <row r="372" customFormat="false" ht="15" hidden="false" customHeight="false" outlineLevel="0" collapsed="false">
      <c r="A372" s="0" t="n">
        <v>371</v>
      </c>
      <c r="B372" s="0" t="s">
        <v>254</v>
      </c>
      <c r="C372" s="0" t="s">
        <v>281</v>
      </c>
      <c r="D372" s="0" t="s">
        <v>287</v>
      </c>
      <c r="F372" s="0" t="s">
        <v>263</v>
      </c>
    </row>
    <row r="373" customFormat="false" ht="15" hidden="false" customHeight="false" outlineLevel="0" collapsed="false">
      <c r="A373" s="0" t="n">
        <v>372</v>
      </c>
      <c r="B373" s="0" t="s">
        <v>254</v>
      </c>
      <c r="C373" s="0" t="s">
        <v>288</v>
      </c>
      <c r="D373" s="0" t="s">
        <v>289</v>
      </c>
      <c r="F373" s="0" t="s">
        <v>265</v>
      </c>
    </row>
    <row r="374" customFormat="false" ht="15" hidden="false" customHeight="false" outlineLevel="0" collapsed="false">
      <c r="A374" s="0" t="n">
        <v>373</v>
      </c>
      <c r="B374" s="0" t="s">
        <v>254</v>
      </c>
      <c r="C374" s="0" t="s">
        <v>299</v>
      </c>
      <c r="D374" s="0" t="s">
        <v>262</v>
      </c>
      <c r="F374" s="0" t="s">
        <v>299</v>
      </c>
    </row>
    <row r="375" customFormat="false" ht="15" hidden="false" customHeight="false" outlineLevel="0" collapsed="false">
      <c r="A375" s="0" t="n">
        <v>374</v>
      </c>
      <c r="B375" s="0" t="s">
        <v>254</v>
      </c>
      <c r="C375" s="0" t="s">
        <v>273</v>
      </c>
      <c r="D375" s="0" t="s">
        <v>262</v>
      </c>
      <c r="F375" s="0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</cols>
  <sheetData>
    <row r="1" customFormat="false" ht="17.35" hidden="false" customHeight="false" outlineLevel="0" collapsed="false">
      <c r="A1" s="2" t="s">
        <v>590</v>
      </c>
      <c r="B1" s="2"/>
      <c r="C1" s="2"/>
      <c r="D1" s="2"/>
    </row>
    <row r="3" customFormat="false" ht="15" hidden="false" customHeight="false" outlineLevel="0" collapsed="false">
      <c r="A3" s="3" t="s">
        <v>591</v>
      </c>
      <c r="B3" s="3" t="s">
        <v>592</v>
      </c>
    </row>
    <row r="4" customFormat="false" ht="15" hidden="false" customHeight="false" outlineLevel="0" collapsed="false">
      <c r="A4" s="0" t="s">
        <v>593</v>
      </c>
      <c r="B4" s="0" t="n">
        <f aca="false">COUNTA('Clinics Overview'!B2:B72)</f>
        <v>71</v>
      </c>
    </row>
    <row r="5" customFormat="false" ht="15" hidden="false" customHeight="false" outlineLevel="0" collapsed="false">
      <c r="A5" s="0" t="s">
        <v>594</v>
      </c>
      <c r="B5" s="0" t="n">
        <f aca="false">SUMPRODUCT(--((ISNUMBER(SEARCH("yes",'Clinics Overview'!G2:G72))+ISNUMBER(SEARCH("partial",'Clinics Overview'!G2:G72)))&gt;0))</f>
        <v>46</v>
      </c>
    </row>
    <row r="6" customFormat="false" ht="15" hidden="false" customHeight="false" outlineLevel="0" collapsed="false">
      <c r="A6" s="0" t="s">
        <v>595</v>
      </c>
      <c r="B6" s="0" t="n">
        <f aca="false">B4-B5</f>
        <v>25</v>
      </c>
    </row>
    <row r="7" customFormat="false" ht="15" hidden="false" customHeight="false" outlineLevel="0" collapsed="false">
      <c r="A7" s="0" t="s">
        <v>596</v>
      </c>
      <c r="B7" s="0" t="n">
        <f aca="false">COUNTA('All Procedures'!C2:C375)</f>
        <v>374</v>
      </c>
    </row>
    <row r="9" customFormat="false" ht="15" hidden="false" customHeight="false" outlineLevel="0" collapsed="false">
      <c r="A9" s="3" t="s">
        <v>597</v>
      </c>
      <c r="B9" s="3" t="s">
        <v>598</v>
      </c>
    </row>
    <row r="10" customFormat="false" ht="15" hidden="false" customHeight="false" outlineLevel="0" collapsed="false">
      <c r="A10" s="0" t="s">
        <v>263</v>
      </c>
      <c r="B10" s="0" t="n">
        <f aca="false">SUMPRODUCT(--(COUNTIFS('All Procedures'!$B$2:$B$375,'Clinics Overview'!$B$2:$B$72,'All Procedures'!$F$2:$F$375,"*"&amp;"Botox / Neuromodulators"&amp;"*")&gt;0))</f>
        <v>50</v>
      </c>
    </row>
    <row r="11" customFormat="false" ht="15" hidden="false" customHeight="false" outlineLevel="0" collapsed="false">
      <c r="A11" s="0" t="s">
        <v>265</v>
      </c>
      <c r="B11" s="0" t="n">
        <f aca="false">SUMPRODUCT(--(COUNTIFS('All Procedures'!$B$2:$B$375,'Clinics Overview'!$B$2:$B$72,'All Procedures'!$F$2:$F$375,"*"&amp;"Dermal / Lip Fillers"&amp;"*")&gt;0))</f>
        <v>41</v>
      </c>
    </row>
    <row r="12" customFormat="false" ht="15" hidden="false" customHeight="false" outlineLevel="0" collapsed="false">
      <c r="A12" s="0" t="s">
        <v>267</v>
      </c>
      <c r="B12" s="0" t="n">
        <f aca="false">SUMPRODUCT(--(COUNTIFS('All Procedures'!$B$2:$B$375,'Clinics Overview'!$B$2:$B$72,'All Procedures'!$F$2:$F$375,"*"&amp;"Sculptra / Biostimulators"&amp;"*")&gt;0))</f>
        <v>7</v>
      </c>
    </row>
    <row r="13" customFormat="false" ht="15" hidden="false" customHeight="false" outlineLevel="0" collapsed="false">
      <c r="A13" s="0" t="s">
        <v>297</v>
      </c>
      <c r="B13" s="0" t="n">
        <f aca="false">SUMPRODUCT(--(COUNTIFS('All Procedures'!$B$2:$B$375,'Clinics Overview'!$B$2:$B$72,'All Procedures'!$F$2:$F$375,"*"&amp;"Kybella"&amp;"*")&gt;0))</f>
        <v>2</v>
      </c>
    </row>
    <row r="14" customFormat="false" ht="15" hidden="false" customHeight="false" outlineLevel="0" collapsed="false">
      <c r="A14" s="0" t="s">
        <v>276</v>
      </c>
      <c r="B14" s="0" t="n">
        <f aca="false">SUMPRODUCT(--(COUNTIFS('All Procedures'!$B$2:$B$375,'Clinics Overview'!$B$2:$B$72,'All Procedures'!$F$2:$F$375,"*"&amp;"HydraFacial"&amp;"*")&gt;0))</f>
        <v>7</v>
      </c>
    </row>
    <row r="15" customFormat="false" ht="15" hidden="false" customHeight="false" outlineLevel="0" collapsed="false">
      <c r="A15" s="0" t="s">
        <v>275</v>
      </c>
      <c r="B15" s="0" t="n">
        <f aca="false">SUMPRODUCT(--(COUNTIFS('All Procedures'!$B$2:$B$375,'Clinics Overview'!$B$2:$B$72,'All Procedures'!$F$2:$F$375,"*"&amp;"Chemical Peels"&amp;"*")&gt;0))</f>
        <v>6</v>
      </c>
    </row>
    <row r="16" customFormat="false" ht="15" hidden="false" customHeight="false" outlineLevel="0" collapsed="false">
      <c r="A16" s="0" t="s">
        <v>273</v>
      </c>
      <c r="B16" s="0" t="n">
        <f aca="false">SUMPRODUCT(--(COUNTIFS('All Procedures'!$B$2:$B$375,'Clinics Overview'!$B$2:$B$72,'All Procedures'!$F$2:$F$375,"*"&amp;"Microneedling"&amp;"*")&gt;0))</f>
        <v>19</v>
      </c>
    </row>
    <row r="17" customFormat="false" ht="15" hidden="false" customHeight="false" outlineLevel="0" collapsed="false">
      <c r="A17" s="0" t="s">
        <v>299</v>
      </c>
      <c r="B17" s="0" t="n">
        <f aca="false">SUMPRODUCT(--(COUNTIFS('All Procedures'!$B$2:$B$375,'Clinics Overview'!$B$2:$B$72,'All Procedures'!$F$2:$F$375,"*"&amp;"Laser Hair Removal"&amp;"*")&gt;0))</f>
        <v>19</v>
      </c>
    </row>
    <row r="18" customFormat="false" ht="15" hidden="false" customHeight="false" outlineLevel="0" collapsed="false">
      <c r="A18" s="0" t="s">
        <v>285</v>
      </c>
      <c r="B18" s="0" t="n">
        <f aca="false">SUMPRODUCT(--(COUNTIFS('All Procedures'!$B$2:$B$375,'Clinics Overview'!$B$2:$B$72,'All Procedures'!$F$2:$F$375,"*"&amp;"Body Contouring / CoolSculpting"&amp;"*")&gt;0))</f>
        <v>15</v>
      </c>
    </row>
    <row r="19" customFormat="false" ht="15" hidden="false" customHeight="false" outlineLevel="0" collapsed="false">
      <c r="A19" s="0" t="s">
        <v>348</v>
      </c>
      <c r="B19" s="0" t="n">
        <f aca="false">SUMPRODUCT(--(COUNTIFS('All Procedures'!$B$2:$B$375,'Clinics Overview'!$B$2:$B$72,'All Procedures'!$F$2:$F$375,"*"&amp;"Skin Tightening (Morpheus8/RF)"&amp;"*")&gt;0))</f>
        <v>4</v>
      </c>
    </row>
    <row r="20" customFormat="false" ht="15" hidden="false" customHeight="false" outlineLevel="0" collapsed="false">
      <c r="A20" s="0" t="s">
        <v>301</v>
      </c>
      <c r="B20" s="0" t="n">
        <f aca="false">SUMPRODUCT(--(COUNTIFS('All Procedures'!$B$2:$B$375,'Clinics Overview'!$B$2:$B$72,'All Procedures'!$F$2:$F$375,"*"&amp;"IV Therapy"&amp;"*")&gt;0))</f>
        <v>9</v>
      </c>
    </row>
    <row r="21" customFormat="false" ht="15" hidden="false" customHeight="false" outlineLevel="0" collapsed="false">
      <c r="A21" s="0" t="s">
        <v>270</v>
      </c>
      <c r="B21" s="0" t="n">
        <f aca="false">SUMPRODUCT(--(COUNTIFS('All Procedures'!$B$2:$B$375,'Clinics Overview'!$B$2:$B$72,'All Procedures'!$F$2:$F$375,"*"&amp;"PRP / PRF"&amp;"*")&gt;0))</f>
        <v>10</v>
      </c>
    </row>
    <row r="22" customFormat="false" ht="15" hidden="false" customHeight="false" outlineLevel="0" collapsed="false">
      <c r="A22" s="0" t="s">
        <v>278</v>
      </c>
      <c r="B22" s="0" t="n">
        <f aca="false">SUMPRODUCT(--(COUNTIFS('All Procedures'!$B$2:$B$375,'Clinics Overview'!$B$2:$B$72,'All Procedures'!$F$2:$F$375,"*"&amp;"Medical Weight Loss / GLP-1"&amp;"*")&gt;0))</f>
        <v>10</v>
      </c>
    </row>
    <row r="23" customFormat="false" ht="15" hidden="false" customHeight="false" outlineLevel="0" collapsed="false">
      <c r="A23" s="0" t="s">
        <v>280</v>
      </c>
      <c r="B23" s="0" t="n">
        <f aca="false">SUMPRODUCT(--(COUNTIFS('All Procedures'!$B$2:$B$375,'Clinics Overview'!$B$2:$B$72,'All Procedures'!$F$2:$F$375,"*"&amp;"Hormone Therapy"&amp;"*")&gt;0))</f>
        <v>7</v>
      </c>
    </row>
    <row r="24" customFormat="false" ht="15" hidden="false" customHeight="false" outlineLevel="0" collapsed="false">
      <c r="A24" s="0" t="s">
        <v>311</v>
      </c>
      <c r="B24" s="0" t="n">
        <f aca="false">SUMPRODUCT(--(COUNTIFS('All Procedures'!$B$2:$B$375,'Clinics Overview'!$B$2:$B$72,'All Procedures'!$F$2:$F$375,"*"&amp;"IPL / Photofacial"&amp;"*")&gt;0))</f>
        <v>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0" t="s">
        <v>599</v>
      </c>
    </row>
    <row r="3" customFormat="false" ht="15" hidden="false" customHeight="false" outlineLevel="0" collapsed="false">
      <c r="A3" s="0" t="s">
        <v>600</v>
      </c>
    </row>
    <row r="4" customFormat="false" ht="15" hidden="false" customHeight="false" outlineLevel="0" collapsed="false">
      <c r="A4" s="0" t="s">
        <v>601</v>
      </c>
    </row>
    <row r="5" customFormat="false" ht="15" hidden="false" customHeight="false" outlineLevel="0" collapsed="false">
      <c r="A5" s="0" t="s">
        <v>602</v>
      </c>
    </row>
    <row r="6" customFormat="false" ht="15" hidden="false" customHeight="false" outlineLevel="0" collapsed="false">
      <c r="A6" s="0" t="s">
        <v>603</v>
      </c>
    </row>
    <row r="7" customFormat="false" ht="15" hidden="false" customHeight="false" outlineLevel="0" collapsed="false">
      <c r="A7" s="0" t="s">
        <v>604</v>
      </c>
    </row>
    <row r="8" customFormat="false" ht="15" hidden="false" customHeight="false" outlineLevel="0" collapsed="false">
      <c r="A8" s="0" t="s">
        <v>605</v>
      </c>
    </row>
    <row r="9" customFormat="false" ht="15" hidden="false" customHeight="false" outlineLevel="0" collapsed="false">
      <c r="A9" s="0" t="s">
        <v>606</v>
      </c>
    </row>
    <row r="11" customFormat="false" ht="15" hidden="false" customHeight="false" outlineLevel="0" collapsed="false">
      <c r="A11" s="0" t="s">
        <v>607</v>
      </c>
    </row>
    <row r="13" customFormat="false" ht="15" hidden="false" customHeight="false" outlineLevel="0" collapsed="false">
      <c r="A13" s="0" t="s">
        <v>608</v>
      </c>
    </row>
    <row r="14" customFormat="false" ht="15" hidden="false" customHeight="false" outlineLevel="0" collapsed="false">
      <c r="A14" s="0" t="s">
        <v>609</v>
      </c>
    </row>
    <row r="15" customFormat="false" ht="15" hidden="false" customHeight="false" outlineLevel="0" collapsed="false">
      <c r="A15" s="0" t="s">
        <v>610</v>
      </c>
    </row>
    <row r="16" customFormat="false" ht="15" hidden="false" customHeight="false" outlineLevel="0" collapsed="false">
      <c r="A16" s="0" t="s">
        <v>611</v>
      </c>
    </row>
    <row r="17" customFormat="false" ht="15" hidden="false" customHeight="false" outlineLevel="0" collapsed="false">
      <c r="A17" s="0" t="s">
        <v>612</v>
      </c>
    </row>
    <row r="18" customFormat="false" ht="15" hidden="false" customHeight="false" outlineLevel="0" collapsed="false">
      <c r="A18" s="0" t="s">
        <v>613</v>
      </c>
    </row>
    <row r="19" customFormat="false" ht="15" hidden="false" customHeight="false" outlineLevel="0" collapsed="false">
      <c r="A19" s="0" t="s">
        <v>614</v>
      </c>
    </row>
    <row r="21" customFormat="false" ht="15" hidden="false" customHeight="false" outlineLevel="0" collapsed="false">
      <c r="A21" s="0" t="s">
        <v>615</v>
      </c>
    </row>
    <row r="22" customFormat="false" ht="15" hidden="false" customHeight="false" outlineLevel="0" collapsed="false">
      <c r="A22" s="0" t="s">
        <v>616</v>
      </c>
    </row>
    <row r="23" customFormat="false" ht="15" hidden="false" customHeight="false" outlineLevel="0" collapsed="false">
      <c r="A23" s="0" t="s">
        <v>617</v>
      </c>
    </row>
    <row r="24" customFormat="false" ht="15" hidden="false" customHeight="false" outlineLevel="0" collapsed="false">
      <c r="A24" s="0" t="s">
        <v>618</v>
      </c>
    </row>
    <row r="26" customFormat="false" ht="15" hidden="false" customHeight="false" outlineLevel="0" collapsed="false">
      <c r="A26" s="0" t="s">
        <v>619</v>
      </c>
    </row>
    <row r="27" customFormat="false" ht="15" hidden="false" customHeight="false" outlineLevel="0" collapsed="false">
      <c r="A27" s="0" t="s">
        <v>620</v>
      </c>
    </row>
    <row r="28" customFormat="false" ht="15" hidden="false" customHeight="false" outlineLevel="0" collapsed="false">
      <c r="A28" s="0" t="s">
        <v>621</v>
      </c>
    </row>
    <row r="29" customFormat="false" ht="15" hidden="false" customHeight="false" outlineLevel="0" collapsed="false">
      <c r="A29" s="0" t="s">
        <v>622</v>
      </c>
    </row>
    <row r="31" customFormat="false" ht="15" hidden="false" customHeight="false" outlineLevel="0" collapsed="false">
      <c r="A31" s="0" t="s">
        <v>623</v>
      </c>
    </row>
    <row r="32" customFormat="false" ht="15" hidden="false" customHeight="false" outlineLevel="0" collapsed="false">
      <c r="A32" s="0" t="s">
        <v>624</v>
      </c>
    </row>
    <row r="33" customFormat="false" ht="15" hidden="false" customHeight="false" outlineLevel="0" collapsed="false">
      <c r="A33" s="0" t="s">
        <v>625</v>
      </c>
    </row>
    <row r="34" customFormat="false" ht="15" hidden="false" customHeight="false" outlineLevel="0" collapsed="false">
      <c r="A34" s="0" t="s">
        <v>626</v>
      </c>
    </row>
    <row r="35" customFormat="false" ht="15" hidden="false" customHeight="false" outlineLevel="0" collapsed="false">
      <c r="A35" s="0" t="s">
        <v>627</v>
      </c>
    </row>
    <row r="36" customFormat="false" ht="15" hidden="false" customHeight="false" outlineLevel="0" collapsed="false">
      <c r="A36" s="0" t="s">
        <v>628</v>
      </c>
    </row>
    <row r="38" customFormat="false" ht="15" hidden="false" customHeight="false" outlineLevel="0" collapsed="false">
      <c r="A38" s="0" t="s">
        <v>629</v>
      </c>
    </row>
    <row r="39" customFormat="false" ht="15" hidden="false" customHeight="false" outlineLevel="0" collapsed="false">
      <c r="A39" s="0" t="s">
        <v>630</v>
      </c>
    </row>
    <row r="40" customFormat="false" ht="15" hidden="false" customHeight="false" outlineLevel="0" collapsed="false">
      <c r="A40" s="0" t="s">
        <v>631</v>
      </c>
    </row>
    <row r="41" customFormat="false" ht="15" hidden="false" customHeight="false" outlineLevel="0" collapsed="false">
      <c r="A41" s="0" t="s">
        <v>632</v>
      </c>
    </row>
    <row r="42" customFormat="false" ht="15" hidden="false" customHeight="false" outlineLevel="0" collapsed="false">
      <c r="A42" s="0" t="s">
        <v>633</v>
      </c>
    </row>
    <row r="43" customFormat="false" ht="15" hidden="false" customHeight="false" outlineLevel="0" collapsed="false">
      <c r="A43" s="0" t="s">
        <v>634</v>
      </c>
    </row>
    <row r="44" customFormat="false" ht="15" hidden="false" customHeight="false" outlineLevel="0" collapsed="false">
      <c r="A44" s="0" t="s">
        <v>635</v>
      </c>
    </row>
    <row r="46" customFormat="false" ht="15" hidden="false" customHeight="false" outlineLevel="0" collapsed="false">
      <c r="A46" s="0" t="s">
        <v>636</v>
      </c>
    </row>
    <row r="47" customFormat="false" ht="15" hidden="false" customHeight="false" outlineLevel="0" collapsed="false">
      <c r="A47" s="0" t="s">
        <v>637</v>
      </c>
    </row>
    <row r="49" customFormat="false" ht="15" hidden="false" customHeight="false" outlineLevel="0" collapsed="false">
      <c r="A49" s="0" t="s">
        <v>638</v>
      </c>
    </row>
    <row r="50" customFormat="false" ht="15" hidden="false" customHeight="false" outlineLevel="0" collapsed="false">
      <c r="A50" s="0" t="s">
        <v>639</v>
      </c>
    </row>
    <row r="51" customFormat="false" ht="15" hidden="false" customHeight="false" outlineLevel="0" collapsed="false">
      <c r="A51" s="0" t="s">
        <v>640</v>
      </c>
    </row>
    <row r="52" customFormat="false" ht="15" hidden="false" customHeight="false" outlineLevel="0" collapsed="false">
      <c r="A52" s="0" t="s">
        <v>641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2026-08-24T12:07:25Z</dcterms:created>
  <dc:creator>openpyxl</dc:creator>
  <dc:description/>
  <dc:language>en-US</dc:language>
  <cp:lastModifiedBy/>
  <dcterms:modified xsi:type="dcterms:W3CDTF">2026-08-24T12:07:25Z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