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nics Overview" sheetId="1" state="visible" r:id="rId3"/>
    <sheet name="All Procedures" sheetId="2" state="visible" r:id="rId4"/>
    <sheet name="Dashboard" sheetId="3" state="visible" r:id="rId5"/>
    <sheet name="No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<sst xmlns="http://schemas.openxmlformats.org/spreadsheetml/2006/main" count="1761" uniqueCount="797">
  <si>
    <t xml:space="preserve">#</t>
  </si>
  <si>
    <t xml:space="preserve">Clinic Name</t>
  </si>
  <si>
    <t xml:space="preserve">Neighborhood</t>
  </si>
  <si>
    <t xml:space="preserve">Address</t>
  </si>
  <si>
    <t xml:space="preserve">Website</t>
  </si>
  <si>
    <t xml:space="preserve">Email</t>
  </si>
  <si>
    <t xml:space="preserve">Pricing on File?</t>
  </si>
  <si>
    <t xml:space="preserve"># Procedures Logged</t>
  </si>
  <si>
    <t xml:space="preserve">Notes</t>
  </si>
  <si>
    <t xml:space="preserve">Tru Essence Cosmetic and Medical Spa</t>
  </si>
  <si>
    <t xml:space="preserve">Downtown</t>
  </si>
  <si>
    <t xml:space="preserve">2000 Crawford St Ste 107, Houston, TX 77002</t>
  </si>
  <si>
    <t xml:space="preserve">truessencespa.com</t>
  </si>
  <si>
    <t xml:space="preserve">no email found (phone/booking only)</t>
  </si>
  <si>
    <t xml:space="preserve">Partial</t>
  </si>
  <si>
    <t xml:space="preserve">Houston Medical Spa</t>
  </si>
  <si>
    <t xml:space="preserve">5151 Katy Fwy Ste 311, Houston, TX 77007</t>
  </si>
  <si>
    <t xml:space="preserve">thehoustonmedspa.glossgenius.com</t>
  </si>
  <si>
    <t xml:space="preserve">No</t>
  </si>
  <si>
    <t xml:space="preserve">Elevate Wellness &amp; Med Spa</t>
  </si>
  <si>
    <t xml:space="preserve">Louisiana St #910, Houston, TX</t>
  </si>
  <si>
    <t xml:space="preserve">elevatewellmedspa.com</t>
  </si>
  <si>
    <t xml:space="preserve">Artavi Med Spa - Dr. Tarina Desai, MD</t>
  </si>
  <si>
    <t xml:space="preserve">714 Yale St #2k, Houston, TX 77007</t>
  </si>
  <si>
    <t xml:space="preserve">artavimedspa.com</t>
  </si>
  <si>
    <t xml:space="preserve">NakedMD Med Spa Houston</t>
  </si>
  <si>
    <t xml:space="preserve">3100 Timmons Ln #420, Houston, TX 77027</t>
  </si>
  <si>
    <t xml:space="preserve">nakedmd.com</t>
  </si>
  <si>
    <t xml:space="preserve">Montrose Med Spa</t>
  </si>
  <si>
    <t xml:space="preserve">2505 Dunlavy St, Houston, TX 77006</t>
  </si>
  <si>
    <t xml:space="preserve">montrosemedspa.com</t>
  </si>
  <si>
    <t xml:space="preserve">River Oaks Galleria Medspa</t>
  </si>
  <si>
    <t xml:space="preserve">2111 W Loop S Ste 370, Houston, TX 77027</t>
  </si>
  <si>
    <t xml:space="preserve">rogmedspa.com</t>
  </si>
  <si>
    <t xml:space="preserve">Yes</t>
  </si>
  <si>
    <t xml:space="preserve">Alabama Med Spa By Voupre</t>
  </si>
  <si>
    <t xml:space="preserve">3701 W Alabama St #388, Houston, TX 77027</t>
  </si>
  <si>
    <t xml:space="preserve">fresha.com/alabama-med-spa-by-voupre</t>
  </si>
  <si>
    <t xml:space="preserve">Tulum Wellness Spa</t>
  </si>
  <si>
    <t xml:space="preserve">1223 W 34th St Ste A-600, Houston, TX 77018</t>
  </si>
  <si>
    <t xml:space="preserve">tulumwellness.com</t>
  </si>
  <si>
    <t xml:space="preserve">It's A Secret Med Spa - Houston</t>
  </si>
  <si>
    <t xml:space="preserve">Midtown</t>
  </si>
  <si>
    <t xml:space="preserve">1800 Post Oak Blvd #6130, Houston, TX 77056</t>
  </si>
  <si>
    <t xml:space="preserve">secretmedspa.com</t>
  </si>
  <si>
    <t xml:space="preserve">TLC MedSpa Houston</t>
  </si>
  <si>
    <t xml:space="preserve">5115 Fannin St Ste 960, Houston, TX 77004</t>
  </si>
  <si>
    <t xml:space="preserve">tlcmedspahouston.com</t>
  </si>
  <si>
    <t xml:space="preserve">Medspa@tlcsurgery.com</t>
  </si>
  <si>
    <t xml:space="preserve">The Total You Medical Spa - Blossom Hotel</t>
  </si>
  <si>
    <t xml:space="preserve">7118 Bertner Ave (The Blossom Hotel, 2nd Fl), Houston, TX 77030</t>
  </si>
  <si>
    <t xml:space="preserve">thetotalyoumedicalspa.com</t>
  </si>
  <si>
    <t xml:space="preserve">The Total You Medical Spa - Memorial City</t>
  </si>
  <si>
    <t xml:space="preserve">Memorial</t>
  </si>
  <si>
    <t xml:space="preserve">1140 Business Center Dr #403, Houston, TX 77043</t>
  </si>
  <si>
    <t xml:space="preserve">Miliv Med Spa &amp; Facials</t>
  </si>
  <si>
    <t xml:space="preserve">Montrose</t>
  </si>
  <si>
    <t xml:space="preserve">524 Waugh Dr, Houston, TX 77019</t>
  </si>
  <si>
    <t xml:space="preserve">milivmed-spa.com</t>
  </si>
  <si>
    <t xml:space="preserve">booking.milivmedspa@gmail.com</t>
  </si>
  <si>
    <t xml:space="preserve">Alira Med-Spa</t>
  </si>
  <si>
    <t xml:space="preserve">1619 W Alabama St, Houston, TX 77006</t>
  </si>
  <si>
    <t xml:space="preserve">aliramedspa.com</t>
  </si>
  <si>
    <t xml:space="preserve">Amora Med Spa</t>
  </si>
  <si>
    <t xml:space="preserve">315 W Alabama St #103, Houston, TX 77006</t>
  </si>
  <si>
    <t xml:space="preserve">amoramedspa.com</t>
  </si>
  <si>
    <t xml:space="preserve">Vida Aesthetics and Wellness</t>
  </si>
  <si>
    <t xml:space="preserve">3407 Montrose Blvd # A5, Houston, TX 77006</t>
  </si>
  <si>
    <t xml:space="preserve">allmyvida.com</t>
  </si>
  <si>
    <t xml:space="preserve">Persona Medical Spa</t>
  </si>
  <si>
    <t xml:space="preserve">2311 W Alabama St, Houston, TX 77098</t>
  </si>
  <si>
    <t xml:space="preserve">personamedspa.live-website.com</t>
  </si>
  <si>
    <t xml:space="preserve">River Oaks MedSpa</t>
  </si>
  <si>
    <t xml:space="preserve">River Oaks</t>
  </si>
  <si>
    <t xml:space="preserve">3100 Timmons Ln #100, Houston, TX 77027</t>
  </si>
  <si>
    <t xml:space="preserve">riveroaksmedspa.com</t>
  </si>
  <si>
    <t xml:space="preserve">milk + honey | River Oaks</t>
  </si>
  <si>
    <t xml:space="preserve">2800 Kirby Dr a134, Houston, TX 77098</t>
  </si>
  <si>
    <t xml:space="preserve">milkandhoney.com</t>
  </si>
  <si>
    <t xml:space="preserve">Beverly Hills Rejuvenation Center Houston - River Oaks</t>
  </si>
  <si>
    <t xml:space="preserve">1955 W Gray St, Houston, TX 77019</t>
  </si>
  <si>
    <t xml:space="preserve">bhrchoustonriveroaks.com</t>
  </si>
  <si>
    <t xml:space="preserve">INFINITY MED SPA</t>
  </si>
  <si>
    <t xml:space="preserve">3310 Edloe St, Houston, TX 77027</t>
  </si>
  <si>
    <t xml:space="preserve">infinitymedspas.com</t>
  </si>
  <si>
    <t xml:space="preserve">4Ever Young Med Spa &amp; Wellness Center - Heights Houston</t>
  </si>
  <si>
    <t xml:space="preserve">Heights</t>
  </si>
  <si>
    <t xml:space="preserve">550 Heights Blvd Ste A, Houston, TX 77007</t>
  </si>
  <si>
    <t xml:space="preserve">4everyoungantiaging.com</t>
  </si>
  <si>
    <t xml:space="preserve">Rose Milk Aesthetics</t>
  </si>
  <si>
    <t xml:space="preserve">6815 N Main St Ste A, Houston, TX 77009</t>
  </si>
  <si>
    <t xml:space="preserve">rosemilkaesthetics.com</t>
  </si>
  <si>
    <t xml:space="preserve">New Heights Med Spa</t>
  </si>
  <si>
    <t xml:space="preserve">6363 Richmond Ave #503, Houston, TX 77057</t>
  </si>
  <si>
    <t xml:space="preserve">newheightsmedspa.com</t>
  </si>
  <si>
    <t xml:space="preserve">PH Med</t>
  </si>
  <si>
    <t xml:space="preserve">1051 Heights Blvd Ste 130, Houston, TX 77008</t>
  </si>
  <si>
    <t xml:space="preserve">phmedhouston.com</t>
  </si>
  <si>
    <t xml:space="preserve">Dream Aesthetics Medspa</t>
  </si>
  <si>
    <t xml:space="preserve">5151 Katy Fwy Suite 300A, Houston, TX 77007</t>
  </si>
  <si>
    <t xml:space="preserve">dreamhoustonmedspa.com</t>
  </si>
  <si>
    <t xml:space="preserve">VIO Med Spa | West U</t>
  </si>
  <si>
    <t xml:space="preserve">West University</t>
  </si>
  <si>
    <t xml:space="preserve">3849 Bellaire Blvd, Houston, TX 77025</t>
  </si>
  <si>
    <t xml:space="preserve">viomedspa.com</t>
  </si>
  <si>
    <t xml:space="preserve">PurA Medical Aesthetics</t>
  </si>
  <si>
    <t xml:space="preserve">2222 Bissonnet St Ste 103, Houston, TX 77005</t>
  </si>
  <si>
    <t xml:space="preserve">thepuralife.com</t>
  </si>
  <si>
    <t xml:space="preserve">SkinSpirit Houston - Rice Village</t>
  </si>
  <si>
    <t xml:space="preserve">2401 Times Blvd Ste 110, Houston, TX 77005</t>
  </si>
  <si>
    <t xml:space="preserve">skinspirit.com</t>
  </si>
  <si>
    <t xml:space="preserve">15Aesthetics Medspa</t>
  </si>
  <si>
    <t xml:space="preserve">3730 Kirby Dr #801, Houston, TX 77098</t>
  </si>
  <si>
    <t xml:space="preserve">15aesthetics.com</t>
  </si>
  <si>
    <t xml:space="preserve">Rejuve Wellness &amp; Aesthetics Houston</t>
  </si>
  <si>
    <t xml:space="preserve">2514 Tangley St, Houston, TX 77005</t>
  </si>
  <si>
    <t xml:space="preserve">rejuvemedspatx.com</t>
  </si>
  <si>
    <t xml:space="preserve">Aesthetica MD Med Spa - Memorial</t>
  </si>
  <si>
    <t xml:space="preserve">Hartman Building, 15995 North Barkers Landing Rd Suite 320 #2, Houston, TX 77079</t>
  </si>
  <si>
    <t xml:space="preserve">aestheticamdmedspa.com</t>
  </si>
  <si>
    <t xml:space="preserve">MD Aesthetica MedSpa</t>
  </si>
  <si>
    <t xml:space="preserve">9230 Katy Fwy Ste 100, Houston, TX 77055</t>
  </si>
  <si>
    <t xml:space="preserve">mdamedspa.com</t>
  </si>
  <si>
    <t xml:space="preserve">myEvergreen MedSpa</t>
  </si>
  <si>
    <t xml:space="preserve">9230 Katy Fwy #100, Houston, TX 77055</t>
  </si>
  <si>
    <t xml:space="preserve">myevergreenmedspa.com</t>
  </si>
  <si>
    <t xml:space="preserve">Alchemy 43 Houston - Memorial at Lantern Lane</t>
  </si>
  <si>
    <t xml:space="preserve">12524 Memorial Dr # A, Houston, TX 77024</t>
  </si>
  <si>
    <t xml:space="preserve">alchemy43.com</t>
  </si>
  <si>
    <t xml:space="preserve">Galleria Aesthetics and Wellness</t>
  </si>
  <si>
    <t xml:space="preserve">Galleria</t>
  </si>
  <si>
    <t xml:space="preserve">5373 W Alabama St #120, Houston, TX 77056</t>
  </si>
  <si>
    <t xml:space="preserve">galleriaesthetics.com</t>
  </si>
  <si>
    <t xml:space="preserve">Amerejuve Medspa Galleria - Laser, Botox &amp; CoolSculpting</t>
  </si>
  <si>
    <t xml:space="preserve">2800 Sage Rd #200, Houston, TX 77056</t>
  </si>
  <si>
    <t xml:space="preserve">amerejuve.com</t>
  </si>
  <si>
    <t xml:space="preserve">The MedSpa at Galleria</t>
  </si>
  <si>
    <t xml:space="preserve">4615 Southwest Fwy, Houston, TX 77027 (address discrepancy: name suggests Galleria, resolved address is Southwest Fwy/Greenway area)</t>
  </si>
  <si>
    <t xml:space="preserve">medspascout.com/clinic/the-medspa-at-galleria-houston</t>
  </si>
  <si>
    <t xml:space="preserve">NakedMD Med Spa Katy</t>
  </si>
  <si>
    <t xml:space="preserve">Katy</t>
  </si>
  <si>
    <t xml:space="preserve">1331 W Grand Pkwy N #230, Katy, TX 77493</t>
  </si>
  <si>
    <t xml:space="preserve">Katy Med Tech Spa</t>
  </si>
  <si>
    <t xml:space="preserve">25145 Star Ln #1002, Katy, TX 77494</t>
  </si>
  <si>
    <t xml:space="preserve">katymedtechspa.com</t>
  </si>
  <si>
    <t xml:space="preserve">Katy Medi Spa</t>
  </si>
  <si>
    <t xml:space="preserve">21238 Kingsland Blvd Ste 1B, Katy, TX 77450</t>
  </si>
  <si>
    <t xml:space="preserve">katymedispa.com</t>
  </si>
  <si>
    <t xml:space="preserve">info@katymedispa.com</t>
  </si>
  <si>
    <t xml:space="preserve">Zero Age MedSpa Katy</t>
  </si>
  <si>
    <t xml:space="preserve">1325 Main St Ste 604, Katy, TX 77494</t>
  </si>
  <si>
    <t xml:space="preserve">zeroagemedspa.com</t>
  </si>
  <si>
    <t xml:space="preserve">Oasis Laser MedSpa</t>
  </si>
  <si>
    <t xml:space="preserve">25145 Star Ln #301, Katy, TX 77494</t>
  </si>
  <si>
    <t xml:space="preserve">oasislasermedspa.com</t>
  </si>
  <si>
    <t xml:space="preserve">MedSpa at Villagio</t>
  </si>
  <si>
    <t xml:space="preserve">22764 Westheimer Pkwy #690, Katy, TX 77450</t>
  </si>
  <si>
    <t xml:space="preserve">medspaatvillagio.com</t>
  </si>
  <si>
    <t xml:space="preserve">MedSPA Katy Sapphira Prive</t>
  </si>
  <si>
    <t xml:space="preserve">2039 N Mason Rd Ste 603, Katy, TX 77449</t>
  </si>
  <si>
    <t xml:space="preserve">sapphiraprivemedspa.com</t>
  </si>
  <si>
    <t xml:space="preserve">Luminous MediSpa</t>
  </si>
  <si>
    <t xml:space="preserve">410 W Grand Pkwy S #310, Katy, TX 77494</t>
  </si>
  <si>
    <t xml:space="preserve">luminousmedispa.com</t>
  </si>
  <si>
    <t xml:space="preserve">Lab De Skin KATY</t>
  </si>
  <si>
    <t xml:space="preserve">25830 Westheimer Pkwy #850, Katy, TX 77494</t>
  </si>
  <si>
    <t xml:space="preserve">labdeskin.com</t>
  </si>
  <si>
    <t xml:space="preserve">Sugar Land Medical Spa</t>
  </si>
  <si>
    <t xml:space="preserve">Sugar Land</t>
  </si>
  <si>
    <t xml:space="preserve">16062 Southwest Fwy, Sugar Land, TX 77479</t>
  </si>
  <si>
    <t xml:space="preserve">sugarlandmedspa.com</t>
  </si>
  <si>
    <t xml:space="preserve">Elase Medical Spa - Sugar Land</t>
  </si>
  <si>
    <t xml:space="preserve">2711 Town Center Blvd N, Sugar Land, TX 77479</t>
  </si>
  <si>
    <t xml:space="preserve">elase.com</t>
  </si>
  <si>
    <t xml:space="preserve">VIO Med Spa | Sugar Land</t>
  </si>
  <si>
    <t xml:space="preserve">15850 Southwest Fwy Suite G250, Sugar Land, TX 77478</t>
  </si>
  <si>
    <t xml:space="preserve">Vira Medspa</t>
  </si>
  <si>
    <t xml:space="preserve">800 Bonaventure Wy ste 149, Sugar Land, TX 77479</t>
  </si>
  <si>
    <t xml:space="preserve">viramedspa.com</t>
  </si>
  <si>
    <t xml:space="preserve">Info@viramedspa.com</t>
  </si>
  <si>
    <t xml:space="preserve">Premier Health Spa</t>
  </si>
  <si>
    <t xml:space="preserve">3527 Hwy 6 Ste 140, Sugar Land, TX 77478</t>
  </si>
  <si>
    <t xml:space="preserve">premierhealthspa.com</t>
  </si>
  <si>
    <t xml:space="preserve">Forever Young Medi Spa</t>
  </si>
  <si>
    <t xml:space="preserve">16126 Southwest Fwy Suite #250, Sugar Land, TX 77479</t>
  </si>
  <si>
    <t xml:space="preserve">foreveryoungmedispas.com</t>
  </si>
  <si>
    <t xml:space="preserve">Revitalize Medi-Spa</t>
  </si>
  <si>
    <t xml:space="preserve">19875 Southwest Fwy #260, Sugar Land, TX 77479</t>
  </si>
  <si>
    <t xml:space="preserve">revitalizemedispa.co</t>
  </si>
  <si>
    <t xml:space="preserve">Skin 105 Medical Spa &amp; Apothecary</t>
  </si>
  <si>
    <t xml:space="preserve">14019 Southwest Fwy #201, Sugar Land, TX 77478</t>
  </si>
  <si>
    <t xml:space="preserve">skin105.com</t>
  </si>
  <si>
    <t xml:space="preserve">Ruaa MedSpa</t>
  </si>
  <si>
    <t xml:space="preserve">5501 Cabrera Dr Ste 803, Sugar Land, TX 77479</t>
  </si>
  <si>
    <t xml:space="preserve">ruaamedspa.com</t>
  </si>
  <si>
    <t xml:space="preserve">It's A Secret Med Spa - The Woodlands</t>
  </si>
  <si>
    <t xml:space="preserve">The Woodlands</t>
  </si>
  <si>
    <t xml:space="preserve">1900 Lake Woodlands Dr #500, The Woodlands, TX 77380</t>
  </si>
  <si>
    <t xml:space="preserve">Seychelles Med &amp; Laser Spa</t>
  </si>
  <si>
    <t xml:space="preserve">25230 Borough Park Dr, The Woodlands, TX 77380</t>
  </si>
  <si>
    <t xml:space="preserve">seychellesmedspa.com</t>
  </si>
  <si>
    <t xml:space="preserve">Elase Medical Spa - The Woodlands</t>
  </si>
  <si>
    <t xml:space="preserve">19075 I-45 Suite 121A1, The Woodlands, TX 77385</t>
  </si>
  <si>
    <t xml:space="preserve">Avante Laser &amp; MediSpa</t>
  </si>
  <si>
    <t xml:space="preserve">8708 Technology Forest Pl Suite 125, The Woodlands, TX 77381</t>
  </si>
  <si>
    <t xml:space="preserve">avantemedispa.com</t>
  </si>
  <si>
    <t xml:space="preserve">Vedas Medical Spa</t>
  </si>
  <si>
    <t xml:space="preserve">2626 Research Forest Dr, The Woodlands, TX 77381</t>
  </si>
  <si>
    <t xml:space="preserve">vedasmedspa.com</t>
  </si>
  <si>
    <t xml:space="preserve">Radiance Medical Aesthetics &amp; Wellness</t>
  </si>
  <si>
    <t xml:space="preserve">9940 Woodlands Pkwy Ste 600, The Woodlands, TX 77381</t>
  </si>
  <si>
    <t xml:space="preserve">woodlandsradiancespa.com</t>
  </si>
  <si>
    <t xml:space="preserve">Gen B Medspa</t>
  </si>
  <si>
    <t xml:space="preserve">9001 Forest Crossing Dr d2, The Woodlands, TX 77381</t>
  </si>
  <si>
    <t xml:space="preserve">genbmedspa.com</t>
  </si>
  <si>
    <t xml:space="preserve">Rejuve' Wellness &amp; Aesthetics - The Woodlands</t>
  </si>
  <si>
    <t xml:space="preserve">2408 Timberloch Pl Ste D7, The Woodlands, TX 77380</t>
  </si>
  <si>
    <t xml:space="preserve">info@rejuvemedspatx.com</t>
  </si>
  <si>
    <t xml:space="preserve">MINTbody Med Spa &amp; Wellness Fairfield</t>
  </si>
  <si>
    <t xml:space="preserve">Cypress</t>
  </si>
  <si>
    <t xml:space="preserve">14131 Mueschke Rd Ste 203, Cypress, TX 77433</t>
  </si>
  <si>
    <t xml:space="preserve">mintbodymedspa.com</t>
  </si>
  <si>
    <t xml:space="preserve">Art of Beauty Wellness and Spa</t>
  </si>
  <si>
    <t xml:space="preserve">9945 Barker Cypress Rd Ste #200, Cypress, TX 77433</t>
  </si>
  <si>
    <t xml:space="preserve">artofbeautywellnessandspa.glossgenius.com</t>
  </si>
  <si>
    <t xml:space="preserve">Balle Bliss Luxury Medical Spa</t>
  </si>
  <si>
    <t xml:space="preserve">13611 Skinner Rd #270, Cypress, TX 77429</t>
  </si>
  <si>
    <t xml:space="preserve">ballebliss.com</t>
  </si>
  <si>
    <t xml:space="preserve">Le Blanc Wellness &amp; Beauty</t>
  </si>
  <si>
    <t xml:space="preserve">17832 Mound Rd Ste f, Cypress, TX 77433</t>
  </si>
  <si>
    <t xml:space="preserve">leblancwellnessandbeauty.com</t>
  </si>
  <si>
    <t xml:space="preserve">LIT &amp; Aesthetics Spa</t>
  </si>
  <si>
    <t xml:space="preserve">15103 Mason Rd Bldg D1 Suite 107, Cypress, TX 77433</t>
  </si>
  <si>
    <t xml:space="preserve">litaestheticsrn.com</t>
  </si>
  <si>
    <t xml:space="preserve">Degree Wellness</t>
  </si>
  <si>
    <t xml:space="preserve">20725 Tuckerton Rd Suite 600, Cypress, TX 77433</t>
  </si>
  <si>
    <t xml:space="preserve">degreewellness.com</t>
  </si>
  <si>
    <t xml:space="preserve">Vital Clinic and Spa</t>
  </si>
  <si>
    <t xml:space="preserve">11590 Barker Cypress Rd, Cypress, TX 77433</t>
  </si>
  <si>
    <t xml:space="preserve">vitalclinicandspa.com</t>
  </si>
  <si>
    <t xml:space="preserve">UR Royalty Med Spa</t>
  </si>
  <si>
    <t xml:space="preserve">7025 Fry Rd Ste 400, Cypress, TX 77433</t>
  </si>
  <si>
    <t xml:space="preserve">urroyaltymedspa.com</t>
  </si>
  <si>
    <t xml:space="preserve">Oasis Luxury Med Spa</t>
  </si>
  <si>
    <t xml:space="preserve">Pearland</t>
  </si>
  <si>
    <t xml:space="preserve">7930 W Broadway St Ste 116, Pearland, TX 77581</t>
  </si>
  <si>
    <t xml:space="preserve">oasisluxurymedspa.com</t>
  </si>
  <si>
    <t xml:space="preserve">Dermalogy Med Spa</t>
  </si>
  <si>
    <t xml:space="preserve">9330 W Broadway St Suite #410, Pearland, TX 77584</t>
  </si>
  <si>
    <t xml:space="preserve">dermalogypearland.com</t>
  </si>
  <si>
    <t xml:space="preserve">Exclusively Radiant Aesthetics &amp; Regenerative Medicine</t>
  </si>
  <si>
    <t xml:space="preserve">3129 Kingsley Dr Ste 1710, Pearland, TX 77581</t>
  </si>
  <si>
    <t xml:space="preserve">ermedspa.com</t>
  </si>
  <si>
    <t xml:space="preserve">pearl aesthetics&amp;facials</t>
  </si>
  <si>
    <t xml:space="preserve">6516 W Broadway St Ste 132, Pearland, TX 77581</t>
  </si>
  <si>
    <t xml:space="preserve">carecredit.com/doctor-locator/pearland-tx/pearl-aestheticsfacials</t>
  </si>
  <si>
    <t xml:space="preserve">Nefer Med Spa</t>
  </si>
  <si>
    <t xml:space="preserve">3532 Broadway, Pearland, TX 77581</t>
  </si>
  <si>
    <t xml:space="preserve">nefermedspa.net</t>
  </si>
  <si>
    <t xml:space="preserve">Grace Full Aesthetics - Pearland</t>
  </si>
  <si>
    <t xml:space="preserve">2110 Pearland Pkwy #124, Pearland, TX 77581</t>
  </si>
  <si>
    <t xml:space="preserve">grace-medspa.com</t>
  </si>
  <si>
    <t xml:space="preserve">Pearland Med Spa</t>
  </si>
  <si>
    <t xml:space="preserve">2508 Westminister Rd, Pearland, TX 77581</t>
  </si>
  <si>
    <t xml:space="preserve">pearlandmedspa.com</t>
  </si>
  <si>
    <t xml:space="preserve">Azarella Med Spa</t>
  </si>
  <si>
    <t xml:space="preserve">3129 Kingsley Dr Ste 530, Pearland, TX 77584</t>
  </si>
  <si>
    <t xml:space="preserve">atly.com/location/AzarellaMedSpa</t>
  </si>
  <si>
    <t xml:space="preserve">Elase Medical Spas - Clear Lake</t>
  </si>
  <si>
    <t xml:space="preserve">Clear Lake</t>
  </si>
  <si>
    <t xml:space="preserve">19335 Gulf Fwy #8, Webster, TX 77598</t>
  </si>
  <si>
    <t xml:space="preserve">Clear Lake Medical Spa</t>
  </si>
  <si>
    <t xml:space="preserve">17099 N Texas Ave Ste 300, Webster, TX 77598</t>
  </si>
  <si>
    <t xml:space="preserve">clmedspa.com</t>
  </si>
  <si>
    <t xml:space="preserve">PS Medical Spa</t>
  </si>
  <si>
    <t xml:space="preserve">14018 Aesthetic Cir, Houston, TX 77062</t>
  </si>
  <si>
    <t xml:space="preserve">drsukkar.com</t>
  </si>
  <si>
    <t xml:space="preserve">M Spa Face &amp; Body</t>
  </si>
  <si>
    <t xml:space="preserve">1400 FM 528 Rd Ste A, Friendswood, TX 77546</t>
  </si>
  <si>
    <t xml:space="preserve">mspatexas.com</t>
  </si>
  <si>
    <t xml:space="preserve">Houston Med Spa &amp; Aesthetics</t>
  </si>
  <si>
    <t xml:space="preserve">19056 Gulf Fwy Ste 15, Friendswood, TX 77546</t>
  </si>
  <si>
    <t xml:space="preserve">fresha.com/houston-med-spa-aesthetics</t>
  </si>
  <si>
    <t xml:space="preserve">Tranquil Rejuvenation Med Spa LLC</t>
  </si>
  <si>
    <t xml:space="preserve">17629 El Camino Real Suite 115, Houston, TX 77058</t>
  </si>
  <si>
    <t xml:space="preserve">tranquilrejuvenationmedspa.com</t>
  </si>
  <si>
    <t xml:space="preserve">Liv Med Spa &amp; Facials</t>
  </si>
  <si>
    <t xml:space="preserve">Spring</t>
  </si>
  <si>
    <t xml:space="preserve">16741 Champion Forest Dr, Spring, TX 77379</t>
  </si>
  <si>
    <t xml:space="preserve">liv-medspatx.com</t>
  </si>
  <si>
    <t xml:space="preserve">Art Of Wellness Medspa</t>
  </si>
  <si>
    <t xml:space="preserve">28533 Spring Trails Rdg Ste 110, Spring, TX 77386</t>
  </si>
  <si>
    <t xml:space="preserve">artofwellnessmedspa.com</t>
  </si>
  <si>
    <t xml:space="preserve">SKIN 101 Medspa - Botox, Fillers &amp; Lasers</t>
  </si>
  <si>
    <t xml:space="preserve">9305 Spring Cypress Rd Ste 104, Spring, TX 77379</t>
  </si>
  <si>
    <t xml:space="preserve">skin101medspa.com</t>
  </si>
  <si>
    <t xml:space="preserve">HBR Medspa &amp; Laser Center</t>
  </si>
  <si>
    <t xml:space="preserve">2162 Spring Stuebner Rd, Spring, TX 77389</t>
  </si>
  <si>
    <t xml:space="preserve">hbrmedspa.com</t>
  </si>
  <si>
    <t xml:space="preserve">Z Med Clinic and Med Spa - Weight Loss, Hormone Therapy and IV Clinic</t>
  </si>
  <si>
    <t xml:space="preserve">314 Sawdust Rd #119, Spring, TX 77380</t>
  </si>
  <si>
    <t xml:space="preserve">zmedclinic.com</t>
  </si>
  <si>
    <t xml:space="preserve">Butterfly Medspa &amp; Wellness</t>
  </si>
  <si>
    <t xml:space="preserve">2940 Farm to Market 2920 Ste 120, Spring, TX 77388</t>
  </si>
  <si>
    <t xml:space="preserve">butterflymedspaandwellness.com</t>
  </si>
  <si>
    <t xml:space="preserve">Harmony Aesthetics Spa - Spring, TX</t>
  </si>
  <si>
    <t xml:space="preserve">3466 Discovery Creek Blvd #500, Spring, TX 77386</t>
  </si>
  <si>
    <t xml:space="preserve">harmonyaestheticsspa.com</t>
  </si>
  <si>
    <t xml:space="preserve">Aesthetica MD Med Spa - Cypress</t>
  </si>
  <si>
    <t xml:space="preserve">8118 Fry Rd #1304, Cypress, TX 77433</t>
  </si>
  <si>
    <t xml:space="preserve">aestheticamdcypress.com</t>
  </si>
  <si>
    <t xml:space="preserve">Procedure/Treatment</t>
  </si>
  <si>
    <t xml:space="preserve">Price</t>
  </si>
  <si>
    <t xml:space="preserve">Duration</t>
  </si>
  <si>
    <t xml:space="preserve">Category</t>
  </si>
  <si>
    <t xml:space="preserve">New Patient Consult Fee (applied to treatment)</t>
  </si>
  <si>
    <t xml:space="preserve">$50</t>
  </si>
  <si>
    <t xml:space="preserve">Laser Therapy</t>
  </si>
  <si>
    <t xml:space="preserve">not published</t>
  </si>
  <si>
    <t xml:space="preserve">Facial Treatments</t>
  </si>
  <si>
    <t xml:space="preserve">Body Contouring</t>
  </si>
  <si>
    <t xml:space="preserve">Body Contouring / CoolSculpting</t>
  </si>
  <si>
    <t xml:space="preserve">Botox</t>
  </si>
  <si>
    <t xml:space="preserve">Botox / Neuromodulators</t>
  </si>
  <si>
    <t xml:space="preserve">Filler</t>
  </si>
  <si>
    <t xml:space="preserve">Dermal / Lip Fillers</t>
  </si>
  <si>
    <t xml:space="preserve">Medical Grade Facial</t>
  </si>
  <si>
    <t xml:space="preserve">Weight Loss</t>
  </si>
  <si>
    <t xml:space="preserve">Medical Weight Loss / GLP-1</t>
  </si>
  <si>
    <t xml:space="preserve">Dermal Fillers</t>
  </si>
  <si>
    <t xml:space="preserve">Chemical Peels</t>
  </si>
  <si>
    <t xml:space="preserve">Microneedling</t>
  </si>
  <si>
    <t xml:space="preserve">IV Hydration Therapy</t>
  </si>
  <si>
    <t xml:space="preserve">IV Therapy</t>
  </si>
  <si>
    <t xml:space="preserve">New Patient Consultation (credited to treatment)</t>
  </si>
  <si>
    <t xml:space="preserve">$250</t>
  </si>
  <si>
    <t xml:space="preserve">Pronox Anesthesia Add-On</t>
  </si>
  <si>
    <t xml:space="preserve">$75</t>
  </si>
  <si>
    <t xml:space="preserve">Botox / Fillers</t>
  </si>
  <si>
    <t xml:space="preserve">Botox / Neuromodulators; Dermal / Lip Fillers</t>
  </si>
  <si>
    <t xml:space="preserve">Secret RF / IPL / Sculptra</t>
  </si>
  <si>
    <t xml:space="preserve">Sculptra / Biostimulators; Skin Tightening (Morpheus8/RF); IPL / Photofacial</t>
  </si>
  <si>
    <t xml:space="preserve">Botox / Dysport / Xeomin</t>
  </si>
  <si>
    <t xml:space="preserve">Juvederm / Restylane / Prollenium Fillers</t>
  </si>
  <si>
    <t xml:space="preserve">Biostimulators</t>
  </si>
  <si>
    <t xml:space="preserve">Sculptra / Biostimulators</t>
  </si>
  <si>
    <t xml:space="preserve">Membership (1 monthly treatment + perks)</t>
  </si>
  <si>
    <t xml:space="preserve">$199/mo</t>
  </si>
  <si>
    <t xml:space="preserve">Membership Tox Rate</t>
  </si>
  <si>
    <t xml:space="preserve">$12/unit</t>
  </si>
  <si>
    <t xml:space="preserve">Membership Filler Discount</t>
  </si>
  <si>
    <t xml:space="preserve">$100 off</t>
  </si>
  <si>
    <t xml:space="preserve">Botox &amp; Neurotoxins (generic range - aggregator, see note)</t>
  </si>
  <si>
    <t xml:space="preserve">$200-$900/session</t>
  </si>
  <si>
    <t xml:space="preserve">Dermal Fillers (generic range - aggregator, see note)</t>
  </si>
  <si>
    <t xml:space="preserve">$600-$2,000/syringe</t>
  </si>
  <si>
    <t xml:space="preserve">Chemical Peels (generic range - aggregator, see note)</t>
  </si>
  <si>
    <t xml:space="preserve">$100-$800/treatment</t>
  </si>
  <si>
    <t xml:space="preserve">Microneedling (generic range - aggregator, see note)</t>
  </si>
  <si>
    <t xml:space="preserve">$200-$700/session</t>
  </si>
  <si>
    <t xml:space="preserve">EMFace / EmSculpt Neo</t>
  </si>
  <si>
    <t xml:space="preserve">Body Contouring / CoolSculpting; Skin Tightening (Morpheus8/RF)</t>
  </si>
  <si>
    <t xml:space="preserve">HydraFacial / PRP Hair Restoration / IV Therapy</t>
  </si>
  <si>
    <t xml:space="preserve">HydraFacial; IV Therapy; PRP / PRF</t>
  </si>
  <si>
    <t xml:space="preserve">Neurotoxin (Botox/Dysport)</t>
  </si>
  <si>
    <t xml:space="preserve">$5-$14.50/unit</t>
  </si>
  <si>
    <t xml:space="preserve">HA Filler</t>
  </si>
  <si>
    <t xml:space="preserve">from $750/syringe</t>
  </si>
  <si>
    <t xml:space="preserve">Sculptra</t>
  </si>
  <si>
    <t xml:space="preserve">from $1,050</t>
  </si>
  <si>
    <t xml:space="preserve">SkinPen Microneedling (promo)</t>
  </si>
  <si>
    <t xml:space="preserve">$525 ($75 off $600)</t>
  </si>
  <si>
    <t xml:space="preserve">HydraFacial / Chemical Peels / Laser Resurfacing</t>
  </si>
  <si>
    <t xml:space="preserve">HydraFacial; Chemical Peels; IPL / Photofacial</t>
  </si>
  <si>
    <t xml:space="preserve">Body Contouring / Skin Tightening / Laser Hair Removal</t>
  </si>
  <si>
    <t xml:space="preserve">Laser Hair Removal; Body Contouring / CoolSculpting; Skin Tightening (Morpheus8/RF)</t>
  </si>
  <si>
    <t xml:space="preserve">Facials</t>
  </si>
  <si>
    <t xml:space="preserve">from $59.99</t>
  </si>
  <si>
    <t xml:space="preserve">Fillers</t>
  </si>
  <si>
    <t xml:space="preserve">Massage (starting)</t>
  </si>
  <si>
    <t xml:space="preserve">from $300</t>
  </si>
  <si>
    <t xml:space="preserve">Botox (generic range - boilerplate, see note)</t>
  </si>
  <si>
    <t xml:space="preserve">$12-$15/unit</t>
  </si>
  <si>
    <t xml:space="preserve">Fillers (generic range - boilerplate, see note)</t>
  </si>
  <si>
    <t xml:space="preserve">$600-$1,200/syringe</t>
  </si>
  <si>
    <t xml:space="preserve">Chemical Peels / HydraFacial / Laser Hair Removal / Microneedling</t>
  </si>
  <si>
    <t xml:space="preserve">HydraFacial; Chemical Peels; Microneedling; Laser Hair Removal</t>
  </si>
  <si>
    <t xml:space="preserve">Lip Fillers</t>
  </si>
  <si>
    <t xml:space="preserve">Hair Restoration / IV Therapy / Skin Tightening</t>
  </si>
  <si>
    <t xml:space="preserve">Skin Tightening (Morpheus8/RF); IV Therapy</t>
  </si>
  <si>
    <t xml:space="preserve">Facials / Lasers / Peels / Injectables</t>
  </si>
  <si>
    <t xml:space="preserve">Vitamin IV Drips</t>
  </si>
  <si>
    <t xml:space="preserve">Hormone Injections</t>
  </si>
  <si>
    <t xml:space="preserve">Hormone Therapy</t>
  </si>
  <si>
    <t xml:space="preserve">Hair Restoration</t>
  </si>
  <si>
    <t xml:space="preserve">LED Therapy / HydraFacial / 24K Gold Facial</t>
  </si>
  <si>
    <t xml:space="preserve">HydraFacial</t>
  </si>
  <si>
    <t xml:space="preserve">Jawline Lift</t>
  </si>
  <si>
    <t xml:space="preserve">Serenity Muscle Melt Massage (regular)</t>
  </si>
  <si>
    <t xml:space="preserve">$210</t>
  </si>
  <si>
    <t xml:space="preserve">Serenity Muscle Melt Massage (discounted)</t>
  </si>
  <si>
    <t xml:space="preserve">$126-$140</t>
  </si>
  <si>
    <t xml:space="preserve">Membership (lower tier)</t>
  </si>
  <si>
    <t xml:space="preserve">$124/mo</t>
  </si>
  <si>
    <t xml:space="preserve">Membership (higher tier)</t>
  </si>
  <si>
    <t xml:space="preserve">$194/mo</t>
  </si>
  <si>
    <t xml:space="preserve">Morpheus8 / Ultherapy / Laser Hair Removal / Chemical Peels / IPL</t>
  </si>
  <si>
    <t xml:space="preserve">Chemical Peels; Laser Hair Removal; Skin Tightening (Morpheus8/RF); IPL / Photofacial</t>
  </si>
  <si>
    <t xml:space="preserve">IPL PhotoFacial (Groupon)</t>
  </si>
  <si>
    <t xml:space="preserve">from $247.50</t>
  </si>
  <si>
    <t xml:space="preserve">IPL / Photofacial</t>
  </si>
  <si>
    <t xml:space="preserve">Facials / Chemical Peels / Microneedling</t>
  </si>
  <si>
    <t xml:space="preserve">Chemical Peels; Microneedling</t>
  </si>
  <si>
    <t xml:space="preserve">Laser Hair Removal (generic range - aggregator, see note)</t>
  </si>
  <si>
    <t xml:space="preserve">$150-$500/session</t>
  </si>
  <si>
    <t xml:space="preserve">Laser Hair Removal</t>
  </si>
  <si>
    <t xml:space="preserve">HydraFacial (generic range - aggregator, see note)</t>
  </si>
  <si>
    <t xml:space="preserve">$150-$350/session</t>
  </si>
  <si>
    <t xml:space="preserve">Medical Weight Loss / Hormone Replacement / IV Hydration / PDO Threads</t>
  </si>
  <si>
    <t xml:space="preserve">Sculptra / Biostimulators; IV Therapy; Medical Weight Loss / GLP-1; Hormone Therapy</t>
  </si>
  <si>
    <t xml:space="preserve">Facials / Massages / CoolSculpting / Laser Hair Removal</t>
  </si>
  <si>
    <t xml:space="preserve">Laser Hair Removal; Body Contouring / CoolSculpting</t>
  </si>
  <si>
    <t xml:space="preserve">VI Body Peel (promo)</t>
  </si>
  <si>
    <t xml:space="preserve">$375-$475 ($75 off $450-$550)</t>
  </si>
  <si>
    <t xml:space="preserve">SKINVIVE (promo)</t>
  </si>
  <si>
    <t xml:space="preserve">$550 ($50 off $600)</t>
  </si>
  <si>
    <t xml:space="preserve">HydraFacial / Microblading / Emsculpting / Photofacial / Laser Hair Removal</t>
  </si>
  <si>
    <t xml:space="preserve">HydraFacial; Laser Hair Removal; Body Contouring / CoolSculpting; IPL / Photofacial</t>
  </si>
  <si>
    <t xml:space="preserve">Botox / Dysport / Fillers</t>
  </si>
  <si>
    <t xml:space="preserve">BBL / Moxi Laser</t>
  </si>
  <si>
    <t xml:space="preserve">Microneedling / Chemical Peels</t>
  </si>
  <si>
    <t xml:space="preserve">Beauty Membership</t>
  </si>
  <si>
    <t xml:space="preserve">$159/mo</t>
  </si>
  <si>
    <t xml:space="preserve">Botox &amp; Neurotoxins / Fillers / Laser Treatments / CoolSculpting / Body Contouring</t>
  </si>
  <si>
    <t xml:space="preserve">Botox / Neuromodulators; Dermal / Lip Fillers; Body Contouring / CoolSculpting</t>
  </si>
  <si>
    <t xml:space="preserve">Consultation</t>
  </si>
  <si>
    <t xml:space="preserve">$75/30min</t>
  </si>
  <si>
    <t xml:space="preserve">Wellness/IV Treatment (45min)</t>
  </si>
  <si>
    <t xml:space="preserve">$145</t>
  </si>
  <si>
    <t xml:space="preserve">Botox / Dysport</t>
  </si>
  <si>
    <t xml:space="preserve">HydraFacial / Microneedling / Chemical Peels</t>
  </si>
  <si>
    <t xml:space="preserve">HydraFacial; Chemical Peels; Microneedling</t>
  </si>
  <si>
    <t xml:space="preserve">Juvederm / Restylane Fillers</t>
  </si>
  <si>
    <t xml:space="preserve">HRT / TRT / Peptide Therapy / IV Vitamin Therapy</t>
  </si>
  <si>
    <t xml:space="preserve">Dysport (new patient)</t>
  </si>
  <si>
    <t xml:space="preserve">$3.50/unit</t>
  </si>
  <si>
    <t xml:space="preserve">Botox (new patient)</t>
  </si>
  <si>
    <t xml:space="preserve">$11/unit</t>
  </si>
  <si>
    <t xml:space="preserve">HydraFacial / PRP Microneedling / Chemical Peels</t>
  </si>
  <si>
    <t xml:space="preserve">HydraFacial; Chemical Peels; Microneedling; PRP / PRF</t>
  </si>
  <si>
    <t xml:space="preserve">Groupon Promotional Deals (range)</t>
  </si>
  <si>
    <t xml:space="preserve">$105-$179</t>
  </si>
  <si>
    <t xml:space="preserve">Botox / Juvederm</t>
  </si>
  <si>
    <t xml:space="preserve">SAF Lipo / Ultra Shape / Laser Hair Removal</t>
  </si>
  <si>
    <t xml:space="preserve">Ultrasound-Guided Injectables</t>
  </si>
  <si>
    <t xml:space="preserve">not published (custom protocol pricing)</t>
  </si>
  <si>
    <t xml:space="preserve">Skin Rejuvenation / PRF &amp; PRP Therapy</t>
  </si>
  <si>
    <t xml:space="preserve">PRP / PRF</t>
  </si>
  <si>
    <t xml:space="preserve">Botox / Dysport / Kybella (per-unit, amount not shown)</t>
  </si>
  <si>
    <t xml:space="preserve">Botox / Neuromodulators; Kybella</t>
  </si>
  <si>
    <t xml:space="preserve">truSculpt iD Body Contouring</t>
  </si>
  <si>
    <t xml:space="preserve">Club VIO Membership (toxin)</t>
  </si>
  <si>
    <t xml:space="preserve">$3 off/unit + 15% off</t>
  </si>
  <si>
    <t xml:space="preserve">Botox / Facials / Body Sculpting</t>
  </si>
  <si>
    <t xml:space="preserve">Botox / Neuromodulators; Body Contouring / CoolSculpting</t>
  </si>
  <si>
    <t xml:space="preserve">Groupon Deals (range)</t>
  </si>
  <si>
    <t xml:space="preserve">$157.50-$1,665</t>
  </si>
  <si>
    <t xml:space="preserve">Dysport / Juvederm / Restylane / Sculptra / Kybella / PDO Threads / SkinVive</t>
  </si>
  <si>
    <t xml:space="preserve">Botox / Neuromodulators; Dermal / Lip Fillers; Sculptra / Biostimulators; Kybella</t>
  </si>
  <si>
    <t xml:space="preserve">Facial Balancing Injectables (RHA fillers)</t>
  </si>
  <si>
    <t xml:space="preserve">Video Consultation</t>
  </si>
  <si>
    <t xml:space="preserve">First Consultation &amp; Treatment Plan (new patient)</t>
  </si>
  <si>
    <t xml:space="preserve">$99</t>
  </si>
  <si>
    <t xml:space="preserve">Injectables / Facial Balancing / Skincare / Medical Weight Loss</t>
  </si>
  <si>
    <t xml:space="preserve">Body Sculpting / Fat Removal / Cellulite Treatments</t>
  </si>
  <si>
    <t xml:space="preserve">Laser Hair Removal / Vampire Facials / Lymphatic Massage</t>
  </si>
  <si>
    <t xml:space="preserve">Laser Hair Removal; PRP / PRF</t>
  </si>
  <si>
    <t xml:space="preserve">CoolSculpting</t>
  </si>
  <si>
    <t xml:space="preserve">Ultherapy / Fraxel Laser Resurfacing / Photofacials</t>
  </si>
  <si>
    <t xml:space="preserve">Skin Tightening (Morpheus8/RF); IPL / Photofacial</t>
  </si>
  <si>
    <t xml:space="preserve">New Patient Discount</t>
  </si>
  <si>
    <t xml:space="preserve">15% off first treatment</t>
  </si>
  <si>
    <t xml:space="preserve">HydraFacial (reviewer-reported)</t>
  </si>
  <si>
    <t xml:space="preserve">$200</t>
  </si>
  <si>
    <t xml:space="preserve">Botox / Dermal Fillers / Laser Treatments</t>
  </si>
  <si>
    <t xml:space="preserve">New Client Offer</t>
  </si>
  <si>
    <t xml:space="preserve">30% off all services</t>
  </si>
  <si>
    <t xml:space="preserve">Botox / Filler / Microneedling / PRP / Clear + Brilliant Laser / Peels</t>
  </si>
  <si>
    <t xml:space="preserve">Botox / Neuromodulators; Dermal / Lip Fillers; Chemical Peels; Microneedling; PRP / PRF</t>
  </si>
  <si>
    <t xml:space="preserve">Injectables / Aesthetic Treatments</t>
  </si>
  <si>
    <t xml:space="preserve">CoolSculpting Promo</t>
  </si>
  <si>
    <t xml:space="preserve">$300 off</t>
  </si>
  <si>
    <t xml:space="preserve">Laser Hair Removal Promo</t>
  </si>
  <si>
    <t xml:space="preserve">free (limited time)</t>
  </si>
  <si>
    <t xml:space="preserve">Botox / Voluma / Volbella / Juvederm / Kybella / Restylane</t>
  </si>
  <si>
    <t xml:space="preserve">Botox / Neuromodulators; Dermal / Lip Fillers; Kybella</t>
  </si>
  <si>
    <t xml:space="preserve">IPL Photofacial / Laser Skin Resurfacing / VelaShape / Ultherapy</t>
  </si>
  <si>
    <t xml:space="preserve">Radiesse / Chemical Peels / IV Therapy</t>
  </si>
  <si>
    <t xml:space="preserve">Dermal / Lip Fillers; Chemical Peels; IV Therapy</t>
  </si>
  <si>
    <t xml:space="preserve">Botox / Dermal Fillers</t>
  </si>
  <si>
    <t xml:space="preserve">Signature Anti-Aging Facial (promo)</t>
  </si>
  <si>
    <t xml:space="preserve">$59 (reg $199)</t>
  </si>
  <si>
    <t xml:space="preserve">Ageless Signature Facial / Body Treatments (promo)</t>
  </si>
  <si>
    <t xml:space="preserve">$59.99</t>
  </si>
  <si>
    <t xml:space="preserve">Lift &amp; Red Light Therapy</t>
  </si>
  <si>
    <t xml:space="preserve">$349</t>
  </si>
  <si>
    <t xml:space="preserve">Botox / Laser Hair Removal / Facials</t>
  </si>
  <si>
    <t xml:space="preserve">Botox / Neuromodulators; Laser Hair Removal</t>
  </si>
  <si>
    <t xml:space="preserve">Mesotherapy Skin Booster</t>
  </si>
  <si>
    <t xml:space="preserve">$288-$888/session</t>
  </si>
  <si>
    <t xml:space="preserve">Ultherapy (targeted area)</t>
  </si>
  <si>
    <t xml:space="preserve">from $488</t>
  </si>
  <si>
    <t xml:space="preserve">Skin Tightening (Morpheus8/RF)</t>
  </si>
  <si>
    <t xml:space="preserve">Ultherapy (lower face)</t>
  </si>
  <si>
    <t xml:space="preserve">from $1,988</t>
  </si>
  <si>
    <t xml:space="preserve">Ultherapy (full neck)</t>
  </si>
  <si>
    <t xml:space="preserve">$1,820</t>
  </si>
  <si>
    <t xml:space="preserve">Ultherapy (full face)</t>
  </si>
  <si>
    <t xml:space="preserve">from $2,588</t>
  </si>
  <si>
    <t xml:space="preserve">Ultherapy (abdomen)</t>
  </si>
  <si>
    <t xml:space="preserve">$2,488</t>
  </si>
  <si>
    <t xml:space="preserve">OptiLight Dry Eye (single session)</t>
  </si>
  <si>
    <t xml:space="preserve">$400</t>
  </si>
  <si>
    <t xml:space="preserve">OptiLight Dry Eye (4-session course)</t>
  </si>
  <si>
    <t xml:space="preserve">$1,488</t>
  </si>
  <si>
    <t xml:space="preserve">RF Microneedling (single session)</t>
  </si>
  <si>
    <t xml:space="preserve">$800</t>
  </si>
  <si>
    <t xml:space="preserve">RF Microneedling (3-session package)</t>
  </si>
  <si>
    <t xml:space="preserve">$2,288</t>
  </si>
  <si>
    <t xml:space="preserve">Botox / Lip Fillers</t>
  </si>
  <si>
    <t xml:space="preserve">Laser Hair Removal / Skin Rejuvenation / Body Contouring</t>
  </si>
  <si>
    <t xml:space="preserve">Microblading</t>
  </si>
  <si>
    <t xml:space="preserve">$295</t>
  </si>
  <si>
    <t xml:space="preserve">Skin Rejuvenation / Laser Hair Removal / Botox / Massage</t>
  </si>
  <si>
    <t xml:space="preserve">Facials / Botox / Microneedling / Laser Hair Removal</t>
  </si>
  <si>
    <t xml:space="preserve">Botox / Neuromodulators; Microneedling; Laser Hair Removal</t>
  </si>
  <si>
    <t xml:space="preserve">VIP Membership (20% off services)</t>
  </si>
  <si>
    <t xml:space="preserve">$149/mo</t>
  </si>
  <si>
    <t xml:space="preserve">Laser Hair Removal - Small Area</t>
  </si>
  <si>
    <t xml:space="preserve">$50-$150/session</t>
  </si>
  <si>
    <t xml:space="preserve">Laser Hair Removal - Medium Area</t>
  </si>
  <si>
    <t xml:space="preserve">$150-$300/session</t>
  </si>
  <si>
    <t xml:space="preserve">Laser Hair Removal - Large Area</t>
  </si>
  <si>
    <t xml:space="preserve">$300-$600/session</t>
  </si>
  <si>
    <t xml:space="preserve">Botox / RF Microneedling / HydraFacial / Chemical Peel / Dermal Fillers</t>
  </si>
  <si>
    <t xml:space="preserve">Botox / Neuromodulators; Dermal / Lip Fillers; HydraFacial; Chemical Peels; Microneedling</t>
  </si>
  <si>
    <t xml:space="preserve">Groupon Deals (starting)</t>
  </si>
  <si>
    <t xml:space="preserve">from $160</t>
  </si>
  <si>
    <t xml:space="preserve">Stellar M22 IPL / ResurFX / Thermage FLX / HiFu / RF Microneedling / Mesotherapy</t>
  </si>
  <si>
    <t xml:space="preserve">Microneedling; Skin Tightening (Morpheus8/RF); IPL / Photofacial</t>
  </si>
  <si>
    <t xml:space="preserve">Regenerative Aesthetics Packages (10% off promo)</t>
  </si>
  <si>
    <t xml:space="preserve">not published (10% off only)</t>
  </si>
  <si>
    <t xml:space="preserve">New Client Discount</t>
  </si>
  <si>
    <t xml:space="preserve">$100 off first treatment</t>
  </si>
  <si>
    <t xml:space="preserve">Beauty Bank Membership (lower tier)</t>
  </si>
  <si>
    <t xml:space="preserve">$99/mo</t>
  </si>
  <si>
    <t xml:space="preserve">Beauty Bank Membership (higher tier)</t>
  </si>
  <si>
    <t xml:space="preserve">Botox / Laser Hair Removal / Facials / Body Sculpting</t>
  </si>
  <si>
    <t xml:space="preserve">Botox / Neuromodulators; Laser Hair Removal; Body Contouring / CoolSculpting</t>
  </si>
  <si>
    <t xml:space="preserve">Facials / Injectables / Body Treatments</t>
  </si>
  <si>
    <t xml:space="preserve">Botox / Injectables</t>
  </si>
  <si>
    <t xml:space="preserve">HydraFacial / Acne Scar Treatment / Hyperpigmentation Solutions</t>
  </si>
  <si>
    <t xml:space="preserve">Hair Restoration / Medical Weight Loss / IV Hydration</t>
  </si>
  <si>
    <t xml:space="preserve">IV Therapy; Medical Weight Loss / GLP-1</t>
  </si>
  <si>
    <t xml:space="preserve">Injectables / Hair Restoration / Body Sculpting</t>
  </si>
  <si>
    <t xml:space="preserve">Microneedling / IV Therapy / Weight Loss / Hormone Replacement / PDO Thread Lift</t>
  </si>
  <si>
    <t xml:space="preserve">Sculptra / Biostimulators; Microneedling; IV Therapy; Medical Weight Loss / GLP-1; Hormone Therapy</t>
  </si>
  <si>
    <t xml:space="preserve">HydraFacial / Forever Glow Facial</t>
  </si>
  <si>
    <t xml:space="preserve">Venus Legacy Body Contouring</t>
  </si>
  <si>
    <t xml:space="preserve">Microneedling / RF Skin Tightening / IV Therapy</t>
  </si>
  <si>
    <t xml:space="preserve">Microneedling; Skin Tightening (Morpheus8/RF); IV Therapy</t>
  </si>
  <si>
    <t xml:space="preserve">Motus AZ+ Laser Hair Removal / Thermage FLX / Clear and Brilliant / Fraxel Dual Laser</t>
  </si>
  <si>
    <t xml:space="preserve">Laser Hair Removal; Skin Tightening (Morpheus8/RF); IPL / Photofacial</t>
  </si>
  <si>
    <t xml:space="preserve">Ultherapy / VirtueRF Microneedling / HydraFacial / Botox/Fillers / IV Hydration</t>
  </si>
  <si>
    <t xml:space="preserve">Botox / Neuromodulators; Dermal / Lip Fillers; HydraFacial; Microneedling; Skin Tightening (Morpheus8/RF); IV Therapy</t>
  </si>
  <si>
    <t xml:space="preserve">Advanced Injectables / CO2 Laser / Exosome Therapy</t>
  </si>
  <si>
    <t xml:space="preserve">PRP / PRF; IPL / Photofacial</t>
  </si>
  <si>
    <t xml:space="preserve">Facials / Body Treatments</t>
  </si>
  <si>
    <t xml:space="preserve">Botox / Lasers / Facials</t>
  </si>
  <si>
    <t xml:space="preserve">Dermaplaning</t>
  </si>
  <si>
    <t xml:space="preserve">$50-$100</t>
  </si>
  <si>
    <t xml:space="preserve">Botox / Dysport / Juvederm / Voluma / Volbella / Restylane / Radiesse / Belotero / Sculptra / PDO Threads / PRP</t>
  </si>
  <si>
    <t xml:space="preserve">Botox / Neuromodulators; Dermal / Lip Fillers; Sculptra / Biostimulators; PRP / PRF</t>
  </si>
  <si>
    <t xml:space="preserve">Botox / Dysport / Dermal Fillers / BBL / Moxi Laser / HydraFacial</t>
  </si>
  <si>
    <t xml:space="preserve">Botox / Neuromodulators; Dermal / Lip Fillers; HydraFacial; IPL / Photofacial</t>
  </si>
  <si>
    <t xml:space="preserve">DiamondGlow (first-time promo)</t>
  </si>
  <si>
    <t xml:space="preserve">$175</t>
  </si>
  <si>
    <t xml:space="preserve">SculpSure (4 treatments, promo)</t>
  </si>
  <si>
    <t xml:space="preserve">$2,500 (reg $2,300/2)</t>
  </si>
  <si>
    <t xml:space="preserve">Laser Hair Removal / Skin Care</t>
  </si>
  <si>
    <t xml:space="preserve">Injectables (per syringe)</t>
  </si>
  <si>
    <t xml:space="preserve">$750/syringe</t>
  </si>
  <si>
    <t xml:space="preserve">Injectables (Beauty Bank member rate)</t>
  </si>
  <si>
    <t xml:space="preserve">$675/syringe</t>
  </si>
  <si>
    <t xml:space="preserve">Radiance Miracle Lift (PDO Threads)</t>
  </si>
  <si>
    <t xml:space="preserve">Tixel / AquaFirme</t>
  </si>
  <si>
    <t xml:space="preserve">Botox / Dermal Fillers / Lip Fillers / Microneedling / Kybella</t>
  </si>
  <si>
    <t xml:space="preserve">Botox / Neuromodulators; Dermal / Lip Fillers; Kybella; Microneedling</t>
  </si>
  <si>
    <t xml:space="preserve">Chain-wide First Consultation &amp; Treatment Plan (new patient)</t>
  </si>
  <si>
    <t xml:space="preserve">Botox / Lip Injections / Facials</t>
  </si>
  <si>
    <t xml:space="preserve">Meyers IV Vitamin Therapy Promo</t>
  </si>
  <si>
    <t xml:space="preserve">$51 off</t>
  </si>
  <si>
    <t xml:space="preserve">Botox / Fillers / PDO Lifts / Microneedling with PRP</t>
  </si>
  <si>
    <t xml:space="preserve">Botox / Neuromodulators; Dermal / Lip Fillers; Sculptra / Biostimulators; Microneedling; PRP / PRF</t>
  </si>
  <si>
    <t xml:space="preserve">Glow-Up Trio Package (Microneedling + HydraFacial + IV Drip)</t>
  </si>
  <si>
    <t xml:space="preserve">$458 ($700 value)</t>
  </si>
  <si>
    <t xml:space="preserve">HydraFacial; Microneedling</t>
  </si>
  <si>
    <t xml:space="preserve">VIP Membership</t>
  </si>
  <si>
    <t xml:space="preserve">$249/mo</t>
  </si>
  <si>
    <t xml:space="preserve">Laser Hair Removal - Small Area (3-tx, promo)</t>
  </si>
  <si>
    <t xml:space="preserve">$149</t>
  </si>
  <si>
    <t xml:space="preserve">Laser Hair Removal - Medium Area (3-tx, promo)</t>
  </si>
  <si>
    <t xml:space="preserve">$299</t>
  </si>
  <si>
    <t xml:space="preserve">Laser Hair Removal - Large Area (3-tx, promo)</t>
  </si>
  <si>
    <t xml:space="preserve">$499</t>
  </si>
  <si>
    <t xml:space="preserve">Botox / Dermal Fillers / Chemical Peels</t>
  </si>
  <si>
    <t xml:space="preserve">Botox / Neuromodulators; Dermal / Lip Fillers; Chemical Peels</t>
  </si>
  <si>
    <t xml:space="preserve">Cosmetic Injections (Neurotoxins/Fillers)</t>
  </si>
  <si>
    <t xml:space="preserve">Chemical Peels / Oxygen Facials / RF Facials</t>
  </si>
  <si>
    <t xml:space="preserve">Tox (Botox)</t>
  </si>
  <si>
    <t xml:space="preserve">$10/unit</t>
  </si>
  <si>
    <t xml:space="preserve">Dermal Filler</t>
  </si>
  <si>
    <t xml:space="preserve">$600/syringe</t>
  </si>
  <si>
    <t xml:space="preserve">Barbed PDO Threads</t>
  </si>
  <si>
    <t xml:space="preserve">$189/thread</t>
  </si>
  <si>
    <t xml:space="preserve">Smooth PDO Threads</t>
  </si>
  <si>
    <t xml:space="preserve">$15/thread</t>
  </si>
  <si>
    <t xml:space="preserve">Semaglutide (first 3 months)</t>
  </si>
  <si>
    <t xml:space="preserve">$400/mo</t>
  </si>
  <si>
    <t xml:space="preserve">First IV Session (intro offer)</t>
  </si>
  <si>
    <t xml:space="preserve">$20</t>
  </si>
  <si>
    <t xml:space="preserve">Membership - Unlimited</t>
  </si>
  <si>
    <t xml:space="preserve">$299/mo</t>
  </si>
  <si>
    <t xml:space="preserve">Membership - 8 sessions</t>
  </si>
  <si>
    <t xml:space="preserve">Membership - 2 sessions</t>
  </si>
  <si>
    <t xml:space="preserve">$59/mo</t>
  </si>
  <si>
    <t xml:space="preserve">IV Drip (member rate)</t>
  </si>
  <si>
    <t xml:space="preserve">IV Drip (non-member rate)</t>
  </si>
  <si>
    <t xml:space="preserve">$199+</t>
  </si>
  <si>
    <t xml:space="preserve">Groupon Promotional Deals (starting)</t>
  </si>
  <si>
    <t xml:space="preserve">from $188.10</t>
  </si>
  <si>
    <t xml:space="preserve">Botox / Fillers / Laser Treatments</t>
  </si>
  <si>
    <t xml:space="preserve">from $66.50</t>
  </si>
  <si>
    <t xml:space="preserve">Botox / Dermal Fillers / Laser Therapies / Body Sculpting</t>
  </si>
  <si>
    <t xml:space="preserve">Customized Facial Package</t>
  </si>
  <si>
    <t xml:space="preserve">$190</t>
  </si>
  <si>
    <t xml:space="preserve">Laser Hair Removal - Full Legs (6-tx)</t>
  </si>
  <si>
    <t xml:space="preserve">$549</t>
  </si>
  <si>
    <t xml:space="preserve">HydraFacial / Botox / Medical Weight Loss</t>
  </si>
  <si>
    <t xml:space="preserve">Botox / Neuromodulators; HydraFacial; Medical Weight Loss / GLP-1</t>
  </si>
  <si>
    <t xml:space="preserve">Celestial Crown Package (deluxe facials)</t>
  </si>
  <si>
    <t xml:space="preserve">$42/mo</t>
  </si>
  <si>
    <t xml:space="preserve">Weight Loss Program (30-day, injectable + supplies + B12)</t>
  </si>
  <si>
    <t xml:space="preserve">Cosmetic Injectables / Facials / Waxing / Body Contouring</t>
  </si>
  <si>
    <t xml:space="preserve">Facials / Aesthetic Treatments</t>
  </si>
  <si>
    <t xml:space="preserve">Botox / Fillers / PRF / Kybella</t>
  </si>
  <si>
    <t xml:space="preserve">Botox / Neuromodulators; Dermal / Lip Fillers; Kybella; PRP / PRF</t>
  </si>
  <si>
    <t xml:space="preserve">VI Peels / B12 Shots</t>
  </si>
  <si>
    <t xml:space="preserve">Chemical Peels; IV Therapy</t>
  </si>
  <si>
    <t xml:space="preserve">Laser Hair Removal - X-Small Area</t>
  </si>
  <si>
    <t xml:space="preserve">$100</t>
  </si>
  <si>
    <t xml:space="preserve">$125</t>
  </si>
  <si>
    <t xml:space="preserve">Brow Wax</t>
  </si>
  <si>
    <t xml:space="preserve">Brow Lamination (wax + tint)</t>
  </si>
  <si>
    <t xml:space="preserve">Lash Tint / Brow Tint</t>
  </si>
  <si>
    <t xml:space="preserve">Lash Lift and Tint</t>
  </si>
  <si>
    <t xml:space="preserve">Microblading Touch Up</t>
  </si>
  <si>
    <t xml:space="preserve">IV Vitamin Drip Therapy (Groupon)</t>
  </si>
  <si>
    <t xml:space="preserve">$122</t>
  </si>
  <si>
    <t xml:space="preserve">Medical Grade Facials / Dermaplaning / Microneedling / Dermal Fillers</t>
  </si>
  <si>
    <t xml:space="preserve">Dermal / Lip Fillers; Microneedling</t>
  </si>
  <si>
    <t xml:space="preserve">Fillers / Botox / Kybella / PRP+PRF</t>
  </si>
  <si>
    <t xml:space="preserve">BBL / Moxi Laser Resurfacing / HydraFacial / Chemical Peels</t>
  </si>
  <si>
    <t xml:space="preserve">Botox / Fillers / Facials / Microneedling</t>
  </si>
  <si>
    <t xml:space="preserve">Botox / Neuromodulators; Dermal / Lip Fillers; Microneedling</t>
  </si>
  <si>
    <t xml:space="preserve">30-Minute Consultation</t>
  </si>
  <si>
    <t xml:space="preserve">Botox Injections / Skin Tightening / Dermaplaning / Ultrasonic Cavitation / Wood Therapy</t>
  </si>
  <si>
    <t xml:space="preserve">Botox / Neuromodulators; Body Contouring / CoolSculpting; Skin Tightening (Morpheus8/RF)</t>
  </si>
  <si>
    <t xml:space="preserve">iderm Facials (Dermaculture partnership)</t>
  </si>
  <si>
    <t xml:space="preserve">Dermal Fillers / Anti-Wrinkle Injections / Lip Fillers</t>
  </si>
  <si>
    <t xml:space="preserve">Mesotherapy / Laser Resurfacing / Microneedling / Stretch Mark Removal</t>
  </si>
  <si>
    <t xml:space="preserve">Microneedling; IPL / Photofacial</t>
  </si>
  <si>
    <t xml:space="preserve">Customized Facial (Groupon)</t>
  </si>
  <si>
    <t xml:space="preserve">$83.85 (reg $129)</t>
  </si>
  <si>
    <t xml:space="preserve">Facial Treatment (Groupon)</t>
  </si>
  <si>
    <t xml:space="preserve">$129.35 (reg $199)</t>
  </si>
  <si>
    <t xml:space="preserve">Hydrating Facial + Chemical Peel (Groupon)</t>
  </si>
  <si>
    <t xml:space="preserve">$186 (reg $248)</t>
  </si>
  <si>
    <t xml:space="preserve">Ultimate Facial</t>
  </si>
  <si>
    <t xml:space="preserve">$199</t>
  </si>
  <si>
    <t xml:space="preserve">Facials / Microneedling / Chemical Peels</t>
  </si>
  <si>
    <t xml:space="preserve">Body Sculpting / LED Light Therapy</t>
  </si>
  <si>
    <t xml:space="preserve">Weight Loss (new client promo)</t>
  </si>
  <si>
    <t xml:space="preserve">$75 off first visit</t>
  </si>
  <si>
    <t xml:space="preserve">Viora Body Contouring (6 sessions)</t>
  </si>
  <si>
    <t xml:space="preserve">$999</t>
  </si>
  <si>
    <t xml:space="preserve">Facial Treatments / Injectables / Dermal Fillers / Laser Procedures</t>
  </si>
  <si>
    <t xml:space="preserve">Emsculpt NEO / Emface / Exion / CoolPeel / DiamondGlow / Aerolase Laser</t>
  </si>
  <si>
    <t xml:space="preserve">HydraFacial; Chemical Peels; Body Contouring / CoolSculpting; Skin Tightening (Morpheus8/RF); IPL / Photofacial</t>
  </si>
  <si>
    <t xml:space="preserve">Derma Plane &amp; Brightening Glo Peel Combo</t>
  </si>
  <si>
    <t xml:space="preserve">$150</t>
  </si>
  <si>
    <t xml:space="preserve">RF Micro-Needling (promo)</t>
  </si>
  <si>
    <t xml:space="preserve">$300 ($100 off)</t>
  </si>
  <si>
    <t xml:space="preserve">Laser Hair Removal / Body Contouring / Laser Skin Resurfacing</t>
  </si>
  <si>
    <t xml:space="preserve">Laser Hair Removal; Body Contouring / CoolSculpting; IPL / Photofacial</t>
  </si>
  <si>
    <t xml:space="preserve">Vanquish Fat Reduction / Bellafill / Thread Lift / Botox</t>
  </si>
  <si>
    <t xml:space="preserve">Botox / Neuromodulators; Dermal / Lip Fillers; Sculptra / Biostimulators; Body Contouring / CoolSculpting</t>
  </si>
  <si>
    <t xml:space="preserve">Laser Hair Removal / Vampire Facelift / Chemical Peels / Non-Surgical Breast Lift</t>
  </si>
  <si>
    <t xml:space="preserve">Chemical Peels; Laser Hair Removal; PRP / PRF</t>
  </si>
  <si>
    <t xml:space="preserve">Body Sculpting (range)</t>
  </si>
  <si>
    <t xml:space="preserve">$1,500-$5,000/package</t>
  </si>
  <si>
    <t xml:space="preserve">Botox / Dermal Fillers / HydraFacials / Laser Hair Removal / Laser Resurfacing</t>
  </si>
  <si>
    <t xml:space="preserve">Botox / Neuromodulators; Dermal / Lip Fillers; HydraFacial; Laser Hair Removal; IPL / Photofacial</t>
  </si>
  <si>
    <t xml:space="preserve">Semaglutide / Tirzepatide Weight Loss Injections</t>
  </si>
  <si>
    <t xml:space="preserve">Medical-Grade Facials / Laser Hair Removal / IPL Photofacials / AviClear / Emsella / HRT</t>
  </si>
  <si>
    <t xml:space="preserve">Laser Hair Removal; Hormone Therapy; IPL / Photofacial</t>
  </si>
  <si>
    <t xml:space="preserve">Weight Loss / Hormone Replacement Therapy</t>
  </si>
  <si>
    <t xml:space="preserve">Medical Weight Loss / GLP-1; Hormone Therapy</t>
  </si>
  <si>
    <t xml:space="preserve">Botox/Dysport / Dermal Fillers / Lip Fillers</t>
  </si>
  <si>
    <t xml:space="preserve">Chemical Peels / Microneedling / Lymphatic Massage / Laser Hair Removal / Body Contouring</t>
  </si>
  <si>
    <t xml:space="preserve">Chemical Peels; Microneedling; Laser Hair Removal; Body Contouring / CoolSculpting</t>
  </si>
  <si>
    <t xml:space="preserve">Monthly Membership (facial/massage/detox wrap/RF, choice of 1)</t>
  </si>
  <si>
    <t xml:space="preserve">not published (amount not shown)</t>
  </si>
  <si>
    <t xml:space="preserve">Houston Med Spa Market — Dashboard</t>
  </si>
  <si>
    <t xml:space="preserve">Metric</t>
  </si>
  <si>
    <t xml:space="preserve">Value</t>
  </si>
  <si>
    <t xml:space="preserve">Total Clinics Tracked</t>
  </si>
  <si>
    <t xml:space="preserve">Clinics with Pricing on File (Yes or Partial)</t>
  </si>
  <si>
    <t xml:space="preserve">Clinics with No Pricing on File</t>
  </si>
  <si>
    <t xml:space="preserve">Total Procedure/Treatment Line Items</t>
  </si>
  <si>
    <t xml:space="preserve">Procedure Category</t>
  </si>
  <si>
    <t xml:space="preserve"># Clinics Offering (of tracked)</t>
  </si>
  <si>
    <t xml:space="preserve">Kybella</t>
  </si>
  <si>
    <t xml:space="preserve">HOUSTON MED SPA MARKET RESEARCH — NOTES</t>
  </si>
  <si>
    <t xml:space="preserve">METHODOLOGY</t>
  </si>
  <si>
    <t xml:space="preserve">Google Maps sweep: 15 neighborhood/suburb-scoped searches across the Houston metro (Downtown,</t>
  </si>
  <si>
    <t xml:space="preserve">Midtown, Montrose, River Oaks, Heights, West University, Memorial, Galleria, Katy, Sugar Land,</t>
  </si>
  <si>
    <t xml:space="preserve">The Woodlands, Cypress, Pearland, Clear Lake, Spring), run 3-at-a-time across parallel browser</t>
  </si>
  <si>
    <t xml:space="preserve">tabs, since a single citywide 'med spa Houston TX' search caps at 6 visible results in this</t>
  </si>
  <si>
    <t xml:space="preserve">environment (same limitation hit in every prior city in this project).</t>
  </si>
  <si>
    <t xml:space="preserve">Address extraction via a per-card JS parser scoped to each div.Nv2PK result card.</t>
  </si>
  <si>
    <t xml:space="preserve">108 raw candidates collected across the 15-neighborhood sweep; 101 were logged as trackable</t>
  </si>
  <si>
    <t xml:space="preserve">candidates (7 businesses — a pure waxing studio and 5 locations of an IV-hydration-only 'Drip</t>
  </si>
  <si>
    <t xml:space="preserve">Spa' chain, plus a chiropractic/massage listing — were recognized as clearly out of scope at</t>
  </si>
  <si>
    <t xml:space="preserve">collection time and never logged, or excluded upon closer review during research).</t>
  </si>
  <si>
    <t xml:space="preserve">Procedures/pricing research pass was run via WebSearch, with one interruption: WebSearch hit its</t>
  </si>
  <si>
    <t xml:space="preserve">weekly session limit mid-pass (69 of 101 clinics done); research paused until the limit reset, then</t>
  </si>
  <si>
    <t xml:space="preserve">resumed and completed via WebSearch. A brief attempt to switch to Chrome browser tools during the</t>
  </si>
  <si>
    <t xml:space="preserve">interruption found that path also temporarily unavailable (infrastructure timeout, unrelated to any</t>
  </si>
  <si>
    <t xml:space="preserve">CAPTCHA), so research simply waited for the WebSearch limit to reset rather than force a workaround.</t>
  </si>
  <si>
    <t xml:space="preserve">EXCLUDED (non-medspa: no injectables/laser/medical treatments)</t>
  </si>
  <si>
    <t xml:space="preserve">Vitaboost Health &amp; Wellness (Pearland — IV hydration/infusion-only), Sedona Wellness Spa (Clear</t>
  </si>
  <si>
    <t xml:space="preserve">Lake — massage/IV/vitamin injections, no injectables or laser), Nature Beauty (Clear Lake —</t>
  </si>
  <si>
    <t xml:space="preserve">'Look Years Younger Without Needles' branding, non-medical beauty studio), and Aldine Luxury</t>
  </si>
  <si>
    <t xml:space="preserve">MedSpa (Spring — IV therapy-only per its own IVList listing) were excluded during the research</t>
  </si>
  <si>
    <t xml:space="preserve">pass after closer review, on top of the businesses excluded at Maps-collection time.</t>
  </si>
  <si>
    <t xml:space="preserve">UNVERIFIABLE (left as open exceptions, not counted in the confirmed total)</t>
  </si>
  <si>
    <t xml:space="preserve">7th Element Medical Aesthetics (4203 Montrose Blvd), MEDSPA by HoustonOG (1415 N Loop W), and</t>
  </si>
  <si>
    <t xml:space="preserve">MediGlow Spa (2122 Farm to Market 2920) — no matching business found via targeted searches for</t>
  </si>
  <si>
    <t xml:space="preserve">name + address; the addresses in two cases resolve to unrelated businesses. Same precedent as</t>
  </si>
  <si>
    <t xml:space="preserve">Charlotte's unverifiable Bella Aesthetics &amp; Wellness.</t>
  </si>
  <si>
    <t xml:space="preserve">Net: 101 logged candidates - 4 excluded during research - 3 unverifiable + 1 bonus discovery</t>
  </si>
  <si>
    <t xml:space="preserve">(The Total You Medical Spa's second Houston-area location, Memorial City, found while researching</t>
  </si>
  <si>
    <t xml:space="preserve">its Blossom Hotel / Bertner Ave location) = 95 confirmed medical spas.</t>
  </si>
  <si>
    <t xml:space="preserve">MULTI-LOCATION CHAINS KEPT AS SEPARATE ROWS (distinct addresses)</t>
  </si>
  <si>
    <t xml:space="preserve">The Total You Medical Spa (Blossom Hotel/Bertner Ave, Memorial City/Business Center Dr — 2</t>
  </si>
  <si>
    <t xml:space="preserve">locations), River Oaks Galleria Medspa / River Oaks MedSpa (2 Timmons Ln addresses, same chain,</t>
  </si>
  <si>
    <t xml:space="preserve">identical pricing/promo text — likely 2 locations of one ownership group), Elase Medical Spa</t>
  </si>
  <si>
    <t xml:space="preserve">(Sugar Land, The Woodlands, Clear Lake — 3 locations), VIO Med Spa (West U, Sugar Land — 2</t>
  </si>
  <si>
    <t xml:space="preserve">locations), Aesthetica MD Med Spa (Memorial, Cypress — 2 locations, confirmed as distinct</t>
  </si>
  <si>
    <t xml:space="preserve">businesses via different phone numbers/websites despite the similar name to 'MD Aesthetica</t>
  </si>
  <si>
    <t xml:space="preserve">MedSpa,' a separate Memorial-area clinic), MD Aesthetica MedSpa and myEvergreen MedSpa (both at</t>
  </si>
  <si>
    <t xml:space="preserve">9230 Katy Fwy #100, Memorial — address overlap noted but not resolved), Rejuve Wellness &amp;</t>
  </si>
  <si>
    <t xml:space="preserve">Aesthetics (West University, The Woodlands flagship — 2 locations, same rejuvemedspatx.com chain</t>
  </si>
  <si>
    <t xml:space="preserve">and $99 first-consult promo).</t>
  </si>
  <si>
    <t xml:space="preserve">DATA QUALITY</t>
  </si>
  <si>
    <t xml:space="preserve">Boilerplate-pricing contamination pattern (identical '$12-$15/unit Botox' / '$600-$1,200/syringe</t>
  </si>
  <si>
    <t xml:space="preserve">filler' phrasing repeated verbatim across unrelated clinics, seen in every prior city of this</t>
  </si>
  <si>
    <t xml:space="preserve">project) reappeared here across TLC MedSpa Houston, Tulum Wellness Spa, Amora Med Spa, Persona</t>
  </si>
  <si>
    <t xml:space="preserve">Medical Spa, PurA Medical Aesthetics, and SkinSpirit Houston - Rice Village. A second, related</t>
  </si>
  <si>
    <t xml:space="preserve">aggregator pattern ('$200-$900/session' Botox, '$600-$2,000/syringe' filler, '$100-$800/treatment'</t>
  </si>
  <si>
    <t xml:space="preserve">peels, '$200-$700/session' microneedling, '$150-$350/session' HydraFacial) — matching figures seen</t>
  </si>
  <si>
    <t xml:space="preserve">for Elite Med Spa of Texas in the Dallas dataset — appeared at Montrose Med Spa, Vida Aesthetics</t>
  </si>
  <si>
    <t xml:space="preserve">and Wellness, and The MedSpa at Galleria. Both patterns are treated as generic third-party</t>
  </si>
  <si>
    <t xml:space="preserve">estimate text, not real clinic-specific data, and those clinics are marked 'Partial' rather than</t>
  </si>
  <si>
    <t xml:space="preserve">'Yes.'</t>
  </si>
  <si>
    <t xml:space="preserve">Strongest genuine pricing anchors found: LIT &amp; Aesthetics Spa ($10/unit Tox, $600/syringe filler,</t>
  </si>
  <si>
    <t xml:space="preserve">full PDO thread and Semaglutide pricing), Zero Age MedSpa Katy (full Mesotherapy/Ultherapy/</t>
  </si>
  <si>
    <t xml:space="preserve">OptiLight/RF Microneedling price list), River Oaks MedSpa / River Oaks Galleria Medspa ($5-$14.50/</t>
  </si>
  <si>
    <t xml:space="preserve">unit neurotoxin, filler from $750, Sculptra from $1,050), Grace Full Aesthetics - Pearland (full</t>
  </si>
  <si>
    <t xml:space="preserve">laser-hair-removal and brow/lash menu), and Rose Milk Aesthetics ($3.50/unit Dysport, $11/unit</t>
  </si>
  <si>
    <t xml:space="preserve">Botox new-patient rates).</t>
  </si>
  <si>
    <t xml:space="preserve">Procedure/treatment line items logged across all confirmed clinics; category counts computed live</t>
  </si>
  <si>
    <t xml:space="preserve">via Dashboard formulas.</t>
  </si>
  <si>
    <t xml:space="preserve">NEXT STEPS</t>
  </si>
  <si>
    <t xml:space="preserve">Dashboard tab built with live COUNTA/SUMPRODUCT/COUNTIFS formulas (same structure as every prior</t>
  </si>
  <si>
    <t xml:space="preserve">city). Google Trends research and the HTML market report are the next phases.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</si>
</sst>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4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6" min="5" style="0" width="30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40"/>
  </cols>
  <sheetData>
    <row r="1" customFormat="false" ht="39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n">
        <v>1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n">
        <v>4</v>
      </c>
    </row>
    <row r="3" customFormat="false" ht="15" hidden="false" customHeight="false" outlineLevel="0" collapsed="false">
      <c r="A3" s="0" t="n">
        <v>2</v>
      </c>
      <c r="B3" s="0" t="s">
        <v>15</v>
      </c>
      <c r="C3" s="0" t="s">
        <v>10</v>
      </c>
      <c r="D3" s="0" t="s">
        <v>16</v>
      </c>
      <c r="E3" s="0" t="s">
        <v>17</v>
      </c>
      <c r="F3" s="0" t="s">
        <v>13</v>
      </c>
      <c r="G3" s="0" t="s">
        <v>18</v>
      </c>
      <c r="H3" s="0" t="n">
        <v>4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s">
        <v>10</v>
      </c>
      <c r="D4" s="0" t="s">
        <v>20</v>
      </c>
      <c r="E4" s="0" t="s">
        <v>21</v>
      </c>
      <c r="F4" s="0" t="s">
        <v>13</v>
      </c>
      <c r="G4" s="0" t="s">
        <v>18</v>
      </c>
      <c r="H4" s="0" t="n">
        <v>6</v>
      </c>
    </row>
    <row r="5" customFormat="false" ht="15" hidden="false" customHeight="false" outlineLevel="0" collapsed="false">
      <c r="A5" s="0" t="n">
        <v>4</v>
      </c>
      <c r="B5" s="0" t="s">
        <v>22</v>
      </c>
      <c r="C5" s="0" t="s">
        <v>10</v>
      </c>
      <c r="D5" s="0" t="s">
        <v>23</v>
      </c>
      <c r="E5" s="0" t="s">
        <v>24</v>
      </c>
      <c r="F5" s="0" t="s">
        <v>13</v>
      </c>
      <c r="G5" s="0" t="s">
        <v>14</v>
      </c>
      <c r="H5" s="0" t="n">
        <v>4</v>
      </c>
    </row>
    <row r="6" customFormat="false" ht="15" hidden="false" customHeight="false" outlineLevel="0" collapsed="false">
      <c r="A6" s="0" t="n">
        <v>5</v>
      </c>
      <c r="B6" s="0" t="s">
        <v>25</v>
      </c>
      <c r="C6" s="0" t="s">
        <v>10</v>
      </c>
      <c r="D6" s="0" t="s">
        <v>26</v>
      </c>
      <c r="E6" s="0" t="s">
        <v>27</v>
      </c>
      <c r="F6" s="0" t="s">
        <v>13</v>
      </c>
      <c r="G6" s="0" t="s">
        <v>18</v>
      </c>
      <c r="H6" s="0" t="n">
        <v>5</v>
      </c>
    </row>
    <row r="7" customFormat="false" ht="15" hidden="false" customHeight="false" outlineLevel="0" collapsed="false">
      <c r="A7" s="0" t="n">
        <v>6</v>
      </c>
      <c r="B7" s="0" t="s">
        <v>28</v>
      </c>
      <c r="C7" s="0" t="s">
        <v>10</v>
      </c>
      <c r="D7" s="0" t="s">
        <v>29</v>
      </c>
      <c r="E7" s="0" t="s">
        <v>30</v>
      </c>
      <c r="F7" s="0" t="s">
        <v>13</v>
      </c>
      <c r="G7" s="0" t="s">
        <v>14</v>
      </c>
      <c r="H7" s="0" t="n">
        <v>9</v>
      </c>
    </row>
    <row r="8" customFormat="false" ht="15" hidden="false" customHeight="false" outlineLevel="0" collapsed="false">
      <c r="A8" s="0" t="n">
        <v>7</v>
      </c>
      <c r="B8" s="0" t="s">
        <v>31</v>
      </c>
      <c r="C8" s="0" t="s">
        <v>10</v>
      </c>
      <c r="D8" s="0" t="s">
        <v>32</v>
      </c>
      <c r="E8" s="0" t="s">
        <v>33</v>
      </c>
      <c r="F8" s="0" t="s">
        <v>13</v>
      </c>
      <c r="G8" s="0" t="s">
        <v>34</v>
      </c>
      <c r="H8" s="0" t="n">
        <v>6</v>
      </c>
    </row>
    <row r="9" customFormat="false" ht="15" hidden="false" customHeight="false" outlineLevel="0" collapsed="false">
      <c r="A9" s="0" t="n">
        <v>8</v>
      </c>
      <c r="B9" s="0" t="s">
        <v>35</v>
      </c>
      <c r="C9" s="0" t="s">
        <v>10</v>
      </c>
      <c r="D9" s="0" t="s">
        <v>36</v>
      </c>
      <c r="E9" s="0" t="s">
        <v>37</v>
      </c>
      <c r="F9" s="0" t="s">
        <v>13</v>
      </c>
      <c r="G9" s="0" t="s">
        <v>14</v>
      </c>
      <c r="H9" s="0" t="n">
        <v>5</v>
      </c>
    </row>
    <row r="10" customFormat="false" ht="15" hidden="false" customHeight="false" outlineLevel="0" collapsed="false">
      <c r="A10" s="0" t="n">
        <v>9</v>
      </c>
      <c r="B10" s="0" t="s">
        <v>38</v>
      </c>
      <c r="C10" s="0" t="s">
        <v>10</v>
      </c>
      <c r="D10" s="0" t="s">
        <v>39</v>
      </c>
      <c r="E10" s="0" t="s">
        <v>40</v>
      </c>
      <c r="F10" s="0" t="s">
        <v>13</v>
      </c>
      <c r="G10" s="0" t="s">
        <v>14</v>
      </c>
      <c r="H10" s="0" t="n">
        <v>4</v>
      </c>
    </row>
    <row r="11" customFormat="false" ht="15" hidden="false" customHeight="false" outlineLevel="0" collapsed="false">
      <c r="A11" s="0" t="n">
        <v>10</v>
      </c>
      <c r="B11" s="0" t="s">
        <v>41</v>
      </c>
      <c r="C11" s="0" t="s">
        <v>42</v>
      </c>
      <c r="D11" s="0" t="s">
        <v>43</v>
      </c>
      <c r="E11" s="0" t="s">
        <v>44</v>
      </c>
      <c r="F11" s="0" t="s">
        <v>13</v>
      </c>
      <c r="G11" s="0" t="s">
        <v>18</v>
      </c>
      <c r="H11" s="0" t="n">
        <v>3</v>
      </c>
    </row>
    <row r="12" customFormat="false" ht="15" hidden="false" customHeight="false" outlineLevel="0" collapsed="false">
      <c r="A12" s="0" t="n">
        <v>11</v>
      </c>
      <c r="B12" s="0" t="s">
        <v>45</v>
      </c>
      <c r="C12" s="0" t="s">
        <v>42</v>
      </c>
      <c r="D12" s="0" t="s">
        <v>46</v>
      </c>
      <c r="E12" s="0" t="s">
        <v>47</v>
      </c>
      <c r="F12" s="0" t="s">
        <v>48</v>
      </c>
      <c r="G12" s="0" t="s">
        <v>14</v>
      </c>
      <c r="H12" s="0" t="n">
        <v>4</v>
      </c>
    </row>
    <row r="13" customFormat="false" ht="15" hidden="false" customHeight="false" outlineLevel="0" collapsed="false">
      <c r="A13" s="0" t="n">
        <v>12</v>
      </c>
      <c r="B13" s="0" t="s">
        <v>49</v>
      </c>
      <c r="C13" s="0" t="s">
        <v>42</v>
      </c>
      <c r="D13" s="0" t="s">
        <v>50</v>
      </c>
      <c r="E13" s="0" t="s">
        <v>51</v>
      </c>
      <c r="F13" s="0" t="s">
        <v>13</v>
      </c>
      <c r="G13" s="0" t="s">
        <v>18</v>
      </c>
      <c r="H13" s="0" t="n">
        <v>4</v>
      </c>
    </row>
    <row r="14" customFormat="false" ht="15" hidden="false" customHeight="false" outlineLevel="0" collapsed="false">
      <c r="A14" s="0" t="n">
        <v>13</v>
      </c>
      <c r="B14" s="0" t="s">
        <v>52</v>
      </c>
      <c r="C14" s="0" t="s">
        <v>53</v>
      </c>
      <c r="D14" s="0" t="s">
        <v>54</v>
      </c>
      <c r="E14" s="0" t="s">
        <v>51</v>
      </c>
      <c r="F14" s="0" t="s">
        <v>13</v>
      </c>
      <c r="G14" s="0" t="s">
        <v>18</v>
      </c>
      <c r="H14" s="0" t="n">
        <v>4</v>
      </c>
    </row>
    <row r="15" customFormat="false" ht="15" hidden="false" customHeight="false" outlineLevel="0" collapsed="false">
      <c r="A15" s="0" t="n">
        <v>14</v>
      </c>
      <c r="B15" s="0" t="s">
        <v>55</v>
      </c>
      <c r="C15" s="0" t="s">
        <v>56</v>
      </c>
      <c r="D15" s="0" t="s">
        <v>57</v>
      </c>
      <c r="E15" s="0" t="s">
        <v>58</v>
      </c>
      <c r="F15" s="0" t="s">
        <v>59</v>
      </c>
      <c r="G15" s="0" t="s">
        <v>18</v>
      </c>
      <c r="H15" s="0" t="n">
        <v>3</v>
      </c>
    </row>
    <row r="16" customFormat="false" ht="15" hidden="false" customHeight="false" outlineLevel="0" collapsed="false">
      <c r="A16" s="0" t="n">
        <v>15</v>
      </c>
      <c r="B16" s="0" t="s">
        <v>60</v>
      </c>
      <c r="C16" s="0" t="s">
        <v>56</v>
      </c>
      <c r="D16" s="0" t="s">
        <v>61</v>
      </c>
      <c r="E16" s="0" t="s">
        <v>62</v>
      </c>
      <c r="F16" s="0" t="s">
        <v>13</v>
      </c>
      <c r="G16" s="0" t="s">
        <v>34</v>
      </c>
      <c r="H16" s="0" t="n">
        <v>5</v>
      </c>
    </row>
    <row r="17" customFormat="false" ht="15" hidden="false" customHeight="false" outlineLevel="0" collapsed="false">
      <c r="A17" s="0" t="n">
        <v>16</v>
      </c>
      <c r="B17" s="0" t="s">
        <v>63</v>
      </c>
      <c r="C17" s="0" t="s">
        <v>56</v>
      </c>
      <c r="D17" s="0" t="s">
        <v>64</v>
      </c>
      <c r="E17" s="0" t="s">
        <v>65</v>
      </c>
      <c r="F17" s="0" t="s">
        <v>13</v>
      </c>
      <c r="G17" s="0" t="s">
        <v>14</v>
      </c>
      <c r="H17" s="0" t="n">
        <v>4</v>
      </c>
    </row>
    <row r="18" customFormat="false" ht="15" hidden="false" customHeight="false" outlineLevel="0" collapsed="false">
      <c r="A18" s="0" t="n">
        <v>17</v>
      </c>
      <c r="B18" s="0" t="s">
        <v>66</v>
      </c>
      <c r="C18" s="0" t="s">
        <v>56</v>
      </c>
      <c r="D18" s="0" t="s">
        <v>67</v>
      </c>
      <c r="E18" s="0" t="s">
        <v>68</v>
      </c>
      <c r="F18" s="0" t="s">
        <v>13</v>
      </c>
      <c r="G18" s="0" t="s">
        <v>14</v>
      </c>
      <c r="H18" s="0" t="n">
        <v>6</v>
      </c>
    </row>
    <row r="19" customFormat="false" ht="15" hidden="false" customHeight="false" outlineLevel="0" collapsed="false">
      <c r="A19" s="0" t="n">
        <v>18</v>
      </c>
      <c r="B19" s="0" t="s">
        <v>69</v>
      </c>
      <c r="C19" s="0" t="s">
        <v>56</v>
      </c>
      <c r="D19" s="0" t="s">
        <v>70</v>
      </c>
      <c r="E19" s="0" t="s">
        <v>71</v>
      </c>
      <c r="F19" s="0" t="s">
        <v>13</v>
      </c>
      <c r="G19" s="0" t="s">
        <v>14</v>
      </c>
      <c r="H19" s="0" t="n">
        <v>3</v>
      </c>
    </row>
    <row r="20" customFormat="false" ht="15" hidden="false" customHeight="false" outlineLevel="0" collapsed="false">
      <c r="A20" s="0" t="n">
        <v>19</v>
      </c>
      <c r="B20" s="0" t="s">
        <v>72</v>
      </c>
      <c r="C20" s="0" t="s">
        <v>73</v>
      </c>
      <c r="D20" s="0" t="s">
        <v>74</v>
      </c>
      <c r="E20" s="0" t="s">
        <v>75</v>
      </c>
      <c r="F20" s="0" t="s">
        <v>13</v>
      </c>
      <c r="G20" s="0" t="s">
        <v>34</v>
      </c>
      <c r="H20" s="0" t="n">
        <v>7</v>
      </c>
    </row>
    <row r="21" customFormat="false" ht="15" hidden="false" customHeight="false" outlineLevel="0" collapsed="false">
      <c r="A21" s="0" t="n">
        <v>20</v>
      </c>
      <c r="B21" s="0" t="s">
        <v>76</v>
      </c>
      <c r="C21" s="0" t="s">
        <v>73</v>
      </c>
      <c r="D21" s="0" t="s">
        <v>77</v>
      </c>
      <c r="E21" s="0" t="s">
        <v>78</v>
      </c>
      <c r="F21" s="0" t="s">
        <v>13</v>
      </c>
      <c r="G21" s="0" t="s">
        <v>18</v>
      </c>
      <c r="H21" s="0" t="n">
        <v>3</v>
      </c>
    </row>
    <row r="22" customFormat="false" ht="15" hidden="false" customHeight="false" outlineLevel="0" collapsed="false">
      <c r="A22" s="0" t="n">
        <v>21</v>
      </c>
      <c r="B22" s="0" t="s">
        <v>79</v>
      </c>
      <c r="C22" s="0" t="s">
        <v>73</v>
      </c>
      <c r="D22" s="0" t="s">
        <v>80</v>
      </c>
      <c r="E22" s="0" t="s">
        <v>81</v>
      </c>
      <c r="F22" s="0" t="s">
        <v>13</v>
      </c>
      <c r="G22" s="0" t="s">
        <v>14</v>
      </c>
      <c r="H22" s="0" t="n">
        <v>2</v>
      </c>
    </row>
    <row r="23" customFormat="false" ht="15" hidden="false" customHeight="false" outlineLevel="0" collapsed="false">
      <c r="A23" s="0" t="n">
        <v>22</v>
      </c>
      <c r="B23" s="0" t="s">
        <v>82</v>
      </c>
      <c r="C23" s="0" t="s">
        <v>73</v>
      </c>
      <c r="D23" s="0" t="s">
        <v>83</v>
      </c>
      <c r="E23" s="0" t="s">
        <v>84</v>
      </c>
      <c r="F23" s="0" t="s">
        <v>13</v>
      </c>
      <c r="G23" s="0" t="s">
        <v>14</v>
      </c>
      <c r="H23" s="0" t="n">
        <v>4</v>
      </c>
    </row>
    <row r="24" customFormat="false" ht="15" hidden="false" customHeight="false" outlineLevel="0" collapsed="false">
      <c r="A24" s="0" t="n">
        <v>23</v>
      </c>
      <c r="B24" s="0" t="s">
        <v>85</v>
      </c>
      <c r="C24" s="0" t="s">
        <v>86</v>
      </c>
      <c r="D24" s="0" t="s">
        <v>87</v>
      </c>
      <c r="E24" s="0" t="s">
        <v>88</v>
      </c>
      <c r="F24" s="0" t="s">
        <v>13</v>
      </c>
      <c r="G24" s="0" t="s">
        <v>18</v>
      </c>
      <c r="H24" s="0" t="n">
        <v>4</v>
      </c>
    </row>
    <row r="25" customFormat="false" ht="15" hidden="false" customHeight="false" outlineLevel="0" collapsed="false">
      <c r="A25" s="0" t="n">
        <v>24</v>
      </c>
      <c r="B25" s="0" t="s">
        <v>89</v>
      </c>
      <c r="C25" s="0" t="s">
        <v>86</v>
      </c>
      <c r="D25" s="0" t="s">
        <v>90</v>
      </c>
      <c r="E25" s="0" t="s">
        <v>91</v>
      </c>
      <c r="F25" s="0" t="s">
        <v>13</v>
      </c>
      <c r="G25" s="0" t="s">
        <v>34</v>
      </c>
      <c r="H25" s="0" t="n">
        <v>3</v>
      </c>
    </row>
    <row r="26" customFormat="false" ht="15" hidden="false" customHeight="false" outlineLevel="0" collapsed="false">
      <c r="A26" s="0" t="n">
        <v>25</v>
      </c>
      <c r="B26" s="0" t="s">
        <v>92</v>
      </c>
      <c r="C26" s="0" t="s">
        <v>86</v>
      </c>
      <c r="D26" s="0" t="s">
        <v>93</v>
      </c>
      <c r="E26" s="0" t="s">
        <v>94</v>
      </c>
      <c r="F26" s="0" t="s">
        <v>13</v>
      </c>
      <c r="G26" s="0" t="s">
        <v>14</v>
      </c>
      <c r="H26" s="0" t="n">
        <v>4</v>
      </c>
    </row>
    <row r="27" customFormat="false" ht="15" hidden="false" customHeight="false" outlineLevel="0" collapsed="false">
      <c r="A27" s="0" t="n">
        <v>26</v>
      </c>
      <c r="B27" s="0" t="s">
        <v>95</v>
      </c>
      <c r="C27" s="0" t="s">
        <v>86</v>
      </c>
      <c r="D27" s="0" t="s">
        <v>96</v>
      </c>
      <c r="E27" s="0" t="s">
        <v>97</v>
      </c>
      <c r="F27" s="0" t="s">
        <v>13</v>
      </c>
      <c r="G27" s="0" t="s">
        <v>18</v>
      </c>
      <c r="H27" s="0" t="n">
        <v>2</v>
      </c>
    </row>
    <row r="28" customFormat="false" ht="15" hidden="false" customHeight="false" outlineLevel="0" collapsed="false">
      <c r="A28" s="0" t="n">
        <v>27</v>
      </c>
      <c r="B28" s="0" t="s">
        <v>98</v>
      </c>
      <c r="C28" s="0" t="s">
        <v>86</v>
      </c>
      <c r="D28" s="0" t="s">
        <v>99</v>
      </c>
      <c r="E28" s="0" t="s">
        <v>100</v>
      </c>
      <c r="F28" s="0" t="s">
        <v>13</v>
      </c>
      <c r="G28" s="0" t="s">
        <v>18</v>
      </c>
      <c r="H28" s="0" t="n">
        <v>3</v>
      </c>
    </row>
    <row r="29" customFormat="false" ht="15" hidden="false" customHeight="false" outlineLevel="0" collapsed="false">
      <c r="A29" s="0" t="n">
        <v>28</v>
      </c>
      <c r="B29" s="0" t="s">
        <v>101</v>
      </c>
      <c r="C29" s="0" t="s">
        <v>102</v>
      </c>
      <c r="D29" s="0" t="s">
        <v>103</v>
      </c>
      <c r="E29" s="0" t="s">
        <v>104</v>
      </c>
      <c r="F29" s="0" t="s">
        <v>13</v>
      </c>
      <c r="G29" s="0" t="s">
        <v>14</v>
      </c>
      <c r="H29" s="0" t="n">
        <v>2</v>
      </c>
    </row>
    <row r="30" customFormat="false" ht="15" hidden="false" customHeight="false" outlineLevel="0" collapsed="false">
      <c r="A30" s="0" t="n">
        <v>29</v>
      </c>
      <c r="B30" s="0" t="s">
        <v>105</v>
      </c>
      <c r="C30" s="0" t="s">
        <v>102</v>
      </c>
      <c r="D30" s="0" t="s">
        <v>106</v>
      </c>
      <c r="E30" s="0" t="s">
        <v>107</v>
      </c>
      <c r="F30" s="0" t="s">
        <v>13</v>
      </c>
      <c r="G30" s="0" t="s">
        <v>14</v>
      </c>
      <c r="H30" s="0" t="n">
        <v>3</v>
      </c>
    </row>
    <row r="31" customFormat="false" ht="15" hidden="false" customHeight="false" outlineLevel="0" collapsed="false">
      <c r="A31" s="0" t="n">
        <v>30</v>
      </c>
      <c r="B31" s="0" t="s">
        <v>108</v>
      </c>
      <c r="C31" s="0" t="s">
        <v>102</v>
      </c>
      <c r="D31" s="0" t="s">
        <v>109</v>
      </c>
      <c r="E31" s="0" t="s">
        <v>110</v>
      </c>
      <c r="F31" s="0" t="s">
        <v>13</v>
      </c>
      <c r="G31" s="0" t="s">
        <v>14</v>
      </c>
      <c r="H31" s="0" t="n">
        <v>2</v>
      </c>
    </row>
    <row r="32" customFormat="false" ht="15" hidden="false" customHeight="false" outlineLevel="0" collapsed="false">
      <c r="A32" s="0" t="n">
        <v>31</v>
      </c>
      <c r="B32" s="0" t="s">
        <v>111</v>
      </c>
      <c r="C32" s="0" t="s">
        <v>102</v>
      </c>
      <c r="D32" s="0" t="s">
        <v>112</v>
      </c>
      <c r="E32" s="0" t="s">
        <v>113</v>
      </c>
      <c r="F32" s="0" t="s">
        <v>13</v>
      </c>
      <c r="G32" s="0" t="s">
        <v>18</v>
      </c>
      <c r="H32" s="0" t="n">
        <v>2</v>
      </c>
    </row>
    <row r="33" customFormat="false" ht="15" hidden="false" customHeight="false" outlineLevel="0" collapsed="false">
      <c r="A33" s="0" t="n">
        <v>32</v>
      </c>
      <c r="B33" s="0" t="s">
        <v>114</v>
      </c>
      <c r="C33" s="0" t="s">
        <v>102</v>
      </c>
      <c r="D33" s="0" t="s">
        <v>115</v>
      </c>
      <c r="E33" s="0" t="s">
        <v>116</v>
      </c>
      <c r="F33" s="0" t="s">
        <v>13</v>
      </c>
      <c r="G33" s="0" t="s">
        <v>14</v>
      </c>
      <c r="H33" s="0" t="n">
        <v>2</v>
      </c>
    </row>
    <row r="34" customFormat="false" ht="15" hidden="false" customHeight="false" outlineLevel="0" collapsed="false">
      <c r="A34" s="0" t="n">
        <v>33</v>
      </c>
      <c r="B34" s="0" t="s">
        <v>117</v>
      </c>
      <c r="C34" s="0" t="s">
        <v>53</v>
      </c>
      <c r="D34" s="0" t="s">
        <v>118</v>
      </c>
      <c r="E34" s="0" t="s">
        <v>119</v>
      </c>
      <c r="F34" s="0" t="s">
        <v>13</v>
      </c>
      <c r="G34" s="0" t="s">
        <v>18</v>
      </c>
      <c r="H34" s="0" t="n">
        <v>3</v>
      </c>
    </row>
    <row r="35" customFormat="false" ht="15" hidden="false" customHeight="false" outlineLevel="0" collapsed="false">
      <c r="A35" s="0" t="n">
        <v>34</v>
      </c>
      <c r="B35" s="0" t="s">
        <v>120</v>
      </c>
      <c r="C35" s="0" t="s">
        <v>53</v>
      </c>
      <c r="D35" s="0" t="s">
        <v>121</v>
      </c>
      <c r="E35" s="0" t="s">
        <v>122</v>
      </c>
      <c r="F35" s="0" t="s">
        <v>13</v>
      </c>
      <c r="G35" s="0" t="s">
        <v>18</v>
      </c>
      <c r="H35" s="0" t="n">
        <v>4</v>
      </c>
    </row>
    <row r="36" customFormat="false" ht="15" hidden="false" customHeight="false" outlineLevel="0" collapsed="false">
      <c r="A36" s="0" t="n">
        <v>35</v>
      </c>
      <c r="B36" s="0" t="s">
        <v>123</v>
      </c>
      <c r="C36" s="0" t="s">
        <v>53</v>
      </c>
      <c r="D36" s="0" t="s">
        <v>124</v>
      </c>
      <c r="E36" s="0" t="s">
        <v>125</v>
      </c>
      <c r="F36" s="0" t="s">
        <v>13</v>
      </c>
      <c r="G36" s="0" t="s">
        <v>14</v>
      </c>
      <c r="H36" s="0" t="n">
        <v>3</v>
      </c>
    </row>
    <row r="37" customFormat="false" ht="15" hidden="false" customHeight="false" outlineLevel="0" collapsed="false">
      <c r="A37" s="0" t="n">
        <v>36</v>
      </c>
      <c r="B37" s="0" t="s">
        <v>126</v>
      </c>
      <c r="C37" s="0" t="s">
        <v>53</v>
      </c>
      <c r="D37" s="0" t="s">
        <v>127</v>
      </c>
      <c r="E37" s="0" t="s">
        <v>128</v>
      </c>
      <c r="F37" s="0" t="s">
        <v>13</v>
      </c>
      <c r="G37" s="0" t="s">
        <v>14</v>
      </c>
      <c r="H37" s="0" t="n">
        <v>2</v>
      </c>
    </row>
    <row r="38" customFormat="false" ht="15" hidden="false" customHeight="false" outlineLevel="0" collapsed="false">
      <c r="A38" s="0" t="n">
        <v>37</v>
      </c>
      <c r="B38" s="0" t="s">
        <v>129</v>
      </c>
      <c r="C38" s="0" t="s">
        <v>130</v>
      </c>
      <c r="D38" s="0" t="s">
        <v>131</v>
      </c>
      <c r="E38" s="0" t="s">
        <v>132</v>
      </c>
      <c r="F38" s="0" t="s">
        <v>13</v>
      </c>
      <c r="G38" s="0" t="s">
        <v>18</v>
      </c>
      <c r="H38" s="0" t="n">
        <v>1</v>
      </c>
    </row>
    <row r="39" customFormat="false" ht="15" hidden="false" customHeight="false" outlineLevel="0" collapsed="false">
      <c r="A39" s="0" t="n">
        <v>38</v>
      </c>
      <c r="B39" s="0" t="s">
        <v>133</v>
      </c>
      <c r="C39" s="0" t="s">
        <v>130</v>
      </c>
      <c r="D39" s="0" t="s">
        <v>134</v>
      </c>
      <c r="E39" s="0" t="s">
        <v>135</v>
      </c>
      <c r="F39" s="0" t="s">
        <v>13</v>
      </c>
      <c r="G39" s="0" t="s">
        <v>14</v>
      </c>
      <c r="H39" s="0" t="n">
        <v>4</v>
      </c>
    </row>
    <row r="40" customFormat="false" ht="15" hidden="false" customHeight="false" outlineLevel="0" collapsed="false">
      <c r="A40" s="0" t="n">
        <v>39</v>
      </c>
      <c r="B40" s="0" t="s">
        <v>136</v>
      </c>
      <c r="C40" s="0" t="s">
        <v>130</v>
      </c>
      <c r="D40" s="0" t="s">
        <v>137</v>
      </c>
      <c r="E40" s="0" t="s">
        <v>138</v>
      </c>
      <c r="F40" s="0" t="s">
        <v>13</v>
      </c>
      <c r="G40" s="0" t="s">
        <v>14</v>
      </c>
      <c r="H40" s="0" t="n">
        <v>3</v>
      </c>
    </row>
    <row r="41" customFormat="false" ht="15" hidden="false" customHeight="false" outlineLevel="0" collapsed="false">
      <c r="A41" s="0" t="n">
        <v>40</v>
      </c>
      <c r="B41" s="0" t="s">
        <v>139</v>
      </c>
      <c r="C41" s="0" t="s">
        <v>140</v>
      </c>
      <c r="D41" s="0" t="s">
        <v>141</v>
      </c>
      <c r="E41" s="0" t="s">
        <v>27</v>
      </c>
      <c r="F41" s="0" t="s">
        <v>13</v>
      </c>
      <c r="G41" s="0" t="s">
        <v>18</v>
      </c>
      <c r="H41" s="0" t="n">
        <v>1</v>
      </c>
    </row>
    <row r="42" customFormat="false" ht="15" hidden="false" customHeight="false" outlineLevel="0" collapsed="false">
      <c r="A42" s="0" t="n">
        <v>41</v>
      </c>
      <c r="B42" s="0" t="s">
        <v>142</v>
      </c>
      <c r="C42" s="0" t="s">
        <v>140</v>
      </c>
      <c r="D42" s="0" t="s">
        <v>143</v>
      </c>
      <c r="E42" s="0" t="s">
        <v>144</v>
      </c>
      <c r="F42" s="0" t="s">
        <v>13</v>
      </c>
      <c r="G42" s="0" t="s">
        <v>34</v>
      </c>
      <c r="H42" s="0" t="n">
        <v>4</v>
      </c>
    </row>
    <row r="43" customFormat="false" ht="15" hidden="false" customHeight="false" outlineLevel="0" collapsed="false">
      <c r="A43" s="0" t="n">
        <v>42</v>
      </c>
      <c r="B43" s="0" t="s">
        <v>145</v>
      </c>
      <c r="C43" s="0" t="s">
        <v>140</v>
      </c>
      <c r="D43" s="0" t="s">
        <v>146</v>
      </c>
      <c r="E43" s="0" t="s">
        <v>147</v>
      </c>
      <c r="F43" s="0" t="s">
        <v>148</v>
      </c>
      <c r="G43" s="0" t="s">
        <v>18</v>
      </c>
      <c r="H43" s="0" t="n">
        <v>1</v>
      </c>
    </row>
    <row r="44" customFormat="false" ht="15" hidden="false" customHeight="false" outlineLevel="0" collapsed="false">
      <c r="A44" s="0" t="n">
        <v>43</v>
      </c>
      <c r="B44" s="0" t="s">
        <v>149</v>
      </c>
      <c r="C44" s="0" t="s">
        <v>140</v>
      </c>
      <c r="D44" s="0" t="s">
        <v>150</v>
      </c>
      <c r="E44" s="0" t="s">
        <v>151</v>
      </c>
      <c r="F44" s="0" t="s">
        <v>13</v>
      </c>
      <c r="G44" s="0" t="s">
        <v>34</v>
      </c>
      <c r="H44" s="0" t="n">
        <v>10</v>
      </c>
    </row>
    <row r="45" customFormat="false" ht="15" hidden="false" customHeight="false" outlineLevel="0" collapsed="false">
      <c r="A45" s="0" t="n">
        <v>44</v>
      </c>
      <c r="B45" s="0" t="s">
        <v>152</v>
      </c>
      <c r="C45" s="0" t="s">
        <v>140</v>
      </c>
      <c r="D45" s="0" t="s">
        <v>153</v>
      </c>
      <c r="E45" s="0" t="s">
        <v>154</v>
      </c>
      <c r="F45" s="0" t="s">
        <v>13</v>
      </c>
      <c r="G45" s="0" t="s">
        <v>18</v>
      </c>
      <c r="H45" s="0" t="n">
        <v>2</v>
      </c>
    </row>
    <row r="46" customFormat="false" ht="15" hidden="false" customHeight="false" outlineLevel="0" collapsed="false">
      <c r="A46" s="0" t="n">
        <v>45</v>
      </c>
      <c r="B46" s="0" t="s">
        <v>155</v>
      </c>
      <c r="C46" s="0" t="s">
        <v>140</v>
      </c>
      <c r="D46" s="0" t="s">
        <v>156</v>
      </c>
      <c r="E46" s="0" t="s">
        <v>157</v>
      </c>
      <c r="F46" s="0" t="s">
        <v>13</v>
      </c>
      <c r="G46" s="0" t="s">
        <v>14</v>
      </c>
      <c r="H46" s="0" t="n">
        <v>2</v>
      </c>
    </row>
    <row r="47" customFormat="false" ht="15" hidden="false" customHeight="false" outlineLevel="0" collapsed="false">
      <c r="A47" s="0" t="n">
        <v>46</v>
      </c>
      <c r="B47" s="0" t="s">
        <v>158</v>
      </c>
      <c r="C47" s="0" t="s">
        <v>140</v>
      </c>
      <c r="D47" s="0" t="s">
        <v>159</v>
      </c>
      <c r="E47" s="0" t="s">
        <v>160</v>
      </c>
      <c r="F47" s="0" t="s">
        <v>13</v>
      </c>
      <c r="G47" s="0" t="s">
        <v>18</v>
      </c>
      <c r="H47" s="0" t="n">
        <v>1</v>
      </c>
    </row>
    <row r="48" customFormat="false" ht="15" hidden="false" customHeight="false" outlineLevel="0" collapsed="false">
      <c r="A48" s="0" t="n">
        <v>47</v>
      </c>
      <c r="B48" s="0" t="s">
        <v>161</v>
      </c>
      <c r="C48" s="0" t="s">
        <v>140</v>
      </c>
      <c r="D48" s="0" t="s">
        <v>162</v>
      </c>
      <c r="E48" s="0" t="s">
        <v>163</v>
      </c>
      <c r="F48" s="0" t="s">
        <v>13</v>
      </c>
      <c r="G48" s="0" t="s">
        <v>34</v>
      </c>
      <c r="H48" s="0" t="n">
        <v>5</v>
      </c>
    </row>
    <row r="49" customFormat="false" ht="15" hidden="false" customHeight="false" outlineLevel="0" collapsed="false">
      <c r="A49" s="0" t="n">
        <v>48</v>
      </c>
      <c r="B49" s="0" t="s">
        <v>164</v>
      </c>
      <c r="C49" s="0" t="s">
        <v>140</v>
      </c>
      <c r="D49" s="0" t="s">
        <v>165</v>
      </c>
      <c r="E49" s="0" t="s">
        <v>166</v>
      </c>
      <c r="F49" s="0" t="s">
        <v>13</v>
      </c>
      <c r="G49" s="0" t="s">
        <v>14</v>
      </c>
      <c r="H49" s="0" t="n">
        <v>2</v>
      </c>
    </row>
    <row r="50" customFormat="false" ht="15" hidden="false" customHeight="false" outlineLevel="0" collapsed="false">
      <c r="A50" s="0" t="n">
        <v>49</v>
      </c>
      <c r="B50" s="0" t="s">
        <v>167</v>
      </c>
      <c r="C50" s="0" t="s">
        <v>168</v>
      </c>
      <c r="D50" s="0" t="s">
        <v>169</v>
      </c>
      <c r="E50" s="0" t="s">
        <v>170</v>
      </c>
      <c r="F50" s="0" t="s">
        <v>13</v>
      </c>
      <c r="G50" s="0" t="s">
        <v>18</v>
      </c>
      <c r="H50" s="0" t="n">
        <v>1</v>
      </c>
    </row>
    <row r="51" customFormat="false" ht="15" hidden="false" customHeight="false" outlineLevel="0" collapsed="false">
      <c r="A51" s="0" t="n">
        <v>50</v>
      </c>
      <c r="B51" s="0" t="s">
        <v>171</v>
      </c>
      <c r="C51" s="0" t="s">
        <v>168</v>
      </c>
      <c r="D51" s="0" t="s">
        <v>172</v>
      </c>
      <c r="E51" s="0" t="s">
        <v>173</v>
      </c>
      <c r="F51" s="0" t="s">
        <v>13</v>
      </c>
      <c r="G51" s="0" t="s">
        <v>14</v>
      </c>
      <c r="H51" s="0" t="n">
        <v>4</v>
      </c>
    </row>
    <row r="52" customFormat="false" ht="15" hidden="false" customHeight="false" outlineLevel="0" collapsed="false">
      <c r="A52" s="0" t="n">
        <v>51</v>
      </c>
      <c r="B52" s="0" t="s">
        <v>174</v>
      </c>
      <c r="C52" s="0" t="s">
        <v>168</v>
      </c>
      <c r="D52" s="0" t="s">
        <v>175</v>
      </c>
      <c r="E52" s="0" t="s">
        <v>104</v>
      </c>
      <c r="F52" s="0" t="s">
        <v>13</v>
      </c>
      <c r="G52" s="0" t="s">
        <v>14</v>
      </c>
      <c r="H52" s="0" t="n">
        <v>2</v>
      </c>
    </row>
    <row r="53" customFormat="false" ht="15" hidden="false" customHeight="false" outlineLevel="0" collapsed="false">
      <c r="A53" s="0" t="n">
        <v>52</v>
      </c>
      <c r="B53" s="0" t="s">
        <v>176</v>
      </c>
      <c r="C53" s="0" t="s">
        <v>168</v>
      </c>
      <c r="D53" s="0" t="s">
        <v>177</v>
      </c>
      <c r="E53" s="0" t="s">
        <v>178</v>
      </c>
      <c r="F53" s="0" t="s">
        <v>179</v>
      </c>
      <c r="G53" s="0" t="s">
        <v>18</v>
      </c>
      <c r="H53" s="0" t="n">
        <v>3</v>
      </c>
    </row>
    <row r="54" customFormat="false" ht="15" hidden="false" customHeight="false" outlineLevel="0" collapsed="false">
      <c r="A54" s="0" t="n">
        <v>53</v>
      </c>
      <c r="B54" s="0" t="s">
        <v>180</v>
      </c>
      <c r="C54" s="0" t="s">
        <v>168</v>
      </c>
      <c r="D54" s="0" t="s">
        <v>181</v>
      </c>
      <c r="E54" s="0" t="s">
        <v>182</v>
      </c>
      <c r="F54" s="0" t="s">
        <v>13</v>
      </c>
      <c r="G54" s="0" t="s">
        <v>18</v>
      </c>
      <c r="H54" s="0" t="n">
        <v>2</v>
      </c>
    </row>
    <row r="55" customFormat="false" ht="15" hidden="false" customHeight="false" outlineLevel="0" collapsed="false">
      <c r="A55" s="0" t="n">
        <v>54</v>
      </c>
      <c r="B55" s="0" t="s">
        <v>183</v>
      </c>
      <c r="C55" s="0" t="s">
        <v>168</v>
      </c>
      <c r="D55" s="0" t="s">
        <v>184</v>
      </c>
      <c r="E55" s="0" t="s">
        <v>185</v>
      </c>
      <c r="F55" s="0" t="s">
        <v>13</v>
      </c>
      <c r="G55" s="0" t="s">
        <v>18</v>
      </c>
      <c r="H55" s="0" t="n">
        <v>2</v>
      </c>
    </row>
    <row r="56" customFormat="false" ht="15" hidden="false" customHeight="false" outlineLevel="0" collapsed="false">
      <c r="A56" s="0" t="n">
        <v>55</v>
      </c>
      <c r="B56" s="0" t="s">
        <v>186</v>
      </c>
      <c r="C56" s="0" t="s">
        <v>168</v>
      </c>
      <c r="D56" s="0" t="s">
        <v>187</v>
      </c>
      <c r="E56" s="0" t="s">
        <v>188</v>
      </c>
      <c r="F56" s="0" t="s">
        <v>13</v>
      </c>
      <c r="G56" s="0" t="s">
        <v>18</v>
      </c>
      <c r="H56" s="0" t="n">
        <v>2</v>
      </c>
    </row>
    <row r="57" customFormat="false" ht="15" hidden="false" customHeight="false" outlineLevel="0" collapsed="false">
      <c r="A57" s="0" t="n">
        <v>56</v>
      </c>
      <c r="B57" s="0" t="s">
        <v>189</v>
      </c>
      <c r="C57" s="0" t="s">
        <v>168</v>
      </c>
      <c r="D57" s="0" t="s">
        <v>190</v>
      </c>
      <c r="E57" s="0" t="s">
        <v>191</v>
      </c>
      <c r="F57" s="0" t="s">
        <v>13</v>
      </c>
      <c r="G57" s="0" t="s">
        <v>18</v>
      </c>
      <c r="H57" s="0" t="n">
        <v>2</v>
      </c>
    </row>
    <row r="58" customFormat="false" ht="15" hidden="false" customHeight="false" outlineLevel="0" collapsed="false">
      <c r="A58" s="0" t="n">
        <v>57</v>
      </c>
      <c r="B58" s="0" t="s">
        <v>192</v>
      </c>
      <c r="C58" s="0" t="s">
        <v>168</v>
      </c>
      <c r="D58" s="0" t="s">
        <v>193</v>
      </c>
      <c r="E58" s="0" t="s">
        <v>194</v>
      </c>
      <c r="F58" s="0" t="s">
        <v>13</v>
      </c>
      <c r="G58" s="0" t="s">
        <v>18</v>
      </c>
      <c r="H58" s="0" t="n">
        <v>2</v>
      </c>
    </row>
    <row r="59" customFormat="false" ht="15" hidden="false" customHeight="false" outlineLevel="0" collapsed="false">
      <c r="A59" s="0" t="n">
        <v>58</v>
      </c>
      <c r="B59" s="0" t="s">
        <v>195</v>
      </c>
      <c r="C59" s="0" t="s">
        <v>196</v>
      </c>
      <c r="D59" s="0" t="s">
        <v>197</v>
      </c>
      <c r="E59" s="0" t="s">
        <v>44</v>
      </c>
      <c r="F59" s="0" t="s">
        <v>13</v>
      </c>
      <c r="G59" s="0" t="s">
        <v>18</v>
      </c>
      <c r="H59" s="0" t="n">
        <v>1</v>
      </c>
    </row>
    <row r="60" customFormat="false" ht="15" hidden="false" customHeight="false" outlineLevel="0" collapsed="false">
      <c r="A60" s="0" t="n">
        <v>59</v>
      </c>
      <c r="B60" s="0" t="s">
        <v>198</v>
      </c>
      <c r="C60" s="0" t="s">
        <v>196</v>
      </c>
      <c r="D60" s="0" t="s">
        <v>199</v>
      </c>
      <c r="E60" s="0" t="s">
        <v>200</v>
      </c>
      <c r="F60" s="0" t="s">
        <v>13</v>
      </c>
      <c r="G60" s="0" t="s">
        <v>14</v>
      </c>
      <c r="H60" s="0" t="n">
        <v>2</v>
      </c>
    </row>
    <row r="61" customFormat="false" ht="15" hidden="false" customHeight="false" outlineLevel="0" collapsed="false">
      <c r="A61" s="0" t="n">
        <v>60</v>
      </c>
      <c r="B61" s="0" t="s">
        <v>201</v>
      </c>
      <c r="C61" s="0" t="s">
        <v>196</v>
      </c>
      <c r="D61" s="0" t="s">
        <v>202</v>
      </c>
      <c r="E61" s="0" t="s">
        <v>173</v>
      </c>
      <c r="F61" s="0" t="s">
        <v>13</v>
      </c>
      <c r="G61" s="0" t="s">
        <v>14</v>
      </c>
      <c r="H61" s="0" t="n">
        <v>3</v>
      </c>
    </row>
    <row r="62" customFormat="false" ht="15" hidden="false" customHeight="false" outlineLevel="0" collapsed="false">
      <c r="A62" s="0" t="n">
        <v>61</v>
      </c>
      <c r="B62" s="0" t="s">
        <v>203</v>
      </c>
      <c r="C62" s="0" t="s">
        <v>196</v>
      </c>
      <c r="D62" s="0" t="s">
        <v>204</v>
      </c>
      <c r="E62" s="0" t="s">
        <v>205</v>
      </c>
      <c r="F62" s="0" t="s">
        <v>13</v>
      </c>
      <c r="G62" s="0" t="s">
        <v>34</v>
      </c>
      <c r="H62" s="0" t="n">
        <v>2</v>
      </c>
    </row>
    <row r="63" customFormat="false" ht="15" hidden="false" customHeight="false" outlineLevel="0" collapsed="false">
      <c r="A63" s="0" t="n">
        <v>62</v>
      </c>
      <c r="B63" s="0" t="s">
        <v>206</v>
      </c>
      <c r="C63" s="0" t="s">
        <v>196</v>
      </c>
      <c r="D63" s="0" t="s">
        <v>207</v>
      </c>
      <c r="E63" s="0" t="s">
        <v>208</v>
      </c>
      <c r="F63" s="0" t="s">
        <v>13</v>
      </c>
      <c r="G63" s="0" t="s">
        <v>18</v>
      </c>
      <c r="H63" s="0" t="n">
        <v>1</v>
      </c>
    </row>
    <row r="64" customFormat="false" ht="15" hidden="false" customHeight="false" outlineLevel="0" collapsed="false">
      <c r="A64" s="0" t="n">
        <v>63</v>
      </c>
      <c r="B64" s="0" t="s">
        <v>209</v>
      </c>
      <c r="C64" s="0" t="s">
        <v>196</v>
      </c>
      <c r="D64" s="0" t="s">
        <v>210</v>
      </c>
      <c r="E64" s="0" t="s">
        <v>211</v>
      </c>
      <c r="F64" s="0" t="s">
        <v>13</v>
      </c>
      <c r="G64" s="0" t="s">
        <v>34</v>
      </c>
      <c r="H64" s="0" t="n">
        <v>3</v>
      </c>
    </row>
    <row r="65" customFormat="false" ht="15" hidden="false" customHeight="false" outlineLevel="0" collapsed="false">
      <c r="A65" s="0" t="n">
        <v>64</v>
      </c>
      <c r="B65" s="0" t="s">
        <v>212</v>
      </c>
      <c r="C65" s="0" t="s">
        <v>196</v>
      </c>
      <c r="D65" s="0" t="s">
        <v>213</v>
      </c>
      <c r="E65" s="0" t="s">
        <v>214</v>
      </c>
      <c r="F65" s="0" t="s">
        <v>13</v>
      </c>
      <c r="G65" s="0" t="s">
        <v>18</v>
      </c>
      <c r="H65" s="0" t="n">
        <v>2</v>
      </c>
    </row>
    <row r="66" customFormat="false" ht="15" hidden="false" customHeight="false" outlineLevel="0" collapsed="false">
      <c r="A66" s="0" t="n">
        <v>65</v>
      </c>
      <c r="B66" s="0" t="s">
        <v>215</v>
      </c>
      <c r="C66" s="0" t="s">
        <v>196</v>
      </c>
      <c r="D66" s="0" t="s">
        <v>216</v>
      </c>
      <c r="E66" s="0" t="s">
        <v>116</v>
      </c>
      <c r="F66" s="0" t="s">
        <v>217</v>
      </c>
      <c r="G66" s="0" t="s">
        <v>14</v>
      </c>
      <c r="H66" s="0" t="n">
        <v>2</v>
      </c>
    </row>
    <row r="67" customFormat="false" ht="15" hidden="false" customHeight="false" outlineLevel="0" collapsed="false">
      <c r="A67" s="0" t="n">
        <v>66</v>
      </c>
      <c r="B67" s="0" t="s">
        <v>218</v>
      </c>
      <c r="C67" s="0" t="s">
        <v>219</v>
      </c>
      <c r="D67" s="0" t="s">
        <v>220</v>
      </c>
      <c r="E67" s="0" t="s">
        <v>221</v>
      </c>
      <c r="F67" s="0" t="s">
        <v>13</v>
      </c>
      <c r="G67" s="0" t="s">
        <v>14</v>
      </c>
      <c r="H67" s="0" t="n">
        <v>2</v>
      </c>
    </row>
    <row r="68" customFormat="false" ht="15" hidden="false" customHeight="false" outlineLevel="0" collapsed="false">
      <c r="A68" s="0" t="n">
        <v>67</v>
      </c>
      <c r="B68" s="0" t="s">
        <v>222</v>
      </c>
      <c r="C68" s="0" t="s">
        <v>219</v>
      </c>
      <c r="D68" s="0" t="s">
        <v>223</v>
      </c>
      <c r="E68" s="0" t="s">
        <v>224</v>
      </c>
      <c r="F68" s="0" t="s">
        <v>13</v>
      </c>
      <c r="G68" s="0" t="s">
        <v>14</v>
      </c>
      <c r="H68" s="0" t="n">
        <v>1</v>
      </c>
    </row>
    <row r="69" customFormat="false" ht="15" hidden="false" customHeight="false" outlineLevel="0" collapsed="false">
      <c r="A69" s="0" t="n">
        <v>68</v>
      </c>
      <c r="B69" s="0" t="s">
        <v>225</v>
      </c>
      <c r="C69" s="0" t="s">
        <v>219</v>
      </c>
      <c r="D69" s="0" t="s">
        <v>226</v>
      </c>
      <c r="E69" s="0" t="s">
        <v>227</v>
      </c>
      <c r="F69" s="0" t="s">
        <v>13</v>
      </c>
      <c r="G69" s="0" t="s">
        <v>34</v>
      </c>
      <c r="H69" s="0" t="n">
        <v>5</v>
      </c>
    </row>
    <row r="70" customFormat="false" ht="15" hidden="false" customHeight="false" outlineLevel="0" collapsed="false">
      <c r="A70" s="0" t="n">
        <v>69</v>
      </c>
      <c r="B70" s="0" t="s">
        <v>228</v>
      </c>
      <c r="C70" s="0" t="s">
        <v>219</v>
      </c>
      <c r="D70" s="0" t="s">
        <v>229</v>
      </c>
      <c r="E70" s="0" t="s">
        <v>230</v>
      </c>
      <c r="F70" s="0" t="s">
        <v>13</v>
      </c>
      <c r="G70" s="0" t="s">
        <v>18</v>
      </c>
      <c r="H70" s="0" t="n">
        <v>2</v>
      </c>
    </row>
    <row r="71" customFormat="false" ht="15" hidden="false" customHeight="false" outlineLevel="0" collapsed="false">
      <c r="A71" s="0" t="n">
        <v>70</v>
      </c>
      <c r="B71" s="0" t="s">
        <v>231</v>
      </c>
      <c r="C71" s="0" t="s">
        <v>219</v>
      </c>
      <c r="D71" s="0" t="s">
        <v>232</v>
      </c>
      <c r="E71" s="0" t="s">
        <v>233</v>
      </c>
      <c r="F71" s="0" t="s">
        <v>13</v>
      </c>
      <c r="G71" s="0" t="s">
        <v>34</v>
      </c>
      <c r="H71" s="0" t="n">
        <v>5</v>
      </c>
    </row>
    <row r="72" customFormat="false" ht="15" hidden="false" customHeight="false" outlineLevel="0" collapsed="false">
      <c r="A72" s="0" t="n">
        <v>71</v>
      </c>
      <c r="B72" s="0" t="s">
        <v>234</v>
      </c>
      <c r="C72" s="0" t="s">
        <v>219</v>
      </c>
      <c r="D72" s="0" t="s">
        <v>235</v>
      </c>
      <c r="E72" s="0" t="s">
        <v>236</v>
      </c>
      <c r="F72" s="0" t="s">
        <v>13</v>
      </c>
      <c r="G72" s="0" t="s">
        <v>34</v>
      </c>
      <c r="H72" s="0" t="n">
        <v>6</v>
      </c>
    </row>
    <row r="73" customFormat="false" ht="15" hidden="false" customHeight="false" outlineLevel="0" collapsed="false">
      <c r="A73" s="0" t="n">
        <v>72</v>
      </c>
      <c r="B73" s="0" t="s">
        <v>237</v>
      </c>
      <c r="C73" s="0" t="s">
        <v>219</v>
      </c>
      <c r="D73" s="0" t="s">
        <v>238</v>
      </c>
      <c r="E73" s="0" t="s">
        <v>239</v>
      </c>
      <c r="F73" s="0" t="s">
        <v>13</v>
      </c>
      <c r="G73" s="0" t="s">
        <v>14</v>
      </c>
      <c r="H73" s="0" t="n">
        <v>2</v>
      </c>
    </row>
    <row r="74" customFormat="false" ht="15" hidden="false" customHeight="false" outlineLevel="0" collapsed="false">
      <c r="A74" s="0" t="n">
        <v>73</v>
      </c>
      <c r="B74" s="0" t="s">
        <v>240</v>
      </c>
      <c r="C74" s="0" t="s">
        <v>219</v>
      </c>
      <c r="D74" s="0" t="s">
        <v>241</v>
      </c>
      <c r="E74" s="0" t="s">
        <v>242</v>
      </c>
      <c r="F74" s="0" t="s">
        <v>13</v>
      </c>
      <c r="G74" s="0" t="s">
        <v>14</v>
      </c>
      <c r="H74" s="0" t="n">
        <v>2</v>
      </c>
    </row>
    <row r="75" customFormat="false" ht="15" hidden="false" customHeight="false" outlineLevel="0" collapsed="false">
      <c r="A75" s="0" t="n">
        <v>74</v>
      </c>
      <c r="B75" s="0" t="s">
        <v>243</v>
      </c>
      <c r="C75" s="0" t="s">
        <v>244</v>
      </c>
      <c r="D75" s="0" t="s">
        <v>245</v>
      </c>
      <c r="E75" s="0" t="s">
        <v>246</v>
      </c>
      <c r="F75" s="0" t="s">
        <v>13</v>
      </c>
      <c r="G75" s="0" t="s">
        <v>34</v>
      </c>
      <c r="H75" s="0" t="n">
        <v>3</v>
      </c>
    </row>
    <row r="76" customFormat="false" ht="15" hidden="false" customHeight="false" outlineLevel="0" collapsed="false">
      <c r="A76" s="0" t="n">
        <v>75</v>
      </c>
      <c r="B76" s="0" t="s">
        <v>247</v>
      </c>
      <c r="C76" s="0" t="s">
        <v>244</v>
      </c>
      <c r="D76" s="0" t="s">
        <v>248</v>
      </c>
      <c r="E76" s="0" t="s">
        <v>249</v>
      </c>
      <c r="F76" s="0" t="s">
        <v>13</v>
      </c>
      <c r="G76" s="0" t="s">
        <v>14</v>
      </c>
      <c r="H76" s="0" t="n">
        <v>2</v>
      </c>
    </row>
    <row r="77" customFormat="false" ht="15" hidden="false" customHeight="false" outlineLevel="0" collapsed="false">
      <c r="A77" s="0" t="n">
        <v>76</v>
      </c>
      <c r="B77" s="0" t="s">
        <v>250</v>
      </c>
      <c r="C77" s="0" t="s">
        <v>244</v>
      </c>
      <c r="D77" s="0" t="s">
        <v>251</v>
      </c>
      <c r="E77" s="0" t="s">
        <v>252</v>
      </c>
      <c r="F77" s="0" t="s">
        <v>13</v>
      </c>
      <c r="G77" s="0" t="s">
        <v>34</v>
      </c>
      <c r="H77" s="0" t="n">
        <v>2</v>
      </c>
    </row>
    <row r="78" customFormat="false" ht="15" hidden="false" customHeight="false" outlineLevel="0" collapsed="false">
      <c r="A78" s="0" t="n">
        <v>77</v>
      </c>
      <c r="B78" s="0" t="s">
        <v>253</v>
      </c>
      <c r="C78" s="0" t="s">
        <v>244</v>
      </c>
      <c r="D78" s="0" t="s">
        <v>254</v>
      </c>
      <c r="E78" s="0" t="s">
        <v>255</v>
      </c>
      <c r="F78" s="0" t="s">
        <v>13</v>
      </c>
      <c r="G78" s="0" t="s">
        <v>18</v>
      </c>
      <c r="H78" s="0" t="n">
        <v>1</v>
      </c>
    </row>
    <row r="79" customFormat="false" ht="15" hidden="false" customHeight="false" outlineLevel="0" collapsed="false">
      <c r="A79" s="0" t="n">
        <v>78</v>
      </c>
      <c r="B79" s="0" t="s">
        <v>256</v>
      </c>
      <c r="C79" s="0" t="s">
        <v>244</v>
      </c>
      <c r="D79" s="0" t="s">
        <v>257</v>
      </c>
      <c r="E79" s="0" t="s">
        <v>258</v>
      </c>
      <c r="F79" s="0" t="s">
        <v>13</v>
      </c>
      <c r="G79" s="0" t="s">
        <v>18</v>
      </c>
      <c r="H79" s="0" t="n">
        <v>2</v>
      </c>
    </row>
    <row r="80" customFormat="false" ht="15" hidden="false" customHeight="false" outlineLevel="0" collapsed="false">
      <c r="A80" s="0" t="n">
        <v>79</v>
      </c>
      <c r="B80" s="0" t="s">
        <v>259</v>
      </c>
      <c r="C80" s="0" t="s">
        <v>244</v>
      </c>
      <c r="D80" s="0" t="s">
        <v>260</v>
      </c>
      <c r="E80" s="0" t="s">
        <v>261</v>
      </c>
      <c r="F80" s="0" t="s">
        <v>13</v>
      </c>
      <c r="G80" s="0" t="s">
        <v>34</v>
      </c>
      <c r="H80" s="0" t="n">
        <v>10</v>
      </c>
    </row>
    <row r="81" customFormat="false" ht="15" hidden="false" customHeight="false" outlineLevel="0" collapsed="false">
      <c r="A81" s="0" t="n">
        <v>80</v>
      </c>
      <c r="B81" s="0" t="s">
        <v>262</v>
      </c>
      <c r="C81" s="0" t="s">
        <v>244</v>
      </c>
      <c r="D81" s="0" t="s">
        <v>263</v>
      </c>
      <c r="E81" s="0" t="s">
        <v>264</v>
      </c>
      <c r="F81" s="0" t="s">
        <v>13</v>
      </c>
      <c r="G81" s="0" t="s">
        <v>14</v>
      </c>
      <c r="H81" s="0" t="n">
        <v>2</v>
      </c>
    </row>
    <row r="82" customFormat="false" ht="15" hidden="false" customHeight="false" outlineLevel="0" collapsed="false">
      <c r="A82" s="0" t="n">
        <v>81</v>
      </c>
      <c r="B82" s="0" t="s">
        <v>265</v>
      </c>
      <c r="C82" s="0" t="s">
        <v>244</v>
      </c>
      <c r="D82" s="0" t="s">
        <v>266</v>
      </c>
      <c r="E82" s="0" t="s">
        <v>267</v>
      </c>
      <c r="F82" s="0" t="s">
        <v>13</v>
      </c>
      <c r="G82" s="0" t="s">
        <v>18</v>
      </c>
      <c r="H82" s="0" t="n">
        <v>1</v>
      </c>
    </row>
    <row r="83" customFormat="false" ht="15" hidden="false" customHeight="false" outlineLevel="0" collapsed="false">
      <c r="A83" s="0" t="n">
        <v>82</v>
      </c>
      <c r="B83" s="0" t="s">
        <v>268</v>
      </c>
      <c r="C83" s="0" t="s">
        <v>269</v>
      </c>
      <c r="D83" s="0" t="s">
        <v>270</v>
      </c>
      <c r="E83" s="0" t="s">
        <v>173</v>
      </c>
      <c r="F83" s="0" t="s">
        <v>13</v>
      </c>
      <c r="G83" s="0" t="s">
        <v>18</v>
      </c>
      <c r="H83" s="0" t="n">
        <v>2</v>
      </c>
    </row>
    <row r="84" customFormat="false" ht="15" hidden="false" customHeight="false" outlineLevel="0" collapsed="false">
      <c r="A84" s="0" t="n">
        <v>83</v>
      </c>
      <c r="B84" s="0" t="s">
        <v>271</v>
      </c>
      <c r="C84" s="0" t="s">
        <v>269</v>
      </c>
      <c r="D84" s="0" t="s">
        <v>272</v>
      </c>
      <c r="E84" s="0" t="s">
        <v>273</v>
      </c>
      <c r="F84" s="0" t="s">
        <v>13</v>
      </c>
      <c r="G84" s="0" t="s">
        <v>18</v>
      </c>
      <c r="H84" s="0" t="n">
        <v>1</v>
      </c>
    </row>
    <row r="85" customFormat="false" ht="15" hidden="false" customHeight="false" outlineLevel="0" collapsed="false">
      <c r="A85" s="0" t="n">
        <v>84</v>
      </c>
      <c r="B85" s="0" t="s">
        <v>274</v>
      </c>
      <c r="C85" s="0" t="s">
        <v>269</v>
      </c>
      <c r="D85" s="0" t="s">
        <v>275</v>
      </c>
      <c r="E85" s="0" t="s">
        <v>276</v>
      </c>
      <c r="F85" s="0" t="s">
        <v>13</v>
      </c>
      <c r="G85" s="0" t="s">
        <v>14</v>
      </c>
      <c r="H85" s="0" t="n">
        <v>2</v>
      </c>
    </row>
    <row r="86" customFormat="false" ht="15" hidden="false" customHeight="false" outlineLevel="0" collapsed="false">
      <c r="A86" s="0" t="n">
        <v>85</v>
      </c>
      <c r="B86" s="0" t="s">
        <v>277</v>
      </c>
      <c r="C86" s="0" t="s">
        <v>269</v>
      </c>
      <c r="D86" s="0" t="s">
        <v>278</v>
      </c>
      <c r="E86" s="0" t="s">
        <v>279</v>
      </c>
      <c r="F86" s="0" t="s">
        <v>13</v>
      </c>
      <c r="G86" s="0" t="s">
        <v>18</v>
      </c>
      <c r="H86" s="0" t="n">
        <v>1</v>
      </c>
    </row>
    <row r="87" customFormat="false" ht="15" hidden="false" customHeight="false" outlineLevel="0" collapsed="false">
      <c r="A87" s="0" t="n">
        <v>86</v>
      </c>
      <c r="B87" s="0" t="s">
        <v>280</v>
      </c>
      <c r="C87" s="0" t="s">
        <v>269</v>
      </c>
      <c r="D87" s="0" t="s">
        <v>281</v>
      </c>
      <c r="E87" s="0" t="s">
        <v>282</v>
      </c>
      <c r="F87" s="0" t="s">
        <v>13</v>
      </c>
      <c r="G87" s="0" t="s">
        <v>18</v>
      </c>
      <c r="H87" s="0" t="n">
        <v>2</v>
      </c>
    </row>
    <row r="88" customFormat="false" ht="15" hidden="false" customHeight="false" outlineLevel="0" collapsed="false">
      <c r="A88" s="0" t="n">
        <v>87</v>
      </c>
      <c r="B88" s="0" t="s">
        <v>283</v>
      </c>
      <c r="C88" s="0" t="s">
        <v>269</v>
      </c>
      <c r="D88" s="0" t="s">
        <v>284</v>
      </c>
      <c r="E88" s="0" t="s">
        <v>285</v>
      </c>
      <c r="F88" s="0" t="s">
        <v>13</v>
      </c>
      <c r="G88" s="0" t="s">
        <v>34</v>
      </c>
      <c r="H88" s="0" t="n">
        <v>5</v>
      </c>
    </row>
    <row r="89" customFormat="false" ht="15" hidden="false" customHeight="false" outlineLevel="0" collapsed="false">
      <c r="A89" s="0" t="n">
        <v>88</v>
      </c>
      <c r="B89" s="0" t="s">
        <v>286</v>
      </c>
      <c r="C89" s="0" t="s">
        <v>287</v>
      </c>
      <c r="D89" s="0" t="s">
        <v>288</v>
      </c>
      <c r="E89" s="0" t="s">
        <v>289</v>
      </c>
      <c r="F89" s="0" t="s">
        <v>13</v>
      </c>
      <c r="G89" s="0" t="s">
        <v>18</v>
      </c>
      <c r="H89" s="0" t="n">
        <v>2</v>
      </c>
    </row>
    <row r="90" customFormat="false" ht="15" hidden="false" customHeight="false" outlineLevel="0" collapsed="false">
      <c r="A90" s="0" t="n">
        <v>89</v>
      </c>
      <c r="B90" s="0" t="s">
        <v>290</v>
      </c>
      <c r="C90" s="0" t="s">
        <v>287</v>
      </c>
      <c r="D90" s="0" t="s">
        <v>291</v>
      </c>
      <c r="E90" s="0" t="s">
        <v>292</v>
      </c>
      <c r="F90" s="0" t="s">
        <v>13</v>
      </c>
      <c r="G90" s="0" t="s">
        <v>14</v>
      </c>
      <c r="H90" s="0" t="n">
        <v>3</v>
      </c>
    </row>
    <row r="91" customFormat="false" ht="15" hidden="false" customHeight="false" outlineLevel="0" collapsed="false">
      <c r="A91" s="0" t="n">
        <v>90</v>
      </c>
      <c r="B91" s="0" t="s">
        <v>293</v>
      </c>
      <c r="C91" s="0" t="s">
        <v>287</v>
      </c>
      <c r="D91" s="0" t="s">
        <v>294</v>
      </c>
      <c r="E91" s="0" t="s">
        <v>295</v>
      </c>
      <c r="F91" s="0" t="s">
        <v>13</v>
      </c>
      <c r="G91" s="0" t="s">
        <v>18</v>
      </c>
      <c r="H91" s="0" t="n">
        <v>2</v>
      </c>
    </row>
    <row r="92" customFormat="false" ht="15" hidden="false" customHeight="false" outlineLevel="0" collapsed="false">
      <c r="A92" s="0" t="n">
        <v>91</v>
      </c>
      <c r="B92" s="0" t="s">
        <v>296</v>
      </c>
      <c r="C92" s="0" t="s">
        <v>287</v>
      </c>
      <c r="D92" s="0" t="s">
        <v>297</v>
      </c>
      <c r="E92" s="0" t="s">
        <v>298</v>
      </c>
      <c r="F92" s="0" t="s">
        <v>13</v>
      </c>
      <c r="G92" s="0" t="s">
        <v>34</v>
      </c>
      <c r="H92" s="0" t="n">
        <v>3</v>
      </c>
    </row>
    <row r="93" customFormat="false" ht="15" hidden="false" customHeight="false" outlineLevel="0" collapsed="false">
      <c r="A93" s="0" t="n">
        <v>92</v>
      </c>
      <c r="B93" s="0" t="s">
        <v>299</v>
      </c>
      <c r="C93" s="0" t="s">
        <v>287</v>
      </c>
      <c r="D93" s="0" t="s">
        <v>300</v>
      </c>
      <c r="E93" s="0" t="s">
        <v>301</v>
      </c>
      <c r="F93" s="0" t="s">
        <v>13</v>
      </c>
      <c r="G93" s="0" t="s">
        <v>18</v>
      </c>
      <c r="H93" s="0" t="n">
        <v>2</v>
      </c>
    </row>
    <row r="94" customFormat="false" ht="15" hidden="false" customHeight="false" outlineLevel="0" collapsed="false">
      <c r="A94" s="0" t="n">
        <v>93</v>
      </c>
      <c r="B94" s="0" t="s">
        <v>302</v>
      </c>
      <c r="C94" s="0" t="s">
        <v>287</v>
      </c>
      <c r="D94" s="0" t="s">
        <v>303</v>
      </c>
      <c r="E94" s="0" t="s">
        <v>304</v>
      </c>
      <c r="F94" s="0" t="s">
        <v>13</v>
      </c>
      <c r="G94" s="0" t="s">
        <v>34</v>
      </c>
      <c r="H94" s="0" t="n">
        <v>2</v>
      </c>
    </row>
    <row r="95" customFormat="false" ht="15" hidden="false" customHeight="false" outlineLevel="0" collapsed="false">
      <c r="A95" s="0" t="n">
        <v>94</v>
      </c>
      <c r="B95" s="0" t="s">
        <v>305</v>
      </c>
      <c r="C95" s="0" t="s">
        <v>287</v>
      </c>
      <c r="D95" s="0" t="s">
        <v>306</v>
      </c>
      <c r="E95" s="0" t="s">
        <v>307</v>
      </c>
      <c r="F95" s="0" t="s">
        <v>13</v>
      </c>
      <c r="G95" s="0" t="s">
        <v>18</v>
      </c>
      <c r="H95" s="0" t="n">
        <v>2</v>
      </c>
    </row>
    <row r="96" customFormat="false" ht="15" hidden="false" customHeight="false" outlineLevel="0" collapsed="false">
      <c r="A96" s="0" t="n">
        <v>95</v>
      </c>
      <c r="B96" s="0" t="s">
        <v>308</v>
      </c>
      <c r="C96" s="0" t="s">
        <v>219</v>
      </c>
      <c r="D96" s="0" t="s">
        <v>309</v>
      </c>
      <c r="E96" s="0" t="s">
        <v>310</v>
      </c>
      <c r="F96" s="0" t="s">
        <v>13</v>
      </c>
      <c r="G96" s="0" t="s">
        <v>18</v>
      </c>
      <c r="H96" s="0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40"/>
    <col collapsed="false" customWidth="true" hidden="false" outlineLevel="0" max="4" min="4" style="0" width="34"/>
    <col collapsed="false" customWidth="true" hidden="false" outlineLevel="0" max="5" min="5" style="0" width="12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311</v>
      </c>
      <c r="D1" s="1" t="s">
        <v>312</v>
      </c>
      <c r="E1" s="1" t="s">
        <v>313</v>
      </c>
      <c r="F1" s="1" t="s">
        <v>314</v>
      </c>
    </row>
    <row r="2" customFormat="false" ht="15" hidden="false" customHeight="false" outlineLevel="0" collapsed="false">
      <c r="A2" s="0" t="n">
        <v>1</v>
      </c>
      <c r="B2" s="0" t="s">
        <v>9</v>
      </c>
      <c r="C2" s="0" t="s">
        <v>315</v>
      </c>
      <c r="D2" s="0" t="s">
        <v>316</v>
      </c>
    </row>
    <row r="3" customFormat="false" ht="15" hidden="false" customHeight="false" outlineLevel="0" collapsed="false">
      <c r="A3" s="0" t="n">
        <v>2</v>
      </c>
      <c r="B3" s="0" t="s">
        <v>9</v>
      </c>
      <c r="C3" s="0" t="s">
        <v>317</v>
      </c>
      <c r="D3" s="0" t="s">
        <v>318</v>
      </c>
    </row>
    <row r="4" customFormat="false" ht="15" hidden="false" customHeight="false" outlineLevel="0" collapsed="false">
      <c r="A4" s="0" t="n">
        <v>3</v>
      </c>
      <c r="B4" s="0" t="s">
        <v>9</v>
      </c>
      <c r="C4" s="0" t="s">
        <v>319</v>
      </c>
      <c r="D4" s="0" t="s">
        <v>318</v>
      </c>
    </row>
    <row r="5" customFormat="false" ht="15" hidden="false" customHeight="false" outlineLevel="0" collapsed="false">
      <c r="A5" s="0" t="n">
        <v>4</v>
      </c>
      <c r="B5" s="0" t="s">
        <v>9</v>
      </c>
      <c r="C5" s="0" t="s">
        <v>320</v>
      </c>
      <c r="D5" s="0" t="s">
        <v>318</v>
      </c>
      <c r="F5" s="0" t="s">
        <v>321</v>
      </c>
    </row>
    <row r="6" customFormat="false" ht="15" hidden="false" customHeight="false" outlineLevel="0" collapsed="false">
      <c r="A6" s="0" t="n">
        <v>5</v>
      </c>
      <c r="B6" s="0" t="s">
        <v>15</v>
      </c>
      <c r="C6" s="0" t="s">
        <v>322</v>
      </c>
      <c r="D6" s="0" t="s">
        <v>318</v>
      </c>
      <c r="F6" s="0" t="s">
        <v>323</v>
      </c>
    </row>
    <row r="7" customFormat="false" ht="15" hidden="false" customHeight="false" outlineLevel="0" collapsed="false">
      <c r="A7" s="0" t="n">
        <v>6</v>
      </c>
      <c r="B7" s="0" t="s">
        <v>15</v>
      </c>
      <c r="C7" s="0" t="s">
        <v>324</v>
      </c>
      <c r="D7" s="0" t="s">
        <v>318</v>
      </c>
      <c r="F7" s="0" t="s">
        <v>325</v>
      </c>
    </row>
    <row r="8" customFormat="false" ht="15" hidden="false" customHeight="false" outlineLevel="0" collapsed="false">
      <c r="A8" s="0" t="n">
        <v>7</v>
      </c>
      <c r="B8" s="0" t="s">
        <v>15</v>
      </c>
      <c r="C8" s="0" t="s">
        <v>326</v>
      </c>
      <c r="D8" s="0" t="s">
        <v>318</v>
      </c>
    </row>
    <row r="9" customFormat="false" ht="15" hidden="false" customHeight="false" outlineLevel="0" collapsed="false">
      <c r="A9" s="0" t="n">
        <v>8</v>
      </c>
      <c r="B9" s="0" t="s">
        <v>15</v>
      </c>
      <c r="C9" s="0" t="s">
        <v>327</v>
      </c>
      <c r="D9" s="0" t="s">
        <v>318</v>
      </c>
      <c r="F9" s="0" t="s">
        <v>328</v>
      </c>
    </row>
    <row r="10" customFormat="false" ht="15" hidden="false" customHeight="false" outlineLevel="0" collapsed="false">
      <c r="A10" s="0" t="n">
        <v>9</v>
      </c>
      <c r="B10" s="0" t="s">
        <v>19</v>
      </c>
      <c r="C10" s="0" t="s">
        <v>322</v>
      </c>
      <c r="D10" s="0" t="s">
        <v>318</v>
      </c>
      <c r="F10" s="0" t="s">
        <v>323</v>
      </c>
    </row>
    <row r="11" customFormat="false" ht="15" hidden="false" customHeight="false" outlineLevel="0" collapsed="false">
      <c r="A11" s="0" t="n">
        <v>10</v>
      </c>
      <c r="B11" s="0" t="s">
        <v>19</v>
      </c>
      <c r="C11" s="0" t="s">
        <v>329</v>
      </c>
      <c r="D11" s="0" t="s">
        <v>318</v>
      </c>
      <c r="F11" s="0" t="s">
        <v>325</v>
      </c>
    </row>
    <row r="12" customFormat="false" ht="15" hidden="false" customHeight="false" outlineLevel="0" collapsed="false">
      <c r="A12" s="0" t="n">
        <v>11</v>
      </c>
      <c r="B12" s="0" t="s">
        <v>19</v>
      </c>
      <c r="C12" s="0" t="s">
        <v>330</v>
      </c>
      <c r="D12" s="0" t="s">
        <v>318</v>
      </c>
      <c r="F12" s="0" t="s">
        <v>330</v>
      </c>
    </row>
    <row r="13" customFormat="false" ht="15" hidden="false" customHeight="false" outlineLevel="0" collapsed="false">
      <c r="A13" s="0" t="n">
        <v>12</v>
      </c>
      <c r="B13" s="0" t="s">
        <v>19</v>
      </c>
      <c r="C13" s="0" t="s">
        <v>331</v>
      </c>
      <c r="D13" s="0" t="s">
        <v>318</v>
      </c>
      <c r="F13" s="0" t="s">
        <v>331</v>
      </c>
    </row>
    <row r="14" customFormat="false" ht="15" hidden="false" customHeight="false" outlineLevel="0" collapsed="false">
      <c r="A14" s="0" t="n">
        <v>13</v>
      </c>
      <c r="B14" s="0" t="s">
        <v>19</v>
      </c>
      <c r="C14" s="0" t="s">
        <v>332</v>
      </c>
      <c r="D14" s="0" t="s">
        <v>318</v>
      </c>
      <c r="F14" s="0" t="s">
        <v>333</v>
      </c>
    </row>
    <row r="15" customFormat="false" ht="15" hidden="false" customHeight="false" outlineLevel="0" collapsed="false">
      <c r="A15" s="0" t="n">
        <v>14</v>
      </c>
      <c r="B15" s="0" t="s">
        <v>19</v>
      </c>
      <c r="C15" s="0" t="s">
        <v>327</v>
      </c>
      <c r="D15" s="0" t="s">
        <v>318</v>
      </c>
      <c r="F15" s="0" t="s">
        <v>328</v>
      </c>
    </row>
    <row r="16" customFormat="false" ht="15" hidden="false" customHeight="false" outlineLevel="0" collapsed="false">
      <c r="A16" s="0" t="n">
        <v>15</v>
      </c>
      <c r="B16" s="0" t="s">
        <v>22</v>
      </c>
      <c r="C16" s="0" t="s">
        <v>334</v>
      </c>
      <c r="D16" s="0" t="s">
        <v>335</v>
      </c>
    </row>
    <row r="17" customFormat="false" ht="15" hidden="false" customHeight="false" outlineLevel="0" collapsed="false">
      <c r="A17" s="0" t="n">
        <v>16</v>
      </c>
      <c r="B17" s="0" t="s">
        <v>22</v>
      </c>
      <c r="C17" s="0" t="s">
        <v>336</v>
      </c>
      <c r="D17" s="0" t="s">
        <v>337</v>
      </c>
    </row>
    <row r="18" customFormat="false" ht="15" hidden="false" customHeight="false" outlineLevel="0" collapsed="false">
      <c r="A18" s="0" t="n">
        <v>17</v>
      </c>
      <c r="B18" s="0" t="s">
        <v>22</v>
      </c>
      <c r="C18" s="0" t="s">
        <v>338</v>
      </c>
      <c r="D18" s="0" t="s">
        <v>318</v>
      </c>
      <c r="F18" s="0" t="s">
        <v>339</v>
      </c>
    </row>
    <row r="19" customFormat="false" ht="15" hidden="false" customHeight="false" outlineLevel="0" collapsed="false">
      <c r="A19" s="0" t="n">
        <v>18</v>
      </c>
      <c r="B19" s="0" t="s">
        <v>22</v>
      </c>
      <c r="C19" s="0" t="s">
        <v>340</v>
      </c>
      <c r="D19" s="0" t="s">
        <v>318</v>
      </c>
      <c r="F19" s="0" t="s">
        <v>341</v>
      </c>
    </row>
    <row r="20" customFormat="false" ht="15" hidden="false" customHeight="false" outlineLevel="0" collapsed="false">
      <c r="A20" s="0" t="n">
        <v>19</v>
      </c>
      <c r="B20" s="0" t="s">
        <v>25</v>
      </c>
      <c r="C20" s="0" t="s">
        <v>342</v>
      </c>
      <c r="D20" s="0" t="s">
        <v>318</v>
      </c>
      <c r="F20" s="0" t="s">
        <v>323</v>
      </c>
    </row>
    <row r="21" customFormat="false" ht="15" hidden="false" customHeight="false" outlineLevel="0" collapsed="false">
      <c r="A21" s="0" t="n">
        <v>20</v>
      </c>
      <c r="B21" s="0" t="s">
        <v>25</v>
      </c>
      <c r="C21" s="0" t="s">
        <v>343</v>
      </c>
      <c r="D21" s="0" t="s">
        <v>318</v>
      </c>
      <c r="F21" s="0" t="s">
        <v>325</v>
      </c>
    </row>
    <row r="22" customFormat="false" ht="15" hidden="false" customHeight="false" outlineLevel="0" collapsed="false">
      <c r="A22" s="0" t="n">
        <v>21</v>
      </c>
      <c r="B22" s="0" t="s">
        <v>25</v>
      </c>
      <c r="C22" s="0" t="s">
        <v>344</v>
      </c>
      <c r="D22" s="0" t="s">
        <v>318</v>
      </c>
      <c r="F22" s="0" t="s">
        <v>345</v>
      </c>
    </row>
    <row r="23" customFormat="false" ht="15" hidden="false" customHeight="false" outlineLevel="0" collapsed="false">
      <c r="A23" s="0" t="n">
        <v>22</v>
      </c>
      <c r="B23" s="0" t="s">
        <v>25</v>
      </c>
      <c r="C23" s="0" t="s">
        <v>331</v>
      </c>
      <c r="D23" s="0" t="s">
        <v>318</v>
      </c>
      <c r="F23" s="0" t="s">
        <v>331</v>
      </c>
    </row>
    <row r="24" customFormat="false" ht="15" hidden="false" customHeight="false" outlineLevel="0" collapsed="false">
      <c r="A24" s="0" t="n">
        <v>23</v>
      </c>
      <c r="B24" s="0" t="s">
        <v>25</v>
      </c>
      <c r="C24" s="0" t="s">
        <v>330</v>
      </c>
      <c r="D24" s="0" t="s">
        <v>318</v>
      </c>
      <c r="F24" s="0" t="s">
        <v>330</v>
      </c>
    </row>
    <row r="25" customFormat="false" ht="15" hidden="false" customHeight="false" outlineLevel="0" collapsed="false">
      <c r="A25" s="0" t="n">
        <v>24</v>
      </c>
      <c r="B25" s="0" t="s">
        <v>28</v>
      </c>
      <c r="C25" s="0" t="s">
        <v>346</v>
      </c>
      <c r="D25" s="0" t="s">
        <v>347</v>
      </c>
    </row>
    <row r="26" customFormat="false" ht="15" hidden="false" customHeight="false" outlineLevel="0" collapsed="false">
      <c r="A26" s="0" t="n">
        <v>25</v>
      </c>
      <c r="B26" s="0" t="s">
        <v>28</v>
      </c>
      <c r="C26" s="0" t="s">
        <v>348</v>
      </c>
      <c r="D26" s="0" t="s">
        <v>349</v>
      </c>
      <c r="F26" s="0" t="s">
        <v>323</v>
      </c>
    </row>
    <row r="27" customFormat="false" ht="15" hidden="false" customHeight="false" outlineLevel="0" collapsed="false">
      <c r="A27" s="0" t="n">
        <v>26</v>
      </c>
      <c r="B27" s="0" t="s">
        <v>28</v>
      </c>
      <c r="C27" s="0" t="s">
        <v>350</v>
      </c>
      <c r="D27" s="0" t="s">
        <v>351</v>
      </c>
      <c r="F27" s="0" t="s">
        <v>325</v>
      </c>
    </row>
    <row r="28" customFormat="false" ht="15" hidden="false" customHeight="false" outlineLevel="0" collapsed="false">
      <c r="A28" s="0" t="n">
        <v>27</v>
      </c>
      <c r="B28" s="0" t="s">
        <v>28</v>
      </c>
      <c r="C28" s="0" t="s">
        <v>352</v>
      </c>
      <c r="D28" s="0" t="s">
        <v>353</v>
      </c>
      <c r="F28" s="0" t="s">
        <v>323</v>
      </c>
    </row>
    <row r="29" customFormat="false" ht="15" hidden="false" customHeight="false" outlineLevel="0" collapsed="false">
      <c r="A29" s="0" t="n">
        <v>28</v>
      </c>
      <c r="B29" s="0" t="s">
        <v>28</v>
      </c>
      <c r="C29" s="0" t="s">
        <v>354</v>
      </c>
      <c r="D29" s="0" t="s">
        <v>355</v>
      </c>
      <c r="F29" s="0" t="s">
        <v>325</v>
      </c>
    </row>
    <row r="30" customFormat="false" ht="15" hidden="false" customHeight="false" outlineLevel="0" collapsed="false">
      <c r="A30" s="0" t="n">
        <v>29</v>
      </c>
      <c r="B30" s="0" t="s">
        <v>28</v>
      </c>
      <c r="C30" s="0" t="s">
        <v>356</v>
      </c>
      <c r="D30" s="0" t="s">
        <v>357</v>
      </c>
      <c r="F30" s="0" t="s">
        <v>330</v>
      </c>
    </row>
    <row r="31" customFormat="false" ht="15" hidden="false" customHeight="false" outlineLevel="0" collapsed="false">
      <c r="A31" s="0" t="n">
        <v>30</v>
      </c>
      <c r="B31" s="0" t="s">
        <v>28</v>
      </c>
      <c r="C31" s="0" t="s">
        <v>358</v>
      </c>
      <c r="D31" s="0" t="s">
        <v>359</v>
      </c>
      <c r="F31" s="0" t="s">
        <v>331</v>
      </c>
    </row>
    <row r="32" customFormat="false" ht="15" hidden="false" customHeight="false" outlineLevel="0" collapsed="false">
      <c r="A32" s="0" t="n">
        <v>31</v>
      </c>
      <c r="B32" s="0" t="s">
        <v>28</v>
      </c>
      <c r="C32" s="0" t="s">
        <v>360</v>
      </c>
      <c r="D32" s="0" t="s">
        <v>318</v>
      </c>
      <c r="F32" s="0" t="s">
        <v>361</v>
      </c>
    </row>
    <row r="33" customFormat="false" ht="15" hidden="false" customHeight="false" outlineLevel="0" collapsed="false">
      <c r="A33" s="0" t="n">
        <v>32</v>
      </c>
      <c r="B33" s="0" t="s">
        <v>28</v>
      </c>
      <c r="C33" s="0" t="s">
        <v>362</v>
      </c>
      <c r="D33" s="0" t="s">
        <v>318</v>
      </c>
      <c r="F33" s="0" t="s">
        <v>363</v>
      </c>
    </row>
    <row r="34" customFormat="false" ht="15" hidden="false" customHeight="false" outlineLevel="0" collapsed="false">
      <c r="A34" s="0" t="n">
        <v>33</v>
      </c>
      <c r="B34" s="0" t="s">
        <v>31</v>
      </c>
      <c r="C34" s="0" t="s">
        <v>364</v>
      </c>
      <c r="D34" s="0" t="s">
        <v>365</v>
      </c>
      <c r="F34" s="0" t="s">
        <v>323</v>
      </c>
    </row>
    <row r="35" customFormat="false" ht="15" hidden="false" customHeight="false" outlineLevel="0" collapsed="false">
      <c r="A35" s="0" t="n">
        <v>34</v>
      </c>
      <c r="B35" s="0" t="s">
        <v>31</v>
      </c>
      <c r="C35" s="0" t="s">
        <v>366</v>
      </c>
      <c r="D35" s="0" t="s">
        <v>367</v>
      </c>
      <c r="F35" s="0" t="s">
        <v>325</v>
      </c>
    </row>
    <row r="36" customFormat="false" ht="15" hidden="false" customHeight="false" outlineLevel="0" collapsed="false">
      <c r="A36" s="0" t="n">
        <v>35</v>
      </c>
      <c r="B36" s="0" t="s">
        <v>31</v>
      </c>
      <c r="C36" s="0" t="s">
        <v>368</v>
      </c>
      <c r="D36" s="0" t="s">
        <v>369</v>
      </c>
      <c r="F36" s="0" t="s">
        <v>345</v>
      </c>
    </row>
    <row r="37" customFormat="false" ht="15" hidden="false" customHeight="false" outlineLevel="0" collapsed="false">
      <c r="A37" s="0" t="n">
        <v>36</v>
      </c>
      <c r="B37" s="0" t="s">
        <v>31</v>
      </c>
      <c r="C37" s="0" t="s">
        <v>370</v>
      </c>
      <c r="D37" s="0" t="s">
        <v>371</v>
      </c>
      <c r="F37" s="0" t="s">
        <v>331</v>
      </c>
    </row>
    <row r="38" customFormat="false" ht="15" hidden="false" customHeight="false" outlineLevel="0" collapsed="false">
      <c r="A38" s="0" t="n">
        <v>37</v>
      </c>
      <c r="B38" s="0" t="s">
        <v>31</v>
      </c>
      <c r="C38" s="0" t="s">
        <v>372</v>
      </c>
      <c r="D38" s="0" t="s">
        <v>318</v>
      </c>
      <c r="F38" s="0" t="s">
        <v>373</v>
      </c>
    </row>
    <row r="39" customFormat="false" ht="15" hidden="false" customHeight="false" outlineLevel="0" collapsed="false">
      <c r="A39" s="0" t="n">
        <v>38</v>
      </c>
      <c r="B39" s="0" t="s">
        <v>31</v>
      </c>
      <c r="C39" s="0" t="s">
        <v>374</v>
      </c>
      <c r="D39" s="0" t="s">
        <v>318</v>
      </c>
      <c r="F39" s="0" t="s">
        <v>375</v>
      </c>
    </row>
    <row r="40" customFormat="false" ht="15" hidden="false" customHeight="false" outlineLevel="0" collapsed="false">
      <c r="A40" s="0" t="n">
        <v>39</v>
      </c>
      <c r="B40" s="0" t="s">
        <v>35</v>
      </c>
      <c r="C40" s="0" t="s">
        <v>376</v>
      </c>
      <c r="D40" s="0" t="s">
        <v>377</v>
      </c>
    </row>
    <row r="41" customFormat="false" ht="15" hidden="false" customHeight="false" outlineLevel="0" collapsed="false">
      <c r="A41" s="0" t="n">
        <v>40</v>
      </c>
      <c r="B41" s="0" t="s">
        <v>35</v>
      </c>
      <c r="C41" s="0" t="s">
        <v>322</v>
      </c>
      <c r="D41" s="0" t="s">
        <v>318</v>
      </c>
      <c r="F41" s="0" t="s">
        <v>323</v>
      </c>
    </row>
    <row r="42" customFormat="false" ht="15" hidden="false" customHeight="false" outlineLevel="0" collapsed="false">
      <c r="A42" s="0" t="n">
        <v>41</v>
      </c>
      <c r="B42" s="0" t="s">
        <v>35</v>
      </c>
      <c r="C42" s="0" t="s">
        <v>378</v>
      </c>
      <c r="D42" s="0" t="s">
        <v>318</v>
      </c>
      <c r="F42" s="0" t="s">
        <v>325</v>
      </c>
    </row>
    <row r="43" customFormat="false" ht="15" hidden="false" customHeight="false" outlineLevel="0" collapsed="false">
      <c r="A43" s="0" t="n">
        <v>42</v>
      </c>
      <c r="B43" s="0" t="s">
        <v>35</v>
      </c>
      <c r="C43" s="0" t="s">
        <v>330</v>
      </c>
      <c r="D43" s="0" t="s">
        <v>318</v>
      </c>
      <c r="F43" s="0" t="s">
        <v>330</v>
      </c>
    </row>
    <row r="44" customFormat="false" ht="15" hidden="false" customHeight="false" outlineLevel="0" collapsed="false">
      <c r="A44" s="0" t="n">
        <v>43</v>
      </c>
      <c r="B44" s="0" t="s">
        <v>35</v>
      </c>
      <c r="C44" s="0" t="s">
        <v>331</v>
      </c>
      <c r="D44" s="0" t="s">
        <v>318</v>
      </c>
      <c r="F44" s="0" t="s">
        <v>331</v>
      </c>
    </row>
    <row r="45" customFormat="false" ht="15" hidden="false" customHeight="false" outlineLevel="0" collapsed="false">
      <c r="A45" s="0" t="n">
        <v>44</v>
      </c>
      <c r="B45" s="0" t="s">
        <v>38</v>
      </c>
      <c r="C45" s="0" t="s">
        <v>379</v>
      </c>
      <c r="D45" s="0" t="s">
        <v>380</v>
      </c>
    </row>
    <row r="46" customFormat="false" ht="15" hidden="false" customHeight="false" outlineLevel="0" collapsed="false">
      <c r="A46" s="0" t="n">
        <v>45</v>
      </c>
      <c r="B46" s="0" t="s">
        <v>38</v>
      </c>
      <c r="C46" s="0" t="s">
        <v>381</v>
      </c>
      <c r="D46" s="0" t="s">
        <v>382</v>
      </c>
      <c r="F46" s="0" t="s">
        <v>323</v>
      </c>
    </row>
    <row r="47" customFormat="false" ht="15" hidden="false" customHeight="false" outlineLevel="0" collapsed="false">
      <c r="A47" s="0" t="n">
        <v>46</v>
      </c>
      <c r="B47" s="0" t="s">
        <v>38</v>
      </c>
      <c r="C47" s="0" t="s">
        <v>383</v>
      </c>
      <c r="D47" s="0" t="s">
        <v>384</v>
      </c>
      <c r="F47" s="0" t="s">
        <v>325</v>
      </c>
    </row>
    <row r="48" customFormat="false" ht="15" hidden="false" customHeight="false" outlineLevel="0" collapsed="false">
      <c r="A48" s="0" t="n">
        <v>47</v>
      </c>
      <c r="B48" s="0" t="s">
        <v>38</v>
      </c>
      <c r="C48" s="0" t="s">
        <v>385</v>
      </c>
      <c r="D48" s="0" t="s">
        <v>318</v>
      </c>
      <c r="F48" s="0" t="s">
        <v>386</v>
      </c>
    </row>
    <row r="49" customFormat="false" ht="15" hidden="false" customHeight="false" outlineLevel="0" collapsed="false">
      <c r="A49" s="0" t="n">
        <v>48</v>
      </c>
      <c r="B49" s="0" t="s">
        <v>41</v>
      </c>
      <c r="C49" s="0" t="s">
        <v>322</v>
      </c>
      <c r="D49" s="0" t="s">
        <v>318</v>
      </c>
      <c r="F49" s="0" t="s">
        <v>323</v>
      </c>
    </row>
    <row r="50" customFormat="false" ht="15" hidden="false" customHeight="false" outlineLevel="0" collapsed="false">
      <c r="A50" s="0" t="n">
        <v>49</v>
      </c>
      <c r="B50" s="0" t="s">
        <v>41</v>
      </c>
      <c r="C50" s="0" t="s">
        <v>329</v>
      </c>
      <c r="D50" s="0" t="s">
        <v>318</v>
      </c>
      <c r="F50" s="0" t="s">
        <v>325</v>
      </c>
    </row>
    <row r="51" customFormat="false" ht="15" hidden="false" customHeight="false" outlineLevel="0" collapsed="false">
      <c r="A51" s="0" t="n">
        <v>50</v>
      </c>
      <c r="B51" s="0" t="s">
        <v>41</v>
      </c>
      <c r="C51" s="0" t="s">
        <v>387</v>
      </c>
      <c r="D51" s="0" t="s">
        <v>318</v>
      </c>
      <c r="F51" s="0" t="s">
        <v>325</v>
      </c>
    </row>
    <row r="52" customFormat="false" ht="15" hidden="false" customHeight="false" outlineLevel="0" collapsed="false">
      <c r="A52" s="0" t="n">
        <v>51</v>
      </c>
      <c r="B52" s="0" t="s">
        <v>45</v>
      </c>
      <c r="C52" s="0" t="s">
        <v>381</v>
      </c>
      <c r="D52" s="0" t="s">
        <v>382</v>
      </c>
      <c r="F52" s="0" t="s">
        <v>323</v>
      </c>
    </row>
    <row r="53" customFormat="false" ht="15" hidden="false" customHeight="false" outlineLevel="0" collapsed="false">
      <c r="A53" s="0" t="n">
        <v>52</v>
      </c>
      <c r="B53" s="0" t="s">
        <v>45</v>
      </c>
      <c r="C53" s="0" t="s">
        <v>383</v>
      </c>
      <c r="D53" s="0" t="s">
        <v>384</v>
      </c>
      <c r="F53" s="0" t="s">
        <v>325</v>
      </c>
    </row>
    <row r="54" customFormat="false" ht="15" hidden="false" customHeight="false" outlineLevel="0" collapsed="false">
      <c r="A54" s="0" t="n">
        <v>53</v>
      </c>
      <c r="B54" s="0" t="s">
        <v>45</v>
      </c>
      <c r="C54" s="0" t="s">
        <v>321</v>
      </c>
      <c r="D54" s="0" t="s">
        <v>318</v>
      </c>
      <c r="F54" s="0" t="s">
        <v>321</v>
      </c>
    </row>
    <row r="55" customFormat="false" ht="15" hidden="false" customHeight="false" outlineLevel="0" collapsed="false">
      <c r="A55" s="0" t="n">
        <v>54</v>
      </c>
      <c r="B55" s="0" t="s">
        <v>45</v>
      </c>
      <c r="C55" s="0" t="s">
        <v>388</v>
      </c>
      <c r="D55" s="0" t="s">
        <v>318</v>
      </c>
      <c r="F55" s="0" t="s">
        <v>389</v>
      </c>
    </row>
    <row r="56" customFormat="false" ht="15" hidden="false" customHeight="false" outlineLevel="0" collapsed="false">
      <c r="A56" s="0" t="n">
        <v>55</v>
      </c>
      <c r="B56" s="0" t="s">
        <v>49</v>
      </c>
      <c r="C56" s="0" t="s">
        <v>390</v>
      </c>
      <c r="D56" s="0" t="s">
        <v>318</v>
      </c>
      <c r="F56" s="0" t="s">
        <v>330</v>
      </c>
    </row>
    <row r="57" customFormat="false" ht="15" hidden="false" customHeight="false" outlineLevel="0" collapsed="false">
      <c r="A57" s="0" t="n">
        <v>56</v>
      </c>
      <c r="B57" s="0" t="s">
        <v>49</v>
      </c>
      <c r="C57" s="0" t="s">
        <v>391</v>
      </c>
      <c r="D57" s="0" t="s">
        <v>318</v>
      </c>
    </row>
    <row r="58" customFormat="false" ht="15" hidden="false" customHeight="false" outlineLevel="0" collapsed="false">
      <c r="A58" s="0" t="n">
        <v>57</v>
      </c>
      <c r="B58" s="0" t="s">
        <v>49</v>
      </c>
      <c r="C58" s="0" t="s">
        <v>392</v>
      </c>
      <c r="D58" s="0" t="s">
        <v>318</v>
      </c>
      <c r="F58" s="0" t="s">
        <v>393</v>
      </c>
    </row>
    <row r="59" customFormat="false" ht="15" hidden="false" customHeight="false" outlineLevel="0" collapsed="false">
      <c r="A59" s="0" t="n">
        <v>58</v>
      </c>
      <c r="B59" s="0" t="s">
        <v>49</v>
      </c>
      <c r="C59" s="0" t="s">
        <v>394</v>
      </c>
      <c r="D59" s="0" t="s">
        <v>318</v>
      </c>
    </row>
    <row r="60" customFormat="false" ht="15" hidden="false" customHeight="false" outlineLevel="0" collapsed="false">
      <c r="A60" s="0" t="n">
        <v>59</v>
      </c>
      <c r="B60" s="0" t="s">
        <v>52</v>
      </c>
      <c r="C60" s="0" t="s">
        <v>390</v>
      </c>
      <c r="D60" s="0" t="s">
        <v>318</v>
      </c>
      <c r="F60" s="0" t="s">
        <v>330</v>
      </c>
    </row>
    <row r="61" customFormat="false" ht="15" hidden="false" customHeight="false" outlineLevel="0" collapsed="false">
      <c r="A61" s="0" t="n">
        <v>60</v>
      </c>
      <c r="B61" s="0" t="s">
        <v>52</v>
      </c>
      <c r="C61" s="0" t="s">
        <v>391</v>
      </c>
      <c r="D61" s="0" t="s">
        <v>318</v>
      </c>
    </row>
    <row r="62" customFormat="false" ht="15" hidden="false" customHeight="false" outlineLevel="0" collapsed="false">
      <c r="A62" s="0" t="n">
        <v>61</v>
      </c>
      <c r="B62" s="0" t="s">
        <v>52</v>
      </c>
      <c r="C62" s="0" t="s">
        <v>392</v>
      </c>
      <c r="D62" s="0" t="s">
        <v>318</v>
      </c>
      <c r="F62" s="0" t="s">
        <v>393</v>
      </c>
    </row>
    <row r="63" customFormat="false" ht="15" hidden="false" customHeight="false" outlineLevel="0" collapsed="false">
      <c r="A63" s="0" t="n">
        <v>62</v>
      </c>
      <c r="B63" s="0" t="s">
        <v>52</v>
      </c>
      <c r="C63" s="0" t="s">
        <v>394</v>
      </c>
      <c r="D63" s="0" t="s">
        <v>318</v>
      </c>
    </row>
    <row r="64" customFormat="false" ht="15" hidden="false" customHeight="false" outlineLevel="0" collapsed="false">
      <c r="A64" s="0" t="n">
        <v>63</v>
      </c>
      <c r="B64" s="0" t="s">
        <v>55</v>
      </c>
      <c r="C64" s="0" t="s">
        <v>395</v>
      </c>
      <c r="D64" s="0" t="s">
        <v>318</v>
      </c>
      <c r="F64" s="0" t="s">
        <v>396</v>
      </c>
    </row>
    <row r="65" customFormat="false" ht="15" hidden="false" customHeight="false" outlineLevel="0" collapsed="false">
      <c r="A65" s="0" t="n">
        <v>64</v>
      </c>
      <c r="B65" s="0" t="s">
        <v>55</v>
      </c>
      <c r="C65" s="0" t="s">
        <v>320</v>
      </c>
      <c r="D65" s="0" t="s">
        <v>318</v>
      </c>
      <c r="F65" s="0" t="s">
        <v>321</v>
      </c>
    </row>
    <row r="66" customFormat="false" ht="15" hidden="false" customHeight="false" outlineLevel="0" collapsed="false">
      <c r="A66" s="0" t="n">
        <v>65</v>
      </c>
      <c r="B66" s="0" t="s">
        <v>55</v>
      </c>
      <c r="C66" s="0" t="s">
        <v>397</v>
      </c>
      <c r="D66" s="0" t="s">
        <v>318</v>
      </c>
    </row>
    <row r="67" customFormat="false" ht="15" hidden="false" customHeight="false" outlineLevel="0" collapsed="false">
      <c r="A67" s="0" t="n">
        <v>66</v>
      </c>
      <c r="B67" s="0" t="s">
        <v>60</v>
      </c>
      <c r="C67" s="0" t="s">
        <v>398</v>
      </c>
      <c r="D67" s="0" t="s">
        <v>399</v>
      </c>
    </row>
    <row r="68" customFormat="false" ht="15" hidden="false" customHeight="false" outlineLevel="0" collapsed="false">
      <c r="A68" s="0" t="n">
        <v>67</v>
      </c>
      <c r="B68" s="0" t="s">
        <v>60</v>
      </c>
      <c r="C68" s="0" t="s">
        <v>400</v>
      </c>
      <c r="D68" s="0" t="s">
        <v>401</v>
      </c>
    </row>
    <row r="69" customFormat="false" ht="15" hidden="false" customHeight="false" outlineLevel="0" collapsed="false">
      <c r="A69" s="0" t="n">
        <v>68</v>
      </c>
      <c r="B69" s="0" t="s">
        <v>60</v>
      </c>
      <c r="C69" s="0" t="s">
        <v>402</v>
      </c>
      <c r="D69" s="0" t="s">
        <v>403</v>
      </c>
    </row>
    <row r="70" customFormat="false" ht="15" hidden="false" customHeight="false" outlineLevel="0" collapsed="false">
      <c r="A70" s="0" t="n">
        <v>69</v>
      </c>
      <c r="B70" s="0" t="s">
        <v>60</v>
      </c>
      <c r="C70" s="0" t="s">
        <v>404</v>
      </c>
      <c r="D70" s="0" t="s">
        <v>405</v>
      </c>
    </row>
    <row r="71" customFormat="false" ht="15" hidden="false" customHeight="false" outlineLevel="0" collapsed="false">
      <c r="A71" s="0" t="n">
        <v>70</v>
      </c>
      <c r="B71" s="0" t="s">
        <v>60</v>
      </c>
      <c r="C71" s="0" t="s">
        <v>406</v>
      </c>
      <c r="D71" s="0" t="s">
        <v>318</v>
      </c>
      <c r="F71" s="0" t="s">
        <v>407</v>
      </c>
    </row>
    <row r="72" customFormat="false" ht="15" hidden="false" customHeight="false" outlineLevel="0" collapsed="false">
      <c r="A72" s="0" t="n">
        <v>71</v>
      </c>
      <c r="B72" s="0" t="s">
        <v>63</v>
      </c>
      <c r="C72" s="0" t="s">
        <v>381</v>
      </c>
      <c r="D72" s="0" t="s">
        <v>382</v>
      </c>
      <c r="F72" s="0" t="s">
        <v>323</v>
      </c>
    </row>
    <row r="73" customFormat="false" ht="15" hidden="false" customHeight="false" outlineLevel="0" collapsed="false">
      <c r="A73" s="0" t="n">
        <v>72</v>
      </c>
      <c r="B73" s="0" t="s">
        <v>63</v>
      </c>
      <c r="C73" s="0" t="s">
        <v>383</v>
      </c>
      <c r="D73" s="0" t="s">
        <v>384</v>
      </c>
      <c r="F73" s="0" t="s">
        <v>325</v>
      </c>
    </row>
    <row r="74" customFormat="false" ht="15" hidden="false" customHeight="false" outlineLevel="0" collapsed="false">
      <c r="A74" s="0" t="n">
        <v>73</v>
      </c>
      <c r="B74" s="0" t="s">
        <v>63</v>
      </c>
      <c r="C74" s="0" t="s">
        <v>408</v>
      </c>
      <c r="D74" s="0" t="s">
        <v>409</v>
      </c>
      <c r="F74" s="0" t="s">
        <v>410</v>
      </c>
    </row>
    <row r="75" customFormat="false" ht="15" hidden="false" customHeight="false" outlineLevel="0" collapsed="false">
      <c r="A75" s="0" t="n">
        <v>74</v>
      </c>
      <c r="B75" s="0" t="s">
        <v>63</v>
      </c>
      <c r="C75" s="0" t="s">
        <v>411</v>
      </c>
      <c r="D75" s="0" t="s">
        <v>318</v>
      </c>
      <c r="F75" s="0" t="s">
        <v>412</v>
      </c>
    </row>
    <row r="76" customFormat="false" ht="15" hidden="false" customHeight="false" outlineLevel="0" collapsed="false">
      <c r="A76" s="0" t="n">
        <v>75</v>
      </c>
      <c r="B76" s="0" t="s">
        <v>66</v>
      </c>
      <c r="C76" s="0" t="s">
        <v>352</v>
      </c>
      <c r="D76" s="0" t="s">
        <v>353</v>
      </c>
      <c r="F76" s="0" t="s">
        <v>323</v>
      </c>
    </row>
    <row r="77" customFormat="false" ht="15" hidden="false" customHeight="false" outlineLevel="0" collapsed="false">
      <c r="A77" s="0" t="n">
        <v>76</v>
      </c>
      <c r="B77" s="0" t="s">
        <v>66</v>
      </c>
      <c r="C77" s="0" t="s">
        <v>354</v>
      </c>
      <c r="D77" s="0" t="s">
        <v>355</v>
      </c>
      <c r="F77" s="0" t="s">
        <v>325</v>
      </c>
    </row>
    <row r="78" customFormat="false" ht="15" hidden="false" customHeight="false" outlineLevel="0" collapsed="false">
      <c r="A78" s="0" t="n">
        <v>77</v>
      </c>
      <c r="B78" s="0" t="s">
        <v>66</v>
      </c>
      <c r="C78" s="0" t="s">
        <v>413</v>
      </c>
      <c r="D78" s="0" t="s">
        <v>414</v>
      </c>
      <c r="F78" s="0" t="s">
        <v>415</v>
      </c>
    </row>
    <row r="79" customFormat="false" ht="15" hidden="false" customHeight="false" outlineLevel="0" collapsed="false">
      <c r="A79" s="0" t="n">
        <v>78</v>
      </c>
      <c r="B79" s="0" t="s">
        <v>66</v>
      </c>
      <c r="C79" s="0" t="s">
        <v>358</v>
      </c>
      <c r="D79" s="0" t="s">
        <v>359</v>
      </c>
      <c r="F79" s="0" t="s">
        <v>331</v>
      </c>
    </row>
    <row r="80" customFormat="false" ht="15" hidden="false" customHeight="false" outlineLevel="0" collapsed="false">
      <c r="A80" s="0" t="n">
        <v>79</v>
      </c>
      <c r="B80" s="0" t="s">
        <v>66</v>
      </c>
      <c r="C80" s="0" t="s">
        <v>416</v>
      </c>
      <c r="D80" s="0" t="s">
        <v>417</v>
      </c>
      <c r="F80" s="0" t="s">
        <v>396</v>
      </c>
    </row>
    <row r="81" customFormat="false" ht="15" hidden="false" customHeight="false" outlineLevel="0" collapsed="false">
      <c r="A81" s="0" t="n">
        <v>80</v>
      </c>
      <c r="B81" s="0" t="s">
        <v>66</v>
      </c>
      <c r="C81" s="0" t="s">
        <v>418</v>
      </c>
      <c r="D81" s="0" t="s">
        <v>318</v>
      </c>
      <c r="F81" s="0" t="s">
        <v>419</v>
      </c>
    </row>
    <row r="82" customFormat="false" ht="15" hidden="false" customHeight="false" outlineLevel="0" collapsed="false">
      <c r="A82" s="0" t="n">
        <v>81</v>
      </c>
      <c r="B82" s="0" t="s">
        <v>69</v>
      </c>
      <c r="C82" s="0" t="s">
        <v>381</v>
      </c>
      <c r="D82" s="0" t="s">
        <v>382</v>
      </c>
      <c r="F82" s="0" t="s">
        <v>323</v>
      </c>
    </row>
    <row r="83" customFormat="false" ht="15" hidden="false" customHeight="false" outlineLevel="0" collapsed="false">
      <c r="A83" s="0" t="n">
        <v>82</v>
      </c>
      <c r="B83" s="0" t="s">
        <v>69</v>
      </c>
      <c r="C83" s="0" t="s">
        <v>383</v>
      </c>
      <c r="D83" s="0" t="s">
        <v>384</v>
      </c>
      <c r="F83" s="0" t="s">
        <v>325</v>
      </c>
    </row>
    <row r="84" customFormat="false" ht="15" hidden="false" customHeight="false" outlineLevel="0" collapsed="false">
      <c r="A84" s="0" t="n">
        <v>83</v>
      </c>
      <c r="B84" s="0" t="s">
        <v>69</v>
      </c>
      <c r="C84" s="0" t="s">
        <v>420</v>
      </c>
      <c r="D84" s="0" t="s">
        <v>318</v>
      </c>
      <c r="F84" s="0" t="s">
        <v>421</v>
      </c>
    </row>
    <row r="85" customFormat="false" ht="15" hidden="false" customHeight="false" outlineLevel="0" collapsed="false">
      <c r="A85" s="0" t="n">
        <v>84</v>
      </c>
      <c r="B85" s="0" t="s">
        <v>72</v>
      </c>
      <c r="C85" s="0" t="s">
        <v>364</v>
      </c>
      <c r="D85" s="0" t="s">
        <v>365</v>
      </c>
      <c r="F85" s="0" t="s">
        <v>323</v>
      </c>
    </row>
    <row r="86" customFormat="false" ht="15" hidden="false" customHeight="false" outlineLevel="0" collapsed="false">
      <c r="A86" s="0" t="n">
        <v>85</v>
      </c>
      <c r="B86" s="0" t="s">
        <v>72</v>
      </c>
      <c r="C86" s="0" t="s">
        <v>366</v>
      </c>
      <c r="D86" s="0" t="s">
        <v>367</v>
      </c>
      <c r="F86" s="0" t="s">
        <v>325</v>
      </c>
    </row>
    <row r="87" customFormat="false" ht="15" hidden="false" customHeight="false" outlineLevel="0" collapsed="false">
      <c r="A87" s="0" t="n">
        <v>86</v>
      </c>
      <c r="B87" s="0" t="s">
        <v>72</v>
      </c>
      <c r="C87" s="0" t="s">
        <v>368</v>
      </c>
      <c r="D87" s="0" t="s">
        <v>369</v>
      </c>
      <c r="F87" s="0" t="s">
        <v>345</v>
      </c>
    </row>
    <row r="88" customFormat="false" ht="15" hidden="false" customHeight="false" outlineLevel="0" collapsed="false">
      <c r="A88" s="0" t="n">
        <v>87</v>
      </c>
      <c r="B88" s="0" t="s">
        <v>72</v>
      </c>
      <c r="C88" s="0" t="s">
        <v>370</v>
      </c>
      <c r="D88" s="0" t="s">
        <v>371</v>
      </c>
      <c r="F88" s="0" t="s">
        <v>331</v>
      </c>
    </row>
    <row r="89" customFormat="false" ht="15" hidden="false" customHeight="false" outlineLevel="0" collapsed="false">
      <c r="A89" s="0" t="n">
        <v>88</v>
      </c>
      <c r="B89" s="0" t="s">
        <v>72</v>
      </c>
      <c r="C89" s="0" t="s">
        <v>422</v>
      </c>
      <c r="D89" s="0" t="s">
        <v>423</v>
      </c>
      <c r="F89" s="0" t="s">
        <v>330</v>
      </c>
    </row>
    <row r="90" customFormat="false" ht="15" hidden="false" customHeight="false" outlineLevel="0" collapsed="false">
      <c r="A90" s="0" t="n">
        <v>89</v>
      </c>
      <c r="B90" s="0" t="s">
        <v>72</v>
      </c>
      <c r="C90" s="0" t="s">
        <v>424</v>
      </c>
      <c r="D90" s="0" t="s">
        <v>425</v>
      </c>
      <c r="F90" s="0" t="s">
        <v>325</v>
      </c>
    </row>
    <row r="91" customFormat="false" ht="15" hidden="false" customHeight="false" outlineLevel="0" collapsed="false">
      <c r="A91" s="0" t="n">
        <v>90</v>
      </c>
      <c r="B91" s="0" t="s">
        <v>72</v>
      </c>
      <c r="C91" s="0" t="s">
        <v>426</v>
      </c>
      <c r="D91" s="0" t="s">
        <v>318</v>
      </c>
      <c r="F91" s="0" t="s">
        <v>427</v>
      </c>
    </row>
    <row r="92" customFormat="false" ht="15" hidden="false" customHeight="false" outlineLevel="0" collapsed="false">
      <c r="A92" s="0" t="n">
        <v>91</v>
      </c>
      <c r="B92" s="0" t="s">
        <v>76</v>
      </c>
      <c r="C92" s="0" t="s">
        <v>428</v>
      </c>
      <c r="D92" s="0" t="s">
        <v>318</v>
      </c>
      <c r="F92" s="0" t="s">
        <v>339</v>
      </c>
    </row>
    <row r="93" customFormat="false" ht="15" hidden="false" customHeight="false" outlineLevel="0" collapsed="false">
      <c r="A93" s="0" t="n">
        <v>92</v>
      </c>
      <c r="B93" s="0" t="s">
        <v>76</v>
      </c>
      <c r="C93" s="0" t="s">
        <v>429</v>
      </c>
      <c r="D93" s="0" t="s">
        <v>318</v>
      </c>
      <c r="F93" s="0" t="s">
        <v>410</v>
      </c>
    </row>
    <row r="94" customFormat="false" ht="15" hidden="false" customHeight="false" outlineLevel="0" collapsed="false">
      <c r="A94" s="0" t="n">
        <v>93</v>
      </c>
      <c r="B94" s="0" t="s">
        <v>76</v>
      </c>
      <c r="C94" s="0" t="s">
        <v>430</v>
      </c>
      <c r="D94" s="0" t="s">
        <v>318</v>
      </c>
      <c r="F94" s="0" t="s">
        <v>412</v>
      </c>
    </row>
    <row r="95" customFormat="false" ht="15" hidden="false" customHeight="false" outlineLevel="0" collapsed="false">
      <c r="A95" s="0" t="n">
        <v>94</v>
      </c>
      <c r="B95" s="0" t="s">
        <v>79</v>
      </c>
      <c r="C95" s="0" t="s">
        <v>431</v>
      </c>
      <c r="D95" s="0" t="s">
        <v>432</v>
      </c>
    </row>
    <row r="96" customFormat="false" ht="15" hidden="false" customHeight="false" outlineLevel="0" collapsed="false">
      <c r="A96" s="0" t="n">
        <v>95</v>
      </c>
      <c r="B96" s="0" t="s">
        <v>79</v>
      </c>
      <c r="C96" s="0" t="s">
        <v>433</v>
      </c>
      <c r="D96" s="0" t="s">
        <v>318</v>
      </c>
      <c r="F96" s="0" t="s">
        <v>434</v>
      </c>
    </row>
    <row r="97" customFormat="false" ht="15" hidden="false" customHeight="false" outlineLevel="0" collapsed="false">
      <c r="A97" s="0" t="n">
        <v>96</v>
      </c>
      <c r="B97" s="0" t="s">
        <v>82</v>
      </c>
      <c r="C97" s="0" t="s">
        <v>435</v>
      </c>
      <c r="D97" s="0" t="s">
        <v>436</v>
      </c>
    </row>
    <row r="98" customFormat="false" ht="15" hidden="false" customHeight="false" outlineLevel="0" collapsed="false">
      <c r="A98" s="0" t="n">
        <v>97</v>
      </c>
      <c r="B98" s="0" t="s">
        <v>82</v>
      </c>
      <c r="C98" s="0" t="s">
        <v>437</v>
      </c>
      <c r="D98" s="0" t="s">
        <v>335</v>
      </c>
    </row>
    <row r="99" customFormat="false" ht="15" hidden="false" customHeight="false" outlineLevel="0" collapsed="false">
      <c r="A99" s="0" t="n">
        <v>98</v>
      </c>
      <c r="B99" s="0" t="s">
        <v>82</v>
      </c>
      <c r="C99" s="0" t="s">
        <v>437</v>
      </c>
      <c r="D99" s="0" t="s">
        <v>438</v>
      </c>
    </row>
    <row r="100" customFormat="false" ht="15" hidden="false" customHeight="false" outlineLevel="0" collapsed="false">
      <c r="A100" s="0" t="n">
        <v>99</v>
      </c>
      <c r="B100" s="0" t="s">
        <v>82</v>
      </c>
      <c r="C100" s="0" t="s">
        <v>331</v>
      </c>
      <c r="D100" s="0" t="s">
        <v>318</v>
      </c>
      <c r="F100" s="0" t="s">
        <v>331</v>
      </c>
    </row>
    <row r="101" customFormat="false" ht="15" hidden="false" customHeight="false" outlineLevel="0" collapsed="false">
      <c r="A101" s="0" t="n">
        <v>100</v>
      </c>
      <c r="B101" s="0" t="s">
        <v>85</v>
      </c>
      <c r="C101" s="0" t="s">
        <v>439</v>
      </c>
      <c r="D101" s="0" t="s">
        <v>318</v>
      </c>
      <c r="F101" s="0" t="s">
        <v>323</v>
      </c>
    </row>
    <row r="102" customFormat="false" ht="15" hidden="false" customHeight="false" outlineLevel="0" collapsed="false">
      <c r="A102" s="0" t="n">
        <v>101</v>
      </c>
      <c r="B102" s="0" t="s">
        <v>85</v>
      </c>
      <c r="C102" s="0" t="s">
        <v>440</v>
      </c>
      <c r="D102" s="0" t="s">
        <v>318</v>
      </c>
      <c r="F102" s="0" t="s">
        <v>441</v>
      </c>
    </row>
    <row r="103" customFormat="false" ht="15" hidden="false" customHeight="false" outlineLevel="0" collapsed="false">
      <c r="A103" s="0" t="n">
        <v>102</v>
      </c>
      <c r="B103" s="0" t="s">
        <v>85</v>
      </c>
      <c r="C103" s="0" t="s">
        <v>442</v>
      </c>
      <c r="D103" s="0" t="s">
        <v>318</v>
      </c>
      <c r="F103" s="0" t="s">
        <v>325</v>
      </c>
    </row>
    <row r="104" customFormat="false" ht="15" hidden="false" customHeight="false" outlineLevel="0" collapsed="false">
      <c r="A104" s="0" t="n">
        <v>103</v>
      </c>
      <c r="B104" s="0" t="s">
        <v>85</v>
      </c>
      <c r="C104" s="0" t="s">
        <v>443</v>
      </c>
      <c r="D104" s="0" t="s">
        <v>318</v>
      </c>
      <c r="F104" s="0" t="s">
        <v>393</v>
      </c>
    </row>
    <row r="105" customFormat="false" ht="15" hidden="false" customHeight="false" outlineLevel="0" collapsed="false">
      <c r="A105" s="0" t="n">
        <v>104</v>
      </c>
      <c r="B105" s="0" t="s">
        <v>89</v>
      </c>
      <c r="C105" s="0" t="s">
        <v>444</v>
      </c>
      <c r="D105" s="0" t="s">
        <v>445</v>
      </c>
      <c r="F105" s="0" t="s">
        <v>323</v>
      </c>
    </row>
    <row r="106" customFormat="false" ht="15" hidden="false" customHeight="false" outlineLevel="0" collapsed="false">
      <c r="A106" s="0" t="n">
        <v>105</v>
      </c>
      <c r="B106" s="0" t="s">
        <v>89</v>
      </c>
      <c r="C106" s="0" t="s">
        <v>446</v>
      </c>
      <c r="D106" s="0" t="s">
        <v>447</v>
      </c>
      <c r="F106" s="0" t="s">
        <v>323</v>
      </c>
    </row>
    <row r="107" customFormat="false" ht="15" hidden="false" customHeight="false" outlineLevel="0" collapsed="false">
      <c r="A107" s="0" t="n">
        <v>106</v>
      </c>
      <c r="B107" s="0" t="s">
        <v>89</v>
      </c>
      <c r="C107" s="0" t="s">
        <v>448</v>
      </c>
      <c r="D107" s="0" t="s">
        <v>318</v>
      </c>
      <c r="F107" s="0" t="s">
        <v>449</v>
      </c>
    </row>
    <row r="108" customFormat="false" ht="15" hidden="false" customHeight="false" outlineLevel="0" collapsed="false">
      <c r="A108" s="0" t="n">
        <v>107</v>
      </c>
      <c r="B108" s="0" t="s">
        <v>92</v>
      </c>
      <c r="C108" s="0" t="s">
        <v>450</v>
      </c>
      <c r="D108" s="0" t="s">
        <v>451</v>
      </c>
    </row>
    <row r="109" customFormat="false" ht="15" hidden="false" customHeight="false" outlineLevel="0" collapsed="false">
      <c r="A109" s="0" t="n">
        <v>108</v>
      </c>
      <c r="B109" s="0" t="s">
        <v>92</v>
      </c>
      <c r="C109" s="0" t="s">
        <v>452</v>
      </c>
      <c r="D109" s="0" t="s">
        <v>318</v>
      </c>
      <c r="F109" s="0" t="s">
        <v>339</v>
      </c>
    </row>
    <row r="110" customFormat="false" ht="15" hidden="false" customHeight="false" outlineLevel="0" collapsed="false">
      <c r="A110" s="0" t="n">
        <v>109</v>
      </c>
      <c r="B110" s="0" t="s">
        <v>92</v>
      </c>
      <c r="C110" s="0" t="s">
        <v>453</v>
      </c>
      <c r="D110" s="0" t="s">
        <v>318</v>
      </c>
      <c r="F110" s="0" t="s">
        <v>415</v>
      </c>
    </row>
    <row r="111" customFormat="false" ht="15" hidden="false" customHeight="false" outlineLevel="0" collapsed="false">
      <c r="A111" s="0" t="n">
        <v>110</v>
      </c>
      <c r="B111" s="0" t="s">
        <v>92</v>
      </c>
      <c r="C111" s="0" t="s">
        <v>331</v>
      </c>
      <c r="D111" s="0" t="s">
        <v>318</v>
      </c>
      <c r="F111" s="0" t="s">
        <v>331</v>
      </c>
    </row>
    <row r="112" customFormat="false" ht="15" hidden="false" customHeight="false" outlineLevel="0" collapsed="false">
      <c r="A112" s="0" t="n">
        <v>111</v>
      </c>
      <c r="B112" s="0" t="s">
        <v>95</v>
      </c>
      <c r="C112" s="0" t="s">
        <v>454</v>
      </c>
      <c r="D112" s="0" t="s">
        <v>455</v>
      </c>
    </row>
    <row r="113" customFormat="false" ht="15" hidden="false" customHeight="false" outlineLevel="0" collapsed="false">
      <c r="A113" s="0" t="n">
        <v>112</v>
      </c>
      <c r="B113" s="0" t="s">
        <v>95</v>
      </c>
      <c r="C113" s="0" t="s">
        <v>456</v>
      </c>
      <c r="D113" s="0" t="s">
        <v>318</v>
      </c>
      <c r="F113" s="0" t="s">
        <v>457</v>
      </c>
    </row>
    <row r="114" customFormat="false" ht="15" hidden="false" customHeight="false" outlineLevel="0" collapsed="false">
      <c r="A114" s="0" t="n">
        <v>113</v>
      </c>
      <c r="B114" s="0" t="s">
        <v>98</v>
      </c>
      <c r="C114" s="0" t="s">
        <v>458</v>
      </c>
      <c r="D114" s="0" t="s">
        <v>318</v>
      </c>
      <c r="F114" s="0" t="s">
        <v>459</v>
      </c>
    </row>
    <row r="115" customFormat="false" ht="15" hidden="false" customHeight="false" outlineLevel="0" collapsed="false">
      <c r="A115" s="0" t="n">
        <v>114</v>
      </c>
      <c r="B115" s="0" t="s">
        <v>98</v>
      </c>
      <c r="C115" s="0" t="s">
        <v>396</v>
      </c>
      <c r="D115" s="0" t="s">
        <v>318</v>
      </c>
      <c r="F115" s="0" t="s">
        <v>396</v>
      </c>
    </row>
    <row r="116" customFormat="false" ht="15" hidden="false" customHeight="false" outlineLevel="0" collapsed="false">
      <c r="A116" s="0" t="n">
        <v>115</v>
      </c>
      <c r="B116" s="0" t="s">
        <v>98</v>
      </c>
      <c r="C116" s="0" t="s">
        <v>460</v>
      </c>
      <c r="D116" s="0" t="s">
        <v>318</v>
      </c>
      <c r="F116" s="0" t="s">
        <v>321</v>
      </c>
    </row>
    <row r="117" customFormat="false" ht="15" hidden="false" customHeight="false" outlineLevel="0" collapsed="false">
      <c r="A117" s="0" t="n">
        <v>116</v>
      </c>
      <c r="B117" s="0" t="s">
        <v>101</v>
      </c>
      <c r="C117" s="0" t="s">
        <v>461</v>
      </c>
      <c r="D117" s="0" t="s">
        <v>462</v>
      </c>
      <c r="F117" s="0" t="s">
        <v>323</v>
      </c>
    </row>
    <row r="118" customFormat="false" ht="15" hidden="false" customHeight="false" outlineLevel="0" collapsed="false">
      <c r="A118" s="0" t="n">
        <v>117</v>
      </c>
      <c r="B118" s="0" t="s">
        <v>101</v>
      </c>
      <c r="C118" s="0" t="s">
        <v>463</v>
      </c>
      <c r="D118" s="0" t="s">
        <v>318</v>
      </c>
      <c r="F118" s="0" t="s">
        <v>464</v>
      </c>
    </row>
    <row r="119" customFormat="false" ht="15" hidden="false" customHeight="false" outlineLevel="0" collapsed="false">
      <c r="A119" s="0" t="n">
        <v>118</v>
      </c>
      <c r="B119" s="0" t="s">
        <v>105</v>
      </c>
      <c r="C119" s="0" t="s">
        <v>381</v>
      </c>
      <c r="D119" s="0" t="s">
        <v>382</v>
      </c>
      <c r="F119" s="0" t="s">
        <v>323</v>
      </c>
    </row>
    <row r="120" customFormat="false" ht="15" hidden="false" customHeight="false" outlineLevel="0" collapsed="false">
      <c r="A120" s="0" t="n">
        <v>119</v>
      </c>
      <c r="B120" s="0" t="s">
        <v>105</v>
      </c>
      <c r="C120" s="0" t="s">
        <v>383</v>
      </c>
      <c r="D120" s="0" t="s">
        <v>384</v>
      </c>
      <c r="F120" s="0" t="s">
        <v>325</v>
      </c>
    </row>
    <row r="121" customFormat="false" ht="15" hidden="false" customHeight="false" outlineLevel="0" collapsed="false">
      <c r="A121" s="0" t="n">
        <v>120</v>
      </c>
      <c r="B121" s="0" t="s">
        <v>105</v>
      </c>
      <c r="C121" s="0" t="s">
        <v>465</v>
      </c>
      <c r="D121" s="0" t="s">
        <v>466</v>
      </c>
    </row>
    <row r="122" customFormat="false" ht="15" hidden="false" customHeight="false" outlineLevel="0" collapsed="false">
      <c r="A122" s="0" t="n">
        <v>121</v>
      </c>
      <c r="B122" s="0" t="s">
        <v>108</v>
      </c>
      <c r="C122" s="0" t="s">
        <v>381</v>
      </c>
      <c r="D122" s="0" t="s">
        <v>382</v>
      </c>
      <c r="F122" s="0" t="s">
        <v>323</v>
      </c>
    </row>
    <row r="123" customFormat="false" ht="15" hidden="false" customHeight="false" outlineLevel="0" collapsed="false">
      <c r="A123" s="0" t="n">
        <v>122</v>
      </c>
      <c r="B123" s="0" t="s">
        <v>108</v>
      </c>
      <c r="C123" s="0" t="s">
        <v>467</v>
      </c>
      <c r="D123" s="0" t="s">
        <v>318</v>
      </c>
      <c r="F123" s="0" t="s">
        <v>468</v>
      </c>
    </row>
    <row r="124" customFormat="false" ht="15" hidden="false" customHeight="false" outlineLevel="0" collapsed="false">
      <c r="A124" s="0" t="n">
        <v>123</v>
      </c>
      <c r="B124" s="0" t="s">
        <v>111</v>
      </c>
      <c r="C124" s="0" t="s">
        <v>469</v>
      </c>
      <c r="D124" s="0" t="s">
        <v>318</v>
      </c>
      <c r="F124" s="0" t="s">
        <v>325</v>
      </c>
    </row>
    <row r="125" customFormat="false" ht="15" hidden="false" customHeight="false" outlineLevel="0" collapsed="false">
      <c r="A125" s="0" t="n">
        <v>124</v>
      </c>
      <c r="B125" s="0" t="s">
        <v>111</v>
      </c>
      <c r="C125" s="0" t="s">
        <v>470</v>
      </c>
      <c r="D125" s="0" t="s">
        <v>318</v>
      </c>
    </row>
    <row r="126" customFormat="false" ht="15" hidden="false" customHeight="false" outlineLevel="0" collapsed="false">
      <c r="A126" s="0" t="n">
        <v>125</v>
      </c>
      <c r="B126" s="0" t="s">
        <v>114</v>
      </c>
      <c r="C126" s="0" t="s">
        <v>471</v>
      </c>
      <c r="D126" s="0" t="s">
        <v>472</v>
      </c>
    </row>
    <row r="127" customFormat="false" ht="15" hidden="false" customHeight="false" outlineLevel="0" collapsed="false">
      <c r="A127" s="0" t="n">
        <v>126</v>
      </c>
      <c r="B127" s="0" t="s">
        <v>114</v>
      </c>
      <c r="C127" s="0" t="s">
        <v>473</v>
      </c>
      <c r="D127" s="0" t="s">
        <v>318</v>
      </c>
      <c r="F127" s="0" t="s">
        <v>328</v>
      </c>
    </row>
    <row r="128" customFormat="false" ht="15" hidden="false" customHeight="false" outlineLevel="0" collapsed="false">
      <c r="A128" s="0" t="n">
        <v>127</v>
      </c>
      <c r="B128" s="0" t="s">
        <v>117</v>
      </c>
      <c r="C128" s="0" t="s">
        <v>474</v>
      </c>
      <c r="D128" s="0" t="s">
        <v>318</v>
      </c>
      <c r="F128" s="0" t="s">
        <v>321</v>
      </c>
    </row>
    <row r="129" customFormat="false" ht="15" hidden="false" customHeight="false" outlineLevel="0" collapsed="false">
      <c r="A129" s="0" t="n">
        <v>128</v>
      </c>
      <c r="B129" s="0" t="s">
        <v>117</v>
      </c>
      <c r="C129" s="0" t="s">
        <v>338</v>
      </c>
      <c r="D129" s="0" t="s">
        <v>318</v>
      </c>
      <c r="F129" s="0" t="s">
        <v>339</v>
      </c>
    </row>
    <row r="130" customFormat="false" ht="15" hidden="false" customHeight="false" outlineLevel="0" collapsed="false">
      <c r="A130" s="0" t="n">
        <v>129</v>
      </c>
      <c r="B130" s="0" t="s">
        <v>117</v>
      </c>
      <c r="C130" s="0" t="s">
        <v>475</v>
      </c>
      <c r="D130" s="0" t="s">
        <v>318</v>
      </c>
      <c r="F130" s="0" t="s">
        <v>476</v>
      </c>
    </row>
    <row r="131" customFormat="false" ht="15" hidden="false" customHeight="false" outlineLevel="0" collapsed="false">
      <c r="A131" s="0" t="n">
        <v>130</v>
      </c>
      <c r="B131" s="0" t="s">
        <v>120</v>
      </c>
      <c r="C131" s="0" t="s">
        <v>338</v>
      </c>
      <c r="D131" s="0" t="s">
        <v>318</v>
      </c>
      <c r="F131" s="0" t="s">
        <v>339</v>
      </c>
    </row>
    <row r="132" customFormat="false" ht="15" hidden="false" customHeight="false" outlineLevel="0" collapsed="false">
      <c r="A132" s="0" t="n">
        <v>131</v>
      </c>
      <c r="B132" s="0" t="s">
        <v>120</v>
      </c>
      <c r="C132" s="0" t="s">
        <v>477</v>
      </c>
      <c r="D132" s="0" t="s">
        <v>318</v>
      </c>
      <c r="F132" s="0" t="s">
        <v>321</v>
      </c>
    </row>
    <row r="133" customFormat="false" ht="15" hidden="false" customHeight="false" outlineLevel="0" collapsed="false">
      <c r="A133" s="0" t="n">
        <v>132</v>
      </c>
      <c r="B133" s="0" t="s">
        <v>120</v>
      </c>
      <c r="C133" s="0" t="s">
        <v>478</v>
      </c>
      <c r="D133" s="0" t="s">
        <v>318</v>
      </c>
      <c r="F133" s="0" t="s">
        <v>479</v>
      </c>
    </row>
    <row r="134" customFormat="false" ht="15" hidden="false" customHeight="false" outlineLevel="0" collapsed="false">
      <c r="A134" s="0" t="n">
        <v>133</v>
      </c>
      <c r="B134" s="0" t="s">
        <v>120</v>
      </c>
      <c r="C134" s="0" t="s">
        <v>430</v>
      </c>
      <c r="D134" s="0" t="s">
        <v>318</v>
      </c>
      <c r="F134" s="0" t="s">
        <v>412</v>
      </c>
    </row>
    <row r="135" customFormat="false" ht="15" hidden="false" customHeight="false" outlineLevel="0" collapsed="false">
      <c r="A135" s="0" t="n">
        <v>134</v>
      </c>
      <c r="B135" s="0" t="s">
        <v>123</v>
      </c>
      <c r="C135" s="0" t="s">
        <v>480</v>
      </c>
      <c r="D135" s="0" t="s">
        <v>481</v>
      </c>
    </row>
    <row r="136" customFormat="false" ht="15" hidden="false" customHeight="false" outlineLevel="0" collapsed="false">
      <c r="A136" s="0" t="n">
        <v>135</v>
      </c>
      <c r="B136" s="0" t="s">
        <v>123</v>
      </c>
      <c r="C136" s="0" t="s">
        <v>482</v>
      </c>
      <c r="D136" s="0" t="s">
        <v>483</v>
      </c>
      <c r="F136" s="0" t="s">
        <v>396</v>
      </c>
    </row>
    <row r="137" customFormat="false" ht="15" hidden="false" customHeight="false" outlineLevel="0" collapsed="false">
      <c r="A137" s="0" t="n">
        <v>136</v>
      </c>
      <c r="B137" s="0" t="s">
        <v>123</v>
      </c>
      <c r="C137" s="0" t="s">
        <v>484</v>
      </c>
      <c r="D137" s="0" t="s">
        <v>318</v>
      </c>
      <c r="F137" s="0" t="s">
        <v>339</v>
      </c>
    </row>
    <row r="138" customFormat="false" ht="15" hidden="false" customHeight="false" outlineLevel="0" collapsed="false">
      <c r="A138" s="0" t="n">
        <v>137</v>
      </c>
      <c r="B138" s="0" t="s">
        <v>126</v>
      </c>
      <c r="C138" s="0" t="s">
        <v>485</v>
      </c>
      <c r="D138" s="0" t="s">
        <v>486</v>
      </c>
    </row>
    <row r="139" customFormat="false" ht="15" hidden="false" customHeight="false" outlineLevel="0" collapsed="false">
      <c r="A139" s="0" t="n">
        <v>138</v>
      </c>
      <c r="B139" s="0" t="s">
        <v>126</v>
      </c>
      <c r="C139" s="0" t="s">
        <v>487</v>
      </c>
      <c r="D139" s="0" t="s">
        <v>318</v>
      </c>
      <c r="F139" s="0" t="s">
        <v>488</v>
      </c>
    </row>
    <row r="140" customFormat="false" ht="15" hidden="false" customHeight="false" outlineLevel="0" collapsed="false">
      <c r="A140" s="0" t="n">
        <v>139</v>
      </c>
      <c r="B140" s="0" t="s">
        <v>129</v>
      </c>
      <c r="C140" s="0" t="s">
        <v>489</v>
      </c>
      <c r="D140" s="0" t="s">
        <v>318</v>
      </c>
    </row>
    <row r="141" customFormat="false" ht="15" hidden="false" customHeight="false" outlineLevel="0" collapsed="false">
      <c r="A141" s="0" t="n">
        <v>140</v>
      </c>
      <c r="B141" s="0" t="s">
        <v>133</v>
      </c>
      <c r="C141" s="0" t="s">
        <v>490</v>
      </c>
      <c r="D141" s="0" t="s">
        <v>491</v>
      </c>
      <c r="F141" s="0" t="s">
        <v>321</v>
      </c>
    </row>
    <row r="142" customFormat="false" ht="15" hidden="false" customHeight="false" outlineLevel="0" collapsed="false">
      <c r="A142" s="0" t="n">
        <v>141</v>
      </c>
      <c r="B142" s="0" t="s">
        <v>133</v>
      </c>
      <c r="C142" s="0" t="s">
        <v>492</v>
      </c>
      <c r="D142" s="0" t="s">
        <v>493</v>
      </c>
      <c r="F142" s="0" t="s">
        <v>415</v>
      </c>
    </row>
    <row r="143" customFormat="false" ht="15" hidden="false" customHeight="false" outlineLevel="0" collapsed="false">
      <c r="A143" s="0" t="n">
        <v>142</v>
      </c>
      <c r="B143" s="0" t="s">
        <v>133</v>
      </c>
      <c r="C143" s="0" t="s">
        <v>494</v>
      </c>
      <c r="D143" s="0" t="s">
        <v>318</v>
      </c>
      <c r="F143" s="0" t="s">
        <v>495</v>
      </c>
    </row>
    <row r="144" customFormat="false" ht="15" hidden="false" customHeight="false" outlineLevel="0" collapsed="false">
      <c r="A144" s="0" t="n">
        <v>143</v>
      </c>
      <c r="B144" s="0" t="s">
        <v>133</v>
      </c>
      <c r="C144" s="0" t="s">
        <v>496</v>
      </c>
      <c r="D144" s="0" t="s">
        <v>318</v>
      </c>
      <c r="F144" s="0" t="s">
        <v>479</v>
      </c>
    </row>
    <row r="145" customFormat="false" ht="15" hidden="false" customHeight="false" outlineLevel="0" collapsed="false">
      <c r="A145" s="0" t="n">
        <v>144</v>
      </c>
      <c r="B145" s="0" t="s">
        <v>136</v>
      </c>
      <c r="C145" s="0" t="s">
        <v>381</v>
      </c>
      <c r="D145" s="0" t="s">
        <v>382</v>
      </c>
      <c r="F145" s="0" t="s">
        <v>323</v>
      </c>
    </row>
    <row r="146" customFormat="false" ht="15" hidden="false" customHeight="false" outlineLevel="0" collapsed="false">
      <c r="A146" s="0" t="n">
        <v>145</v>
      </c>
      <c r="B146" s="0" t="s">
        <v>136</v>
      </c>
      <c r="C146" s="0" t="s">
        <v>383</v>
      </c>
      <c r="D146" s="0" t="s">
        <v>384</v>
      </c>
      <c r="F146" s="0" t="s">
        <v>325</v>
      </c>
    </row>
    <row r="147" customFormat="false" ht="15" hidden="false" customHeight="false" outlineLevel="0" collapsed="false">
      <c r="A147" s="0" t="n">
        <v>146</v>
      </c>
      <c r="B147" s="0" t="s">
        <v>136</v>
      </c>
      <c r="C147" s="0" t="s">
        <v>497</v>
      </c>
      <c r="D147" s="0" t="s">
        <v>318</v>
      </c>
      <c r="F147" s="0" t="s">
        <v>498</v>
      </c>
    </row>
    <row r="148" customFormat="false" ht="15" hidden="false" customHeight="false" outlineLevel="0" collapsed="false">
      <c r="A148" s="0" t="n">
        <v>147</v>
      </c>
      <c r="B148" s="0" t="s">
        <v>139</v>
      </c>
      <c r="C148" s="0" t="s">
        <v>499</v>
      </c>
      <c r="D148" s="0" t="s">
        <v>318</v>
      </c>
      <c r="F148" s="0" t="s">
        <v>339</v>
      </c>
    </row>
    <row r="149" customFormat="false" ht="15" hidden="false" customHeight="false" outlineLevel="0" collapsed="false">
      <c r="A149" s="0" t="n">
        <v>148</v>
      </c>
      <c r="B149" s="0" t="s">
        <v>142</v>
      </c>
      <c r="C149" s="0" t="s">
        <v>500</v>
      </c>
      <c r="D149" s="0" t="s">
        <v>501</v>
      </c>
    </row>
    <row r="150" customFormat="false" ht="15" hidden="false" customHeight="false" outlineLevel="0" collapsed="false">
      <c r="A150" s="0" t="n">
        <v>149</v>
      </c>
      <c r="B150" s="0" t="s">
        <v>142</v>
      </c>
      <c r="C150" s="0" t="s">
        <v>502</v>
      </c>
      <c r="D150" s="0" t="s">
        <v>503</v>
      </c>
    </row>
    <row r="151" customFormat="false" ht="15" hidden="false" customHeight="false" outlineLevel="0" collapsed="false">
      <c r="A151" s="0" t="n">
        <v>150</v>
      </c>
      <c r="B151" s="0" t="s">
        <v>142</v>
      </c>
      <c r="C151" s="0" t="s">
        <v>504</v>
      </c>
      <c r="D151" s="0" t="s">
        <v>505</v>
      </c>
    </row>
    <row r="152" customFormat="false" ht="15" hidden="false" customHeight="false" outlineLevel="0" collapsed="false">
      <c r="A152" s="0" t="n">
        <v>151</v>
      </c>
      <c r="B152" s="0" t="s">
        <v>142</v>
      </c>
      <c r="C152" s="0" t="s">
        <v>320</v>
      </c>
      <c r="D152" s="0" t="s">
        <v>318</v>
      </c>
      <c r="F152" s="0" t="s">
        <v>321</v>
      </c>
    </row>
    <row r="153" customFormat="false" ht="15" hidden="false" customHeight="false" outlineLevel="0" collapsed="false">
      <c r="A153" s="0" t="n">
        <v>152</v>
      </c>
      <c r="B153" s="0" t="s">
        <v>145</v>
      </c>
      <c r="C153" s="0" t="s">
        <v>506</v>
      </c>
      <c r="D153" s="0" t="s">
        <v>318</v>
      </c>
      <c r="F153" s="0" t="s">
        <v>507</v>
      </c>
    </row>
    <row r="154" customFormat="false" ht="15" hidden="false" customHeight="false" outlineLevel="0" collapsed="false">
      <c r="A154" s="0" t="n">
        <v>153</v>
      </c>
      <c r="B154" s="0" t="s">
        <v>149</v>
      </c>
      <c r="C154" s="0" t="s">
        <v>508</v>
      </c>
      <c r="D154" s="0" t="s">
        <v>509</v>
      </c>
    </row>
    <row r="155" customFormat="false" ht="15" hidden="false" customHeight="false" outlineLevel="0" collapsed="false">
      <c r="A155" s="0" t="n">
        <v>154</v>
      </c>
      <c r="B155" s="0" t="s">
        <v>149</v>
      </c>
      <c r="C155" s="0" t="s">
        <v>510</v>
      </c>
      <c r="D155" s="0" t="s">
        <v>511</v>
      </c>
      <c r="F155" s="0" t="s">
        <v>512</v>
      </c>
    </row>
    <row r="156" customFormat="false" ht="15" hidden="false" customHeight="false" outlineLevel="0" collapsed="false">
      <c r="A156" s="0" t="n">
        <v>155</v>
      </c>
      <c r="B156" s="0" t="s">
        <v>149</v>
      </c>
      <c r="C156" s="0" t="s">
        <v>513</v>
      </c>
      <c r="D156" s="0" t="s">
        <v>514</v>
      </c>
      <c r="F156" s="0" t="s">
        <v>512</v>
      </c>
    </row>
    <row r="157" customFormat="false" ht="15" hidden="false" customHeight="false" outlineLevel="0" collapsed="false">
      <c r="A157" s="0" t="n">
        <v>156</v>
      </c>
      <c r="B157" s="0" t="s">
        <v>149</v>
      </c>
      <c r="C157" s="0" t="s">
        <v>515</v>
      </c>
      <c r="D157" s="0" t="s">
        <v>516</v>
      </c>
      <c r="F157" s="0" t="s">
        <v>512</v>
      </c>
    </row>
    <row r="158" customFormat="false" ht="15" hidden="false" customHeight="false" outlineLevel="0" collapsed="false">
      <c r="A158" s="0" t="n">
        <v>157</v>
      </c>
      <c r="B158" s="0" t="s">
        <v>149</v>
      </c>
      <c r="C158" s="0" t="s">
        <v>517</v>
      </c>
      <c r="D158" s="0" t="s">
        <v>518</v>
      </c>
      <c r="F158" s="0" t="s">
        <v>512</v>
      </c>
    </row>
    <row r="159" customFormat="false" ht="15" hidden="false" customHeight="false" outlineLevel="0" collapsed="false">
      <c r="A159" s="0" t="n">
        <v>158</v>
      </c>
      <c r="B159" s="0" t="s">
        <v>149</v>
      </c>
      <c r="C159" s="0" t="s">
        <v>519</v>
      </c>
      <c r="D159" s="0" t="s">
        <v>520</v>
      </c>
      <c r="F159" s="0" t="s">
        <v>512</v>
      </c>
    </row>
    <row r="160" customFormat="false" ht="15" hidden="false" customHeight="false" outlineLevel="0" collapsed="false">
      <c r="A160" s="0" t="n">
        <v>159</v>
      </c>
      <c r="B160" s="0" t="s">
        <v>149</v>
      </c>
      <c r="C160" s="0" t="s">
        <v>521</v>
      </c>
      <c r="D160" s="0" t="s">
        <v>522</v>
      </c>
    </row>
    <row r="161" customFormat="false" ht="15" hidden="false" customHeight="false" outlineLevel="0" collapsed="false">
      <c r="A161" s="0" t="n">
        <v>160</v>
      </c>
      <c r="B161" s="0" t="s">
        <v>149</v>
      </c>
      <c r="C161" s="0" t="s">
        <v>523</v>
      </c>
      <c r="D161" s="0" t="s">
        <v>524</v>
      </c>
    </row>
    <row r="162" customFormat="false" ht="15" hidden="false" customHeight="false" outlineLevel="0" collapsed="false">
      <c r="A162" s="0" t="n">
        <v>161</v>
      </c>
      <c r="B162" s="0" t="s">
        <v>149</v>
      </c>
      <c r="C162" s="0" t="s">
        <v>525</v>
      </c>
      <c r="D162" s="0" t="s">
        <v>526</v>
      </c>
      <c r="F162" s="0" t="s">
        <v>331</v>
      </c>
    </row>
    <row r="163" customFormat="false" ht="15" hidden="false" customHeight="false" outlineLevel="0" collapsed="false">
      <c r="A163" s="0" t="n">
        <v>162</v>
      </c>
      <c r="B163" s="0" t="s">
        <v>149</v>
      </c>
      <c r="C163" s="0" t="s">
        <v>527</v>
      </c>
      <c r="D163" s="0" t="s">
        <v>528</v>
      </c>
      <c r="F163" s="0" t="s">
        <v>331</v>
      </c>
    </row>
    <row r="164" customFormat="false" ht="15" hidden="false" customHeight="false" outlineLevel="0" collapsed="false">
      <c r="A164" s="0" t="n">
        <v>163</v>
      </c>
      <c r="B164" s="0" t="s">
        <v>152</v>
      </c>
      <c r="C164" s="0" t="s">
        <v>529</v>
      </c>
      <c r="D164" s="0" t="s">
        <v>318</v>
      </c>
      <c r="F164" s="0" t="s">
        <v>339</v>
      </c>
    </row>
    <row r="165" customFormat="false" ht="15" hidden="false" customHeight="false" outlineLevel="0" collapsed="false">
      <c r="A165" s="0" t="n">
        <v>164</v>
      </c>
      <c r="B165" s="0" t="s">
        <v>152</v>
      </c>
      <c r="C165" s="0" t="s">
        <v>530</v>
      </c>
      <c r="D165" s="0" t="s">
        <v>318</v>
      </c>
      <c r="F165" s="0" t="s">
        <v>421</v>
      </c>
    </row>
    <row r="166" customFormat="false" ht="15" hidden="false" customHeight="false" outlineLevel="0" collapsed="false">
      <c r="A166" s="0" t="n">
        <v>165</v>
      </c>
      <c r="B166" s="0" t="s">
        <v>155</v>
      </c>
      <c r="C166" s="0" t="s">
        <v>531</v>
      </c>
      <c r="D166" s="0" t="s">
        <v>532</v>
      </c>
    </row>
    <row r="167" customFormat="false" ht="15" hidden="false" customHeight="false" outlineLevel="0" collapsed="false">
      <c r="A167" s="0" t="n">
        <v>166</v>
      </c>
      <c r="B167" s="0" t="s">
        <v>155</v>
      </c>
      <c r="C167" s="0" t="s">
        <v>533</v>
      </c>
      <c r="D167" s="0" t="s">
        <v>318</v>
      </c>
      <c r="F167" s="0" t="s">
        <v>507</v>
      </c>
    </row>
    <row r="168" customFormat="false" ht="15" hidden="false" customHeight="false" outlineLevel="0" collapsed="false">
      <c r="A168" s="0" t="n">
        <v>167</v>
      </c>
      <c r="B168" s="0" t="s">
        <v>158</v>
      </c>
      <c r="C168" s="0" t="s">
        <v>534</v>
      </c>
      <c r="D168" s="0" t="s">
        <v>318</v>
      </c>
      <c r="F168" s="0" t="s">
        <v>535</v>
      </c>
    </row>
    <row r="169" customFormat="false" ht="15" hidden="false" customHeight="false" outlineLevel="0" collapsed="false">
      <c r="A169" s="0" t="n">
        <v>168</v>
      </c>
      <c r="B169" s="0" t="s">
        <v>161</v>
      </c>
      <c r="C169" s="0" t="s">
        <v>536</v>
      </c>
      <c r="D169" s="0" t="s">
        <v>537</v>
      </c>
    </row>
    <row r="170" customFormat="false" ht="15" hidden="false" customHeight="false" outlineLevel="0" collapsed="false">
      <c r="A170" s="0" t="n">
        <v>169</v>
      </c>
      <c r="B170" s="0" t="s">
        <v>161</v>
      </c>
      <c r="C170" s="0" t="s">
        <v>538</v>
      </c>
      <c r="D170" s="0" t="s">
        <v>539</v>
      </c>
      <c r="F170" s="0" t="s">
        <v>415</v>
      </c>
    </row>
    <row r="171" customFormat="false" ht="15" hidden="false" customHeight="false" outlineLevel="0" collapsed="false">
      <c r="A171" s="0" t="n">
        <v>170</v>
      </c>
      <c r="B171" s="0" t="s">
        <v>161</v>
      </c>
      <c r="C171" s="0" t="s">
        <v>540</v>
      </c>
      <c r="D171" s="0" t="s">
        <v>541</v>
      </c>
      <c r="F171" s="0" t="s">
        <v>415</v>
      </c>
    </row>
    <row r="172" customFormat="false" ht="15" hidden="false" customHeight="false" outlineLevel="0" collapsed="false">
      <c r="A172" s="0" t="n">
        <v>171</v>
      </c>
      <c r="B172" s="0" t="s">
        <v>161</v>
      </c>
      <c r="C172" s="0" t="s">
        <v>542</v>
      </c>
      <c r="D172" s="0" t="s">
        <v>543</v>
      </c>
      <c r="F172" s="0" t="s">
        <v>415</v>
      </c>
    </row>
    <row r="173" customFormat="false" ht="15" hidden="false" customHeight="false" outlineLevel="0" collapsed="false">
      <c r="A173" s="0" t="n">
        <v>172</v>
      </c>
      <c r="B173" s="0" t="s">
        <v>161</v>
      </c>
      <c r="C173" s="0" t="s">
        <v>544</v>
      </c>
      <c r="D173" s="0" t="s">
        <v>318</v>
      </c>
      <c r="F173" s="0" t="s">
        <v>545</v>
      </c>
    </row>
    <row r="174" customFormat="false" ht="15" hidden="false" customHeight="false" outlineLevel="0" collapsed="false">
      <c r="A174" s="0" t="n">
        <v>173</v>
      </c>
      <c r="B174" s="0" t="s">
        <v>164</v>
      </c>
      <c r="C174" s="0" t="s">
        <v>546</v>
      </c>
      <c r="D174" s="0" t="s">
        <v>547</v>
      </c>
    </row>
    <row r="175" customFormat="false" ht="15" hidden="false" customHeight="false" outlineLevel="0" collapsed="false">
      <c r="A175" s="0" t="n">
        <v>174</v>
      </c>
      <c r="B175" s="0" t="s">
        <v>164</v>
      </c>
      <c r="C175" s="0" t="s">
        <v>548</v>
      </c>
      <c r="D175" s="0" t="s">
        <v>318</v>
      </c>
      <c r="F175" s="0" t="s">
        <v>549</v>
      </c>
    </row>
    <row r="176" customFormat="false" ht="15" hidden="false" customHeight="false" outlineLevel="0" collapsed="false">
      <c r="A176" s="0" t="n">
        <v>175</v>
      </c>
      <c r="B176" s="0" t="s">
        <v>167</v>
      </c>
      <c r="C176" s="0" t="s">
        <v>550</v>
      </c>
      <c r="D176" s="0" t="s">
        <v>551</v>
      </c>
    </row>
    <row r="177" customFormat="false" ht="15" hidden="false" customHeight="false" outlineLevel="0" collapsed="false">
      <c r="A177" s="0" t="n">
        <v>176</v>
      </c>
      <c r="B177" s="0" t="s">
        <v>171</v>
      </c>
      <c r="C177" s="0" t="s">
        <v>552</v>
      </c>
      <c r="D177" s="0" t="s">
        <v>553</v>
      </c>
    </row>
    <row r="178" customFormat="false" ht="15" hidden="false" customHeight="false" outlineLevel="0" collapsed="false">
      <c r="A178" s="0" t="n">
        <v>177</v>
      </c>
      <c r="B178" s="0" t="s">
        <v>171</v>
      </c>
      <c r="C178" s="0" t="s">
        <v>554</v>
      </c>
      <c r="D178" s="0" t="s">
        <v>555</v>
      </c>
    </row>
    <row r="179" customFormat="false" ht="15" hidden="false" customHeight="false" outlineLevel="0" collapsed="false">
      <c r="A179" s="0" t="n">
        <v>178</v>
      </c>
      <c r="B179" s="0" t="s">
        <v>171</v>
      </c>
      <c r="C179" s="0" t="s">
        <v>556</v>
      </c>
      <c r="D179" s="0" t="s">
        <v>347</v>
      </c>
    </row>
    <row r="180" customFormat="false" ht="15" hidden="false" customHeight="false" outlineLevel="0" collapsed="false">
      <c r="A180" s="0" t="n">
        <v>179</v>
      </c>
      <c r="B180" s="0" t="s">
        <v>171</v>
      </c>
      <c r="C180" s="0" t="s">
        <v>557</v>
      </c>
      <c r="D180" s="0" t="s">
        <v>318</v>
      </c>
      <c r="F180" s="0" t="s">
        <v>558</v>
      </c>
    </row>
    <row r="181" customFormat="false" ht="15" hidden="false" customHeight="false" outlineLevel="0" collapsed="false">
      <c r="A181" s="0" t="n">
        <v>180</v>
      </c>
      <c r="B181" s="0" t="s">
        <v>174</v>
      </c>
      <c r="C181" s="0" t="s">
        <v>461</v>
      </c>
      <c r="D181" s="0" t="s">
        <v>462</v>
      </c>
      <c r="F181" s="0" t="s">
        <v>323</v>
      </c>
    </row>
    <row r="182" customFormat="false" ht="15" hidden="false" customHeight="false" outlineLevel="0" collapsed="false">
      <c r="A182" s="0" t="n">
        <v>181</v>
      </c>
      <c r="B182" s="0" t="s">
        <v>174</v>
      </c>
      <c r="C182" s="0" t="s">
        <v>559</v>
      </c>
      <c r="D182" s="0" t="s">
        <v>318</v>
      </c>
    </row>
    <row r="183" customFormat="false" ht="15" hidden="false" customHeight="false" outlineLevel="0" collapsed="false">
      <c r="A183" s="0" t="n">
        <v>182</v>
      </c>
      <c r="B183" s="0" t="s">
        <v>176</v>
      </c>
      <c r="C183" s="0" t="s">
        <v>560</v>
      </c>
      <c r="D183" s="0" t="s">
        <v>318</v>
      </c>
      <c r="F183" s="0" t="s">
        <v>323</v>
      </c>
    </row>
    <row r="184" customFormat="false" ht="15" hidden="false" customHeight="false" outlineLevel="0" collapsed="false">
      <c r="A184" s="0" t="n">
        <v>183</v>
      </c>
      <c r="B184" s="0" t="s">
        <v>176</v>
      </c>
      <c r="C184" s="0" t="s">
        <v>561</v>
      </c>
      <c r="D184" s="0" t="s">
        <v>318</v>
      </c>
      <c r="F184" s="0" t="s">
        <v>396</v>
      </c>
    </row>
    <row r="185" customFormat="false" ht="15" hidden="false" customHeight="false" outlineLevel="0" collapsed="false">
      <c r="A185" s="0" t="n">
        <v>184</v>
      </c>
      <c r="B185" s="0" t="s">
        <v>176</v>
      </c>
      <c r="C185" s="0" t="s">
        <v>562</v>
      </c>
      <c r="D185" s="0" t="s">
        <v>318</v>
      </c>
      <c r="F185" s="0" t="s">
        <v>563</v>
      </c>
    </row>
    <row r="186" customFormat="false" ht="15" hidden="false" customHeight="false" outlineLevel="0" collapsed="false">
      <c r="A186" s="0" t="n">
        <v>185</v>
      </c>
      <c r="B186" s="0" t="s">
        <v>180</v>
      </c>
      <c r="C186" s="0" t="s">
        <v>564</v>
      </c>
      <c r="D186" s="0" t="s">
        <v>318</v>
      </c>
      <c r="F186" s="0" t="s">
        <v>321</v>
      </c>
    </row>
    <row r="187" customFormat="false" ht="15" hidden="false" customHeight="false" outlineLevel="0" collapsed="false">
      <c r="A187" s="0" t="n">
        <v>186</v>
      </c>
      <c r="B187" s="0" t="s">
        <v>180</v>
      </c>
      <c r="C187" s="0" t="s">
        <v>565</v>
      </c>
      <c r="D187" s="0" t="s">
        <v>318</v>
      </c>
      <c r="F187" s="0" t="s">
        <v>566</v>
      </c>
    </row>
    <row r="188" customFormat="false" ht="15" hidden="false" customHeight="false" outlineLevel="0" collapsed="false">
      <c r="A188" s="0" t="n">
        <v>187</v>
      </c>
      <c r="B188" s="0" t="s">
        <v>183</v>
      </c>
      <c r="C188" s="0" t="s">
        <v>567</v>
      </c>
      <c r="D188" s="0" t="s">
        <v>318</v>
      </c>
      <c r="F188" s="0" t="s">
        <v>396</v>
      </c>
    </row>
    <row r="189" customFormat="false" ht="15" hidden="false" customHeight="false" outlineLevel="0" collapsed="false">
      <c r="A189" s="0" t="n">
        <v>188</v>
      </c>
      <c r="B189" s="0" t="s">
        <v>183</v>
      </c>
      <c r="C189" s="0" t="s">
        <v>568</v>
      </c>
      <c r="D189" s="0" t="s">
        <v>318</v>
      </c>
      <c r="F189" s="0" t="s">
        <v>361</v>
      </c>
    </row>
    <row r="190" customFormat="false" ht="15" hidden="false" customHeight="false" outlineLevel="0" collapsed="false">
      <c r="A190" s="0" t="n">
        <v>189</v>
      </c>
      <c r="B190" s="0" t="s">
        <v>186</v>
      </c>
      <c r="C190" s="0" t="s">
        <v>499</v>
      </c>
      <c r="D190" s="0" t="s">
        <v>318</v>
      </c>
      <c r="F190" s="0" t="s">
        <v>339</v>
      </c>
    </row>
    <row r="191" customFormat="false" ht="15" hidden="false" customHeight="false" outlineLevel="0" collapsed="false">
      <c r="A191" s="0" t="n">
        <v>190</v>
      </c>
      <c r="B191" s="0" t="s">
        <v>186</v>
      </c>
      <c r="C191" s="0" t="s">
        <v>569</v>
      </c>
      <c r="D191" s="0" t="s">
        <v>318</v>
      </c>
      <c r="F191" s="0" t="s">
        <v>570</v>
      </c>
    </row>
    <row r="192" customFormat="false" ht="15" hidden="false" customHeight="false" outlineLevel="0" collapsed="false">
      <c r="A192" s="0" t="n">
        <v>191</v>
      </c>
      <c r="B192" s="0" t="s">
        <v>189</v>
      </c>
      <c r="C192" s="0" t="s">
        <v>571</v>
      </c>
      <c r="D192" s="0" t="s">
        <v>318</v>
      </c>
      <c r="F192" s="0" t="s">
        <v>572</v>
      </c>
    </row>
    <row r="193" customFormat="false" ht="15" hidden="false" customHeight="false" outlineLevel="0" collapsed="false">
      <c r="A193" s="0" t="n">
        <v>192</v>
      </c>
      <c r="B193" s="0" t="s">
        <v>189</v>
      </c>
      <c r="C193" s="0" t="s">
        <v>573</v>
      </c>
      <c r="D193" s="0" t="s">
        <v>318</v>
      </c>
      <c r="F193" s="0" t="s">
        <v>574</v>
      </c>
    </row>
    <row r="194" customFormat="false" ht="15" hidden="false" customHeight="false" outlineLevel="0" collapsed="false">
      <c r="A194" s="0" t="n">
        <v>193</v>
      </c>
      <c r="B194" s="0" t="s">
        <v>192</v>
      </c>
      <c r="C194" s="0" t="s">
        <v>575</v>
      </c>
      <c r="D194" s="0" t="s">
        <v>318</v>
      </c>
      <c r="F194" s="0" t="s">
        <v>576</v>
      </c>
    </row>
    <row r="195" customFormat="false" ht="15" hidden="false" customHeight="false" outlineLevel="0" collapsed="false">
      <c r="A195" s="0" t="n">
        <v>194</v>
      </c>
      <c r="B195" s="0" t="s">
        <v>192</v>
      </c>
      <c r="C195" s="0" t="s">
        <v>577</v>
      </c>
      <c r="D195" s="0" t="s">
        <v>318</v>
      </c>
    </row>
    <row r="196" customFormat="false" ht="15" hidden="false" customHeight="false" outlineLevel="0" collapsed="false">
      <c r="A196" s="0" t="n">
        <v>195</v>
      </c>
      <c r="B196" s="0" t="s">
        <v>195</v>
      </c>
      <c r="C196" s="0" t="s">
        <v>578</v>
      </c>
      <c r="D196" s="0" t="s">
        <v>318</v>
      </c>
      <c r="F196" s="0" t="s">
        <v>323</v>
      </c>
    </row>
    <row r="197" customFormat="false" ht="15" hidden="false" customHeight="false" outlineLevel="0" collapsed="false">
      <c r="A197" s="0" t="n">
        <v>196</v>
      </c>
      <c r="B197" s="0" t="s">
        <v>198</v>
      </c>
      <c r="C197" s="0" t="s">
        <v>579</v>
      </c>
      <c r="D197" s="0" t="s">
        <v>580</v>
      </c>
    </row>
    <row r="198" customFormat="false" ht="15" hidden="false" customHeight="false" outlineLevel="0" collapsed="false">
      <c r="A198" s="0" t="n">
        <v>197</v>
      </c>
      <c r="B198" s="0" t="s">
        <v>198</v>
      </c>
      <c r="C198" s="0" t="s">
        <v>581</v>
      </c>
      <c r="D198" s="0" t="s">
        <v>318</v>
      </c>
      <c r="F198" s="0" t="s">
        <v>582</v>
      </c>
    </row>
    <row r="199" customFormat="false" ht="15" hidden="false" customHeight="false" outlineLevel="0" collapsed="false">
      <c r="A199" s="0" t="n">
        <v>198</v>
      </c>
      <c r="B199" s="0" t="s">
        <v>201</v>
      </c>
      <c r="C199" s="0" t="s">
        <v>554</v>
      </c>
      <c r="D199" s="0" t="s">
        <v>555</v>
      </c>
    </row>
    <row r="200" customFormat="false" ht="15" hidden="false" customHeight="false" outlineLevel="0" collapsed="false">
      <c r="A200" s="0" t="n">
        <v>199</v>
      </c>
      <c r="B200" s="0" t="s">
        <v>201</v>
      </c>
      <c r="C200" s="0" t="s">
        <v>556</v>
      </c>
      <c r="D200" s="0" t="s">
        <v>347</v>
      </c>
    </row>
    <row r="201" customFormat="false" ht="15" hidden="false" customHeight="false" outlineLevel="0" collapsed="false">
      <c r="A201" s="0" t="n">
        <v>200</v>
      </c>
      <c r="B201" s="0" t="s">
        <v>201</v>
      </c>
      <c r="C201" s="0" t="s">
        <v>583</v>
      </c>
      <c r="D201" s="0" t="s">
        <v>318</v>
      </c>
      <c r="F201" s="0" t="s">
        <v>584</v>
      </c>
    </row>
    <row r="202" customFormat="false" ht="15" hidden="false" customHeight="false" outlineLevel="0" collapsed="false">
      <c r="A202" s="0" t="n">
        <v>201</v>
      </c>
      <c r="B202" s="0" t="s">
        <v>203</v>
      </c>
      <c r="C202" s="0" t="s">
        <v>585</v>
      </c>
      <c r="D202" s="0" t="s">
        <v>586</v>
      </c>
      <c r="F202" s="0" t="s">
        <v>396</v>
      </c>
    </row>
    <row r="203" customFormat="false" ht="15" hidden="false" customHeight="false" outlineLevel="0" collapsed="false">
      <c r="A203" s="0" t="n">
        <v>202</v>
      </c>
      <c r="B203" s="0" t="s">
        <v>203</v>
      </c>
      <c r="C203" s="0" t="s">
        <v>587</v>
      </c>
      <c r="D203" s="0" t="s">
        <v>588</v>
      </c>
      <c r="F203" s="0" t="s">
        <v>321</v>
      </c>
    </row>
    <row r="204" customFormat="false" ht="15" hidden="false" customHeight="false" outlineLevel="0" collapsed="false">
      <c r="A204" s="0" t="n">
        <v>203</v>
      </c>
      <c r="B204" s="0" t="s">
        <v>206</v>
      </c>
      <c r="C204" s="0" t="s">
        <v>589</v>
      </c>
      <c r="D204" s="0" t="s">
        <v>318</v>
      </c>
      <c r="F204" s="0" t="s">
        <v>415</v>
      </c>
    </row>
    <row r="205" customFormat="false" ht="15" hidden="false" customHeight="false" outlineLevel="0" collapsed="false">
      <c r="A205" s="0" t="n">
        <v>204</v>
      </c>
      <c r="B205" s="0" t="s">
        <v>209</v>
      </c>
      <c r="C205" s="0" t="s">
        <v>590</v>
      </c>
      <c r="D205" s="0" t="s">
        <v>591</v>
      </c>
    </row>
    <row r="206" customFormat="false" ht="15" hidden="false" customHeight="false" outlineLevel="0" collapsed="false">
      <c r="A206" s="0" t="n">
        <v>205</v>
      </c>
      <c r="B206" s="0" t="s">
        <v>209</v>
      </c>
      <c r="C206" s="0" t="s">
        <v>592</v>
      </c>
      <c r="D206" s="0" t="s">
        <v>593</v>
      </c>
    </row>
    <row r="207" customFormat="false" ht="15" hidden="false" customHeight="false" outlineLevel="0" collapsed="false">
      <c r="A207" s="0" t="n">
        <v>206</v>
      </c>
      <c r="B207" s="0" t="s">
        <v>209</v>
      </c>
      <c r="C207" s="0" t="s">
        <v>594</v>
      </c>
      <c r="D207" s="0" t="s">
        <v>318</v>
      </c>
      <c r="F207" s="0" t="s">
        <v>345</v>
      </c>
    </row>
    <row r="208" customFormat="false" ht="15" hidden="false" customHeight="false" outlineLevel="0" collapsed="false">
      <c r="A208" s="0" t="n">
        <v>207</v>
      </c>
      <c r="B208" s="0" t="s">
        <v>212</v>
      </c>
      <c r="C208" s="0" t="s">
        <v>595</v>
      </c>
      <c r="D208" s="0" t="s">
        <v>318</v>
      </c>
      <c r="F208" s="0" t="s">
        <v>410</v>
      </c>
    </row>
    <row r="209" customFormat="false" ht="15" hidden="false" customHeight="false" outlineLevel="0" collapsed="false">
      <c r="A209" s="0" t="n">
        <v>208</v>
      </c>
      <c r="B209" s="0" t="s">
        <v>212</v>
      </c>
      <c r="C209" s="0" t="s">
        <v>596</v>
      </c>
      <c r="D209" s="0" t="s">
        <v>318</v>
      </c>
      <c r="F209" s="0" t="s">
        <v>597</v>
      </c>
    </row>
    <row r="210" customFormat="false" ht="15" hidden="false" customHeight="false" outlineLevel="0" collapsed="false">
      <c r="A210" s="0" t="n">
        <v>209</v>
      </c>
      <c r="B210" s="0" t="s">
        <v>215</v>
      </c>
      <c r="C210" s="0" t="s">
        <v>598</v>
      </c>
      <c r="D210" s="0" t="s">
        <v>472</v>
      </c>
    </row>
    <row r="211" customFormat="false" ht="15" hidden="false" customHeight="false" outlineLevel="0" collapsed="false">
      <c r="A211" s="0" t="n">
        <v>210</v>
      </c>
      <c r="B211" s="0" t="s">
        <v>215</v>
      </c>
      <c r="C211" s="0" t="s">
        <v>599</v>
      </c>
      <c r="D211" s="0" t="s">
        <v>318</v>
      </c>
      <c r="F211" s="0" t="s">
        <v>339</v>
      </c>
    </row>
    <row r="212" customFormat="false" ht="15" hidden="false" customHeight="false" outlineLevel="0" collapsed="false">
      <c r="A212" s="0" t="n">
        <v>211</v>
      </c>
      <c r="B212" s="0" t="s">
        <v>218</v>
      </c>
      <c r="C212" s="0" t="s">
        <v>600</v>
      </c>
      <c r="D212" s="0" t="s">
        <v>601</v>
      </c>
    </row>
    <row r="213" customFormat="false" ht="15" hidden="false" customHeight="false" outlineLevel="0" collapsed="false">
      <c r="A213" s="0" t="n">
        <v>212</v>
      </c>
      <c r="B213" s="0" t="s">
        <v>218</v>
      </c>
      <c r="C213" s="0" t="s">
        <v>602</v>
      </c>
      <c r="D213" s="0" t="s">
        <v>318</v>
      </c>
      <c r="F213" s="0" t="s">
        <v>603</v>
      </c>
    </row>
    <row r="214" customFormat="false" ht="15" hidden="false" customHeight="false" outlineLevel="0" collapsed="false">
      <c r="A214" s="0" t="n">
        <v>213</v>
      </c>
      <c r="B214" s="0" t="s">
        <v>222</v>
      </c>
      <c r="C214" s="0" t="s">
        <v>604</v>
      </c>
      <c r="D214" s="0" t="s">
        <v>605</v>
      </c>
      <c r="F214" s="0" t="s">
        <v>606</v>
      </c>
    </row>
    <row r="215" customFormat="false" ht="15" hidden="false" customHeight="false" outlineLevel="0" collapsed="false">
      <c r="A215" s="0" t="n">
        <v>214</v>
      </c>
      <c r="B215" s="0" t="s">
        <v>225</v>
      </c>
      <c r="C215" s="0" t="s">
        <v>607</v>
      </c>
      <c r="D215" s="0" t="s">
        <v>608</v>
      </c>
    </row>
    <row r="216" customFormat="false" ht="15" hidden="false" customHeight="false" outlineLevel="0" collapsed="false">
      <c r="A216" s="0" t="n">
        <v>215</v>
      </c>
      <c r="B216" s="0" t="s">
        <v>225</v>
      </c>
      <c r="C216" s="0" t="s">
        <v>609</v>
      </c>
      <c r="D216" s="0" t="s">
        <v>610</v>
      </c>
      <c r="F216" s="0" t="s">
        <v>415</v>
      </c>
    </row>
    <row r="217" customFormat="false" ht="15" hidden="false" customHeight="false" outlineLevel="0" collapsed="false">
      <c r="A217" s="0" t="n">
        <v>216</v>
      </c>
      <c r="B217" s="0" t="s">
        <v>225</v>
      </c>
      <c r="C217" s="0" t="s">
        <v>611</v>
      </c>
      <c r="D217" s="0" t="s">
        <v>612</v>
      </c>
      <c r="F217" s="0" t="s">
        <v>415</v>
      </c>
    </row>
    <row r="218" customFormat="false" ht="15" hidden="false" customHeight="false" outlineLevel="0" collapsed="false">
      <c r="A218" s="0" t="n">
        <v>217</v>
      </c>
      <c r="B218" s="0" t="s">
        <v>225</v>
      </c>
      <c r="C218" s="0" t="s">
        <v>613</v>
      </c>
      <c r="D218" s="0" t="s">
        <v>614</v>
      </c>
      <c r="F218" s="0" t="s">
        <v>415</v>
      </c>
    </row>
    <row r="219" customFormat="false" ht="15" hidden="false" customHeight="false" outlineLevel="0" collapsed="false">
      <c r="A219" s="0" t="n">
        <v>218</v>
      </c>
      <c r="B219" s="0" t="s">
        <v>225</v>
      </c>
      <c r="C219" s="0" t="s">
        <v>615</v>
      </c>
      <c r="D219" s="0" t="s">
        <v>318</v>
      </c>
      <c r="F219" s="0" t="s">
        <v>616</v>
      </c>
    </row>
    <row r="220" customFormat="false" ht="15" hidden="false" customHeight="false" outlineLevel="0" collapsed="false">
      <c r="A220" s="0" t="n">
        <v>219</v>
      </c>
      <c r="B220" s="0" t="s">
        <v>228</v>
      </c>
      <c r="C220" s="0" t="s">
        <v>617</v>
      </c>
      <c r="D220" s="0" t="s">
        <v>318</v>
      </c>
      <c r="F220" s="0" t="s">
        <v>339</v>
      </c>
    </row>
    <row r="221" customFormat="false" ht="15" hidden="false" customHeight="false" outlineLevel="0" collapsed="false">
      <c r="A221" s="0" t="n">
        <v>220</v>
      </c>
      <c r="B221" s="0" t="s">
        <v>228</v>
      </c>
      <c r="C221" s="0" t="s">
        <v>618</v>
      </c>
      <c r="D221" s="0" t="s">
        <v>318</v>
      </c>
      <c r="F221" s="0" t="s">
        <v>330</v>
      </c>
    </row>
    <row r="222" customFormat="false" ht="15" hidden="false" customHeight="false" outlineLevel="0" collapsed="false">
      <c r="A222" s="0" t="n">
        <v>221</v>
      </c>
      <c r="B222" s="0" t="s">
        <v>231</v>
      </c>
      <c r="C222" s="0" t="s">
        <v>619</v>
      </c>
      <c r="D222" s="0" t="s">
        <v>620</v>
      </c>
      <c r="F222" s="0" t="s">
        <v>323</v>
      </c>
    </row>
    <row r="223" customFormat="false" ht="15" hidden="false" customHeight="false" outlineLevel="0" collapsed="false">
      <c r="A223" s="0" t="n">
        <v>222</v>
      </c>
      <c r="B223" s="0" t="s">
        <v>231</v>
      </c>
      <c r="C223" s="0" t="s">
        <v>621</v>
      </c>
      <c r="D223" s="0" t="s">
        <v>622</v>
      </c>
      <c r="F223" s="0" t="s">
        <v>325</v>
      </c>
    </row>
    <row r="224" customFormat="false" ht="15" hidden="false" customHeight="false" outlineLevel="0" collapsed="false">
      <c r="A224" s="0" t="n">
        <v>223</v>
      </c>
      <c r="B224" s="0" t="s">
        <v>231</v>
      </c>
      <c r="C224" s="0" t="s">
        <v>623</v>
      </c>
      <c r="D224" s="0" t="s">
        <v>624</v>
      </c>
      <c r="F224" s="0" t="s">
        <v>345</v>
      </c>
    </row>
    <row r="225" customFormat="false" ht="15" hidden="false" customHeight="false" outlineLevel="0" collapsed="false">
      <c r="A225" s="0" t="n">
        <v>224</v>
      </c>
      <c r="B225" s="0" t="s">
        <v>231</v>
      </c>
      <c r="C225" s="0" t="s">
        <v>625</v>
      </c>
      <c r="D225" s="0" t="s">
        <v>626</v>
      </c>
      <c r="F225" s="0" t="s">
        <v>345</v>
      </c>
    </row>
    <row r="226" customFormat="false" ht="15" hidden="false" customHeight="false" outlineLevel="0" collapsed="false">
      <c r="A226" s="0" t="n">
        <v>225</v>
      </c>
      <c r="B226" s="0" t="s">
        <v>231</v>
      </c>
      <c r="C226" s="0" t="s">
        <v>627</v>
      </c>
      <c r="D226" s="0" t="s">
        <v>628</v>
      </c>
      <c r="F226" s="0" t="s">
        <v>328</v>
      </c>
    </row>
    <row r="227" customFormat="false" ht="15" hidden="false" customHeight="false" outlineLevel="0" collapsed="false">
      <c r="A227" s="0" t="n">
        <v>226</v>
      </c>
      <c r="B227" s="0" t="s">
        <v>234</v>
      </c>
      <c r="C227" s="0" t="s">
        <v>629</v>
      </c>
      <c r="D227" s="0" t="s">
        <v>630</v>
      </c>
    </row>
    <row r="228" customFormat="false" ht="15" hidden="false" customHeight="false" outlineLevel="0" collapsed="false">
      <c r="A228" s="0" t="n">
        <v>227</v>
      </c>
      <c r="B228" s="0" t="s">
        <v>234</v>
      </c>
      <c r="C228" s="0" t="s">
        <v>631</v>
      </c>
      <c r="D228" s="0" t="s">
        <v>632</v>
      </c>
    </row>
    <row r="229" customFormat="false" ht="15" hidden="false" customHeight="false" outlineLevel="0" collapsed="false">
      <c r="A229" s="0" t="n">
        <v>228</v>
      </c>
      <c r="B229" s="0" t="s">
        <v>234</v>
      </c>
      <c r="C229" s="0" t="s">
        <v>633</v>
      </c>
      <c r="D229" s="0" t="s">
        <v>537</v>
      </c>
    </row>
    <row r="230" customFormat="false" ht="15" hidden="false" customHeight="false" outlineLevel="0" collapsed="false">
      <c r="A230" s="0" t="n">
        <v>229</v>
      </c>
      <c r="B230" s="0" t="s">
        <v>234</v>
      </c>
      <c r="C230" s="0" t="s">
        <v>634</v>
      </c>
      <c r="D230" s="0" t="s">
        <v>635</v>
      </c>
    </row>
    <row r="231" customFormat="false" ht="15" hidden="false" customHeight="false" outlineLevel="0" collapsed="false">
      <c r="A231" s="0" t="n">
        <v>230</v>
      </c>
      <c r="B231" s="0" t="s">
        <v>234</v>
      </c>
      <c r="C231" s="0" t="s">
        <v>636</v>
      </c>
      <c r="D231" s="0" t="s">
        <v>610</v>
      </c>
    </row>
    <row r="232" customFormat="false" ht="15" hidden="false" customHeight="false" outlineLevel="0" collapsed="false">
      <c r="A232" s="0" t="n">
        <v>231</v>
      </c>
      <c r="B232" s="0" t="s">
        <v>234</v>
      </c>
      <c r="C232" s="0" t="s">
        <v>637</v>
      </c>
      <c r="D232" s="0" t="s">
        <v>638</v>
      </c>
    </row>
    <row r="233" customFormat="false" ht="15" hidden="false" customHeight="false" outlineLevel="0" collapsed="false">
      <c r="A233" s="0" t="n">
        <v>232</v>
      </c>
      <c r="B233" s="0" t="s">
        <v>237</v>
      </c>
      <c r="C233" s="0" t="s">
        <v>639</v>
      </c>
      <c r="D233" s="0" t="s">
        <v>640</v>
      </c>
    </row>
    <row r="234" customFormat="false" ht="15" hidden="false" customHeight="false" outlineLevel="0" collapsed="false">
      <c r="A234" s="0" t="n">
        <v>233</v>
      </c>
      <c r="B234" s="0" t="s">
        <v>237</v>
      </c>
      <c r="C234" s="0" t="s">
        <v>641</v>
      </c>
      <c r="D234" s="0" t="s">
        <v>318</v>
      </c>
      <c r="F234" s="0" t="s">
        <v>339</v>
      </c>
    </row>
    <row r="235" customFormat="false" ht="15" hidden="false" customHeight="false" outlineLevel="0" collapsed="false">
      <c r="A235" s="0" t="n">
        <v>234</v>
      </c>
      <c r="B235" s="0" t="s">
        <v>240</v>
      </c>
      <c r="C235" s="0" t="s">
        <v>546</v>
      </c>
      <c r="D235" s="0" t="s">
        <v>642</v>
      </c>
    </row>
    <row r="236" customFormat="false" ht="15" hidden="false" customHeight="false" outlineLevel="0" collapsed="false">
      <c r="A236" s="0" t="n">
        <v>235</v>
      </c>
      <c r="B236" s="0" t="s">
        <v>240</v>
      </c>
      <c r="C236" s="0" t="s">
        <v>643</v>
      </c>
      <c r="D236" s="0" t="s">
        <v>318</v>
      </c>
      <c r="F236" s="0" t="s">
        <v>434</v>
      </c>
    </row>
    <row r="237" customFormat="false" ht="15" hidden="false" customHeight="false" outlineLevel="0" collapsed="false">
      <c r="A237" s="0" t="n">
        <v>236</v>
      </c>
      <c r="B237" s="0" t="s">
        <v>243</v>
      </c>
      <c r="C237" s="0" t="s">
        <v>644</v>
      </c>
      <c r="D237" s="0" t="s">
        <v>645</v>
      </c>
    </row>
    <row r="238" customFormat="false" ht="15" hidden="false" customHeight="false" outlineLevel="0" collapsed="false">
      <c r="A238" s="0" t="n">
        <v>237</v>
      </c>
      <c r="B238" s="0" t="s">
        <v>243</v>
      </c>
      <c r="C238" s="0" t="s">
        <v>646</v>
      </c>
      <c r="D238" s="0" t="s">
        <v>647</v>
      </c>
      <c r="F238" s="0" t="s">
        <v>415</v>
      </c>
    </row>
    <row r="239" customFormat="false" ht="15" hidden="false" customHeight="false" outlineLevel="0" collapsed="false">
      <c r="A239" s="0" t="n">
        <v>238</v>
      </c>
      <c r="B239" s="0" t="s">
        <v>243</v>
      </c>
      <c r="C239" s="0" t="s">
        <v>648</v>
      </c>
      <c r="D239" s="0" t="s">
        <v>318</v>
      </c>
      <c r="F239" s="0" t="s">
        <v>649</v>
      </c>
    </row>
    <row r="240" customFormat="false" ht="15" hidden="false" customHeight="false" outlineLevel="0" collapsed="false">
      <c r="A240" s="0" t="n">
        <v>239</v>
      </c>
      <c r="B240" s="0" t="s">
        <v>247</v>
      </c>
      <c r="C240" s="0" t="s">
        <v>650</v>
      </c>
      <c r="D240" s="0" t="s">
        <v>651</v>
      </c>
    </row>
    <row r="241" customFormat="false" ht="15" hidden="false" customHeight="false" outlineLevel="0" collapsed="false">
      <c r="A241" s="0" t="n">
        <v>240</v>
      </c>
      <c r="B241" s="0" t="s">
        <v>247</v>
      </c>
      <c r="C241" s="0" t="s">
        <v>484</v>
      </c>
      <c r="D241" s="0" t="s">
        <v>318</v>
      </c>
      <c r="F241" s="0" t="s">
        <v>339</v>
      </c>
    </row>
    <row r="242" customFormat="false" ht="15" hidden="false" customHeight="false" outlineLevel="0" collapsed="false">
      <c r="A242" s="0" t="n">
        <v>241</v>
      </c>
      <c r="B242" s="0" t="s">
        <v>250</v>
      </c>
      <c r="C242" s="0" t="s">
        <v>652</v>
      </c>
      <c r="D242" s="0" t="s">
        <v>647</v>
      </c>
      <c r="F242" s="0" t="s">
        <v>328</v>
      </c>
    </row>
    <row r="243" customFormat="false" ht="15" hidden="false" customHeight="false" outlineLevel="0" collapsed="false">
      <c r="A243" s="0" t="n">
        <v>242</v>
      </c>
      <c r="B243" s="0" t="s">
        <v>250</v>
      </c>
      <c r="C243" s="0" t="s">
        <v>653</v>
      </c>
      <c r="D243" s="0" t="s">
        <v>318</v>
      </c>
      <c r="F243" s="0" t="s">
        <v>321</v>
      </c>
    </row>
    <row r="244" customFormat="false" ht="15" hidden="false" customHeight="false" outlineLevel="0" collapsed="false">
      <c r="A244" s="0" t="n">
        <v>243</v>
      </c>
      <c r="B244" s="0" t="s">
        <v>253</v>
      </c>
      <c r="C244" s="0" t="s">
        <v>654</v>
      </c>
      <c r="D244" s="0" t="s">
        <v>318</v>
      </c>
    </row>
    <row r="245" customFormat="false" ht="15" hidden="false" customHeight="false" outlineLevel="0" collapsed="false">
      <c r="A245" s="0" t="n">
        <v>244</v>
      </c>
      <c r="B245" s="0" t="s">
        <v>256</v>
      </c>
      <c r="C245" s="0" t="s">
        <v>655</v>
      </c>
      <c r="D245" s="0" t="s">
        <v>318</v>
      </c>
      <c r="F245" s="0" t="s">
        <v>656</v>
      </c>
    </row>
    <row r="246" customFormat="false" ht="15" hidden="false" customHeight="false" outlineLevel="0" collapsed="false">
      <c r="A246" s="0" t="n">
        <v>245</v>
      </c>
      <c r="B246" s="0" t="s">
        <v>256</v>
      </c>
      <c r="C246" s="0" t="s">
        <v>657</v>
      </c>
      <c r="D246" s="0" t="s">
        <v>318</v>
      </c>
      <c r="F246" s="0" t="s">
        <v>658</v>
      </c>
    </row>
    <row r="247" customFormat="false" ht="15" hidden="false" customHeight="false" outlineLevel="0" collapsed="false">
      <c r="A247" s="0" t="n">
        <v>246</v>
      </c>
      <c r="B247" s="0" t="s">
        <v>259</v>
      </c>
      <c r="C247" s="0" t="s">
        <v>659</v>
      </c>
      <c r="D247" s="0" t="s">
        <v>316</v>
      </c>
      <c r="F247" s="0" t="s">
        <v>415</v>
      </c>
    </row>
    <row r="248" customFormat="false" ht="15" hidden="false" customHeight="false" outlineLevel="0" collapsed="false">
      <c r="A248" s="0" t="n">
        <v>247</v>
      </c>
      <c r="B248" s="0" t="s">
        <v>259</v>
      </c>
      <c r="C248" s="0" t="s">
        <v>538</v>
      </c>
      <c r="D248" s="0" t="s">
        <v>337</v>
      </c>
      <c r="F248" s="0" t="s">
        <v>415</v>
      </c>
    </row>
    <row r="249" customFormat="false" ht="15" hidden="false" customHeight="false" outlineLevel="0" collapsed="false">
      <c r="A249" s="0" t="n">
        <v>248</v>
      </c>
      <c r="B249" s="0" t="s">
        <v>259</v>
      </c>
      <c r="C249" s="0" t="s">
        <v>540</v>
      </c>
      <c r="D249" s="0" t="s">
        <v>660</v>
      </c>
      <c r="F249" s="0" t="s">
        <v>415</v>
      </c>
    </row>
    <row r="250" customFormat="false" ht="15" hidden="false" customHeight="false" outlineLevel="0" collapsed="false">
      <c r="A250" s="0" t="n">
        <v>249</v>
      </c>
      <c r="B250" s="0" t="s">
        <v>259</v>
      </c>
      <c r="C250" s="0" t="s">
        <v>542</v>
      </c>
      <c r="D250" s="0" t="s">
        <v>661</v>
      </c>
      <c r="F250" s="0" t="s">
        <v>415</v>
      </c>
    </row>
    <row r="251" customFormat="false" ht="15" hidden="false" customHeight="false" outlineLevel="0" collapsed="false">
      <c r="A251" s="0" t="n">
        <v>250</v>
      </c>
      <c r="B251" s="0" t="s">
        <v>259</v>
      </c>
      <c r="C251" s="0" t="s">
        <v>662</v>
      </c>
      <c r="D251" s="0" t="s">
        <v>630</v>
      </c>
    </row>
    <row r="252" customFormat="false" ht="15" hidden="false" customHeight="false" outlineLevel="0" collapsed="false">
      <c r="A252" s="0" t="n">
        <v>251</v>
      </c>
      <c r="B252" s="0" t="s">
        <v>259</v>
      </c>
      <c r="C252" s="0" t="s">
        <v>663</v>
      </c>
      <c r="D252" s="0" t="s">
        <v>660</v>
      </c>
    </row>
    <row r="253" customFormat="false" ht="15" hidden="false" customHeight="false" outlineLevel="0" collapsed="false">
      <c r="A253" s="0" t="n">
        <v>252</v>
      </c>
      <c r="B253" s="0" t="s">
        <v>259</v>
      </c>
      <c r="C253" s="0" t="s">
        <v>664</v>
      </c>
      <c r="D253" s="0" t="s">
        <v>630</v>
      </c>
    </row>
    <row r="254" customFormat="false" ht="15" hidden="false" customHeight="false" outlineLevel="0" collapsed="false">
      <c r="A254" s="0" t="n">
        <v>253</v>
      </c>
      <c r="B254" s="0" t="s">
        <v>259</v>
      </c>
      <c r="C254" s="0" t="s">
        <v>665</v>
      </c>
      <c r="D254" s="0" t="s">
        <v>660</v>
      </c>
    </row>
    <row r="255" customFormat="false" ht="15" hidden="false" customHeight="false" outlineLevel="0" collapsed="false">
      <c r="A255" s="0" t="n">
        <v>254</v>
      </c>
      <c r="B255" s="0" t="s">
        <v>259</v>
      </c>
      <c r="C255" s="0" t="s">
        <v>531</v>
      </c>
      <c r="D255" s="0" t="s">
        <v>522</v>
      </c>
    </row>
    <row r="256" customFormat="false" ht="15" hidden="false" customHeight="false" outlineLevel="0" collapsed="false">
      <c r="A256" s="0" t="n">
        <v>255</v>
      </c>
      <c r="B256" s="0" t="s">
        <v>259</v>
      </c>
      <c r="C256" s="0" t="s">
        <v>666</v>
      </c>
      <c r="D256" s="0" t="s">
        <v>483</v>
      </c>
    </row>
    <row r="257" customFormat="false" ht="15" hidden="false" customHeight="false" outlineLevel="0" collapsed="false">
      <c r="A257" s="0" t="n">
        <v>256</v>
      </c>
      <c r="B257" s="0" t="s">
        <v>262</v>
      </c>
      <c r="C257" s="0" t="s">
        <v>667</v>
      </c>
      <c r="D257" s="0" t="s">
        <v>668</v>
      </c>
      <c r="F257" s="0" t="s">
        <v>333</v>
      </c>
    </row>
    <row r="258" customFormat="false" ht="15" hidden="false" customHeight="false" outlineLevel="0" collapsed="false">
      <c r="A258" s="0" t="n">
        <v>257</v>
      </c>
      <c r="B258" s="0" t="s">
        <v>262</v>
      </c>
      <c r="C258" s="0" t="s">
        <v>669</v>
      </c>
      <c r="D258" s="0" t="s">
        <v>318</v>
      </c>
      <c r="F258" s="0" t="s">
        <v>670</v>
      </c>
    </row>
    <row r="259" customFormat="false" ht="15" hidden="false" customHeight="false" outlineLevel="0" collapsed="false">
      <c r="A259" s="0" t="n">
        <v>258</v>
      </c>
      <c r="B259" s="0" t="s">
        <v>265</v>
      </c>
      <c r="C259" s="0" t="s">
        <v>671</v>
      </c>
      <c r="D259" s="0" t="s">
        <v>318</v>
      </c>
      <c r="F259" s="0" t="s">
        <v>656</v>
      </c>
    </row>
    <row r="260" customFormat="false" ht="15" hidden="false" customHeight="false" outlineLevel="0" collapsed="false">
      <c r="A260" s="0" t="n">
        <v>259</v>
      </c>
      <c r="B260" s="0" t="s">
        <v>268</v>
      </c>
      <c r="C260" s="0" t="s">
        <v>439</v>
      </c>
      <c r="D260" s="0" t="s">
        <v>318</v>
      </c>
      <c r="F260" s="0" t="s">
        <v>323</v>
      </c>
    </row>
    <row r="261" customFormat="false" ht="15" hidden="false" customHeight="false" outlineLevel="0" collapsed="false">
      <c r="A261" s="0" t="n">
        <v>260</v>
      </c>
      <c r="B261" s="0" t="s">
        <v>268</v>
      </c>
      <c r="C261" s="0" t="s">
        <v>672</v>
      </c>
      <c r="D261" s="0" t="s">
        <v>318</v>
      </c>
      <c r="F261" s="0" t="s">
        <v>373</v>
      </c>
    </row>
    <row r="262" customFormat="false" ht="15" hidden="false" customHeight="false" outlineLevel="0" collapsed="false">
      <c r="A262" s="0" t="n">
        <v>261</v>
      </c>
      <c r="B262" s="0" t="s">
        <v>271</v>
      </c>
      <c r="C262" s="0" t="s">
        <v>673</v>
      </c>
      <c r="D262" s="0" t="s">
        <v>318</v>
      </c>
      <c r="F262" s="0" t="s">
        <v>674</v>
      </c>
    </row>
    <row r="263" customFormat="false" ht="15" hidden="false" customHeight="false" outlineLevel="0" collapsed="false">
      <c r="A263" s="0" t="n">
        <v>262</v>
      </c>
      <c r="B263" s="0" t="s">
        <v>274</v>
      </c>
      <c r="C263" s="0" t="s">
        <v>675</v>
      </c>
      <c r="D263" s="0" t="s">
        <v>316</v>
      </c>
    </row>
    <row r="264" customFormat="false" ht="15" hidden="false" customHeight="false" outlineLevel="0" collapsed="false">
      <c r="A264" s="0" t="n">
        <v>263</v>
      </c>
      <c r="B264" s="0" t="s">
        <v>274</v>
      </c>
      <c r="C264" s="0" t="s">
        <v>676</v>
      </c>
      <c r="D264" s="0" t="s">
        <v>318</v>
      </c>
      <c r="F264" s="0" t="s">
        <v>677</v>
      </c>
    </row>
    <row r="265" customFormat="false" ht="15" hidden="false" customHeight="false" outlineLevel="0" collapsed="false">
      <c r="A265" s="0" t="n">
        <v>264</v>
      </c>
      <c r="B265" s="0" t="s">
        <v>277</v>
      </c>
      <c r="C265" s="0" t="s">
        <v>678</v>
      </c>
      <c r="D265" s="0" t="s">
        <v>318</v>
      </c>
    </row>
    <row r="266" customFormat="false" ht="15" hidden="false" customHeight="false" outlineLevel="0" collapsed="false">
      <c r="A266" s="0" t="n">
        <v>265</v>
      </c>
      <c r="B266" s="0" t="s">
        <v>280</v>
      </c>
      <c r="C266" s="0" t="s">
        <v>679</v>
      </c>
      <c r="D266" s="0" t="s">
        <v>318</v>
      </c>
      <c r="F266" s="0" t="s">
        <v>325</v>
      </c>
    </row>
    <row r="267" customFormat="false" ht="15" hidden="false" customHeight="false" outlineLevel="0" collapsed="false">
      <c r="A267" s="0" t="n">
        <v>266</v>
      </c>
      <c r="B267" s="0" t="s">
        <v>280</v>
      </c>
      <c r="C267" s="0" t="s">
        <v>680</v>
      </c>
      <c r="D267" s="0" t="s">
        <v>318</v>
      </c>
      <c r="F267" s="0" t="s">
        <v>681</v>
      </c>
    </row>
    <row r="268" customFormat="false" ht="15" hidden="false" customHeight="false" outlineLevel="0" collapsed="false">
      <c r="A268" s="0" t="n">
        <v>267</v>
      </c>
      <c r="B268" s="0" t="s">
        <v>283</v>
      </c>
      <c r="C268" s="0" t="s">
        <v>682</v>
      </c>
      <c r="D268" s="0" t="s">
        <v>683</v>
      </c>
    </row>
    <row r="269" customFormat="false" ht="15" hidden="false" customHeight="false" outlineLevel="0" collapsed="false">
      <c r="A269" s="0" t="n">
        <v>268</v>
      </c>
      <c r="B269" s="0" t="s">
        <v>283</v>
      </c>
      <c r="C269" s="0" t="s">
        <v>684</v>
      </c>
      <c r="D269" s="0" t="s">
        <v>685</v>
      </c>
    </row>
    <row r="270" customFormat="false" ht="15" hidden="false" customHeight="false" outlineLevel="0" collapsed="false">
      <c r="A270" s="0" t="n">
        <v>269</v>
      </c>
      <c r="B270" s="0" t="s">
        <v>283</v>
      </c>
      <c r="C270" s="0" t="s">
        <v>686</v>
      </c>
      <c r="D270" s="0" t="s">
        <v>687</v>
      </c>
      <c r="F270" s="0" t="s">
        <v>330</v>
      </c>
    </row>
    <row r="271" customFormat="false" ht="15" hidden="false" customHeight="false" outlineLevel="0" collapsed="false">
      <c r="A271" s="0" t="n">
        <v>270</v>
      </c>
      <c r="B271" s="0" t="s">
        <v>283</v>
      </c>
      <c r="C271" s="0" t="s">
        <v>688</v>
      </c>
      <c r="D271" s="0" t="s">
        <v>689</v>
      </c>
    </row>
    <row r="272" customFormat="false" ht="15" hidden="false" customHeight="false" outlineLevel="0" collapsed="false">
      <c r="A272" s="0" t="n">
        <v>271</v>
      </c>
      <c r="B272" s="0" t="s">
        <v>283</v>
      </c>
      <c r="C272" s="0" t="s">
        <v>415</v>
      </c>
      <c r="D272" s="0" t="s">
        <v>318</v>
      </c>
      <c r="F272" s="0" t="s">
        <v>415</v>
      </c>
    </row>
    <row r="273" customFormat="false" ht="15" hidden="false" customHeight="false" outlineLevel="0" collapsed="false">
      <c r="A273" s="0" t="n">
        <v>272</v>
      </c>
      <c r="B273" s="0" t="s">
        <v>286</v>
      </c>
      <c r="C273" s="0" t="s">
        <v>690</v>
      </c>
      <c r="D273" s="0" t="s">
        <v>318</v>
      </c>
      <c r="F273" s="0" t="s">
        <v>412</v>
      </c>
    </row>
    <row r="274" customFormat="false" ht="15" hidden="false" customHeight="false" outlineLevel="0" collapsed="false">
      <c r="A274" s="0" t="n">
        <v>273</v>
      </c>
      <c r="B274" s="0" t="s">
        <v>286</v>
      </c>
      <c r="C274" s="0" t="s">
        <v>691</v>
      </c>
      <c r="D274" s="0" t="s">
        <v>318</v>
      </c>
      <c r="F274" s="0" t="s">
        <v>321</v>
      </c>
    </row>
    <row r="275" customFormat="false" ht="15" hidden="false" customHeight="false" outlineLevel="0" collapsed="false">
      <c r="A275" s="0" t="n">
        <v>274</v>
      </c>
      <c r="B275" s="0" t="s">
        <v>290</v>
      </c>
      <c r="C275" s="0" t="s">
        <v>692</v>
      </c>
      <c r="D275" s="0" t="s">
        <v>693</v>
      </c>
      <c r="F275" s="0" t="s">
        <v>328</v>
      </c>
    </row>
    <row r="276" customFormat="false" ht="15" hidden="false" customHeight="false" outlineLevel="0" collapsed="false">
      <c r="A276" s="0" t="n">
        <v>275</v>
      </c>
      <c r="B276" s="0" t="s">
        <v>290</v>
      </c>
      <c r="C276" s="0" t="s">
        <v>694</v>
      </c>
      <c r="D276" s="0" t="s">
        <v>695</v>
      </c>
      <c r="F276" s="0" t="s">
        <v>321</v>
      </c>
    </row>
    <row r="277" customFormat="false" ht="15" hidden="false" customHeight="false" outlineLevel="0" collapsed="false">
      <c r="A277" s="0" t="n">
        <v>276</v>
      </c>
      <c r="B277" s="0" t="s">
        <v>290</v>
      </c>
      <c r="C277" s="0" t="s">
        <v>696</v>
      </c>
      <c r="D277" s="0" t="s">
        <v>318</v>
      </c>
      <c r="F277" s="0" t="s">
        <v>325</v>
      </c>
    </row>
    <row r="278" customFormat="false" ht="15" hidden="false" customHeight="false" outlineLevel="0" collapsed="false">
      <c r="A278" s="0" t="n">
        <v>277</v>
      </c>
      <c r="B278" s="0" t="s">
        <v>293</v>
      </c>
      <c r="C278" s="0" t="s">
        <v>428</v>
      </c>
      <c r="D278" s="0" t="s">
        <v>318</v>
      </c>
      <c r="F278" s="0" t="s">
        <v>339</v>
      </c>
    </row>
    <row r="279" customFormat="false" ht="15" hidden="false" customHeight="false" outlineLevel="0" collapsed="false">
      <c r="A279" s="0" t="n">
        <v>278</v>
      </c>
      <c r="B279" s="0" t="s">
        <v>293</v>
      </c>
      <c r="C279" s="0" t="s">
        <v>697</v>
      </c>
      <c r="D279" s="0" t="s">
        <v>318</v>
      </c>
      <c r="F279" s="0" t="s">
        <v>698</v>
      </c>
    </row>
    <row r="280" customFormat="false" ht="15" hidden="false" customHeight="false" outlineLevel="0" collapsed="false">
      <c r="A280" s="0" t="n">
        <v>279</v>
      </c>
      <c r="B280" s="0" t="s">
        <v>296</v>
      </c>
      <c r="C280" s="0" t="s">
        <v>699</v>
      </c>
      <c r="D280" s="0" t="s">
        <v>700</v>
      </c>
      <c r="F280" s="0" t="s">
        <v>330</v>
      </c>
    </row>
    <row r="281" customFormat="false" ht="15" hidden="false" customHeight="false" outlineLevel="0" collapsed="false">
      <c r="A281" s="0" t="n">
        <v>280</v>
      </c>
      <c r="B281" s="0" t="s">
        <v>296</v>
      </c>
      <c r="C281" s="0" t="s">
        <v>701</v>
      </c>
      <c r="D281" s="0" t="s">
        <v>702</v>
      </c>
    </row>
    <row r="282" customFormat="false" ht="15" hidden="false" customHeight="false" outlineLevel="0" collapsed="false">
      <c r="A282" s="0" t="n">
        <v>281</v>
      </c>
      <c r="B282" s="0" t="s">
        <v>296</v>
      </c>
      <c r="C282" s="0" t="s">
        <v>703</v>
      </c>
      <c r="D282" s="0" t="s">
        <v>318</v>
      </c>
      <c r="F282" s="0" t="s">
        <v>704</v>
      </c>
    </row>
    <row r="283" customFormat="false" ht="15" hidden="false" customHeight="false" outlineLevel="0" collapsed="false">
      <c r="A283" s="0" t="n">
        <v>282</v>
      </c>
      <c r="B283" s="0" t="s">
        <v>299</v>
      </c>
      <c r="C283" s="0" t="s">
        <v>705</v>
      </c>
      <c r="D283" s="0" t="s">
        <v>318</v>
      </c>
      <c r="F283" s="0" t="s">
        <v>706</v>
      </c>
    </row>
    <row r="284" customFormat="false" ht="15" hidden="false" customHeight="false" outlineLevel="0" collapsed="false">
      <c r="A284" s="0" t="n">
        <v>283</v>
      </c>
      <c r="B284" s="0" t="s">
        <v>299</v>
      </c>
      <c r="C284" s="0" t="s">
        <v>707</v>
      </c>
      <c r="D284" s="0" t="s">
        <v>318</v>
      </c>
      <c r="F284" s="0" t="s">
        <v>708</v>
      </c>
    </row>
    <row r="285" customFormat="false" ht="15" hidden="false" customHeight="false" outlineLevel="0" collapsed="false">
      <c r="A285" s="0" t="n">
        <v>284</v>
      </c>
      <c r="B285" s="0" t="s">
        <v>302</v>
      </c>
      <c r="C285" s="0" t="s">
        <v>709</v>
      </c>
      <c r="D285" s="0" t="s">
        <v>710</v>
      </c>
      <c r="F285" s="0" t="s">
        <v>321</v>
      </c>
    </row>
    <row r="286" customFormat="false" ht="15" hidden="false" customHeight="false" outlineLevel="0" collapsed="false">
      <c r="A286" s="0" t="n">
        <v>285</v>
      </c>
      <c r="B286" s="0" t="s">
        <v>302</v>
      </c>
      <c r="C286" s="0" t="s">
        <v>711</v>
      </c>
      <c r="D286" s="0" t="s">
        <v>318</v>
      </c>
      <c r="F286" s="0" t="s">
        <v>712</v>
      </c>
    </row>
    <row r="287" customFormat="false" ht="15" hidden="false" customHeight="false" outlineLevel="0" collapsed="false">
      <c r="A287" s="0" t="n">
        <v>286</v>
      </c>
      <c r="B287" s="0" t="s">
        <v>305</v>
      </c>
      <c r="C287" s="0" t="s">
        <v>713</v>
      </c>
      <c r="D287" s="0" t="s">
        <v>318</v>
      </c>
      <c r="F287" s="0" t="s">
        <v>328</v>
      </c>
    </row>
    <row r="288" customFormat="false" ht="15" hidden="false" customHeight="false" outlineLevel="0" collapsed="false">
      <c r="A288" s="0" t="n">
        <v>287</v>
      </c>
      <c r="B288" s="0" t="s">
        <v>305</v>
      </c>
      <c r="C288" s="0" t="s">
        <v>714</v>
      </c>
      <c r="D288" s="0" t="s">
        <v>318</v>
      </c>
      <c r="F288" s="0" t="s">
        <v>715</v>
      </c>
    </row>
    <row r="289" customFormat="false" ht="15" hidden="false" customHeight="false" outlineLevel="0" collapsed="false">
      <c r="A289" s="0" t="n">
        <v>288</v>
      </c>
      <c r="B289" s="0" t="s">
        <v>308</v>
      </c>
      <c r="C289" s="0" t="s">
        <v>716</v>
      </c>
      <c r="D289" s="0" t="s">
        <v>318</v>
      </c>
      <c r="F289" s="0" t="s">
        <v>717</v>
      </c>
    </row>
    <row r="290" customFormat="false" ht="15" hidden="false" customHeight="false" outlineLevel="0" collapsed="false">
      <c r="A290" s="0" t="n">
        <v>289</v>
      </c>
      <c r="B290" s="0" t="s">
        <v>308</v>
      </c>
      <c r="C290" s="0" t="s">
        <v>718</v>
      </c>
      <c r="D290" s="0" t="s">
        <v>318</v>
      </c>
      <c r="F290" s="0" t="s">
        <v>339</v>
      </c>
    </row>
    <row r="291" customFormat="false" ht="15" hidden="false" customHeight="false" outlineLevel="0" collapsed="false">
      <c r="A291" s="0" t="n">
        <v>290</v>
      </c>
      <c r="B291" s="0" t="s">
        <v>308</v>
      </c>
      <c r="C291" s="0" t="s">
        <v>719</v>
      </c>
      <c r="D291" s="0" t="s">
        <v>318</v>
      </c>
      <c r="F291" s="0" t="s">
        <v>720</v>
      </c>
    </row>
    <row r="292" customFormat="false" ht="15" hidden="false" customHeight="false" outlineLevel="0" collapsed="false">
      <c r="A292" s="0" t="n">
        <v>291</v>
      </c>
      <c r="B292" s="0" t="s">
        <v>308</v>
      </c>
      <c r="C292" s="0" t="s">
        <v>721</v>
      </c>
      <c r="D292" s="0" t="s">
        <v>722</v>
      </c>
      <c r="F292" s="0" t="s">
        <v>323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0"/>
  </cols>
  <sheetData>
    <row r="1" customFormat="false" ht="17.35" hidden="false" customHeight="false" outlineLevel="0" collapsed="false">
      <c r="A1" s="2" t="s">
        <v>723</v>
      </c>
      <c r="B1" s="2"/>
      <c r="C1" s="2"/>
      <c r="D1" s="2"/>
    </row>
    <row r="3" customFormat="false" ht="15" hidden="false" customHeight="false" outlineLevel="0" collapsed="false">
      <c r="A3" s="3" t="s">
        <v>724</v>
      </c>
      <c r="B3" s="3" t="s">
        <v>725</v>
      </c>
    </row>
    <row r="4" customFormat="false" ht="15" hidden="false" customHeight="false" outlineLevel="0" collapsed="false">
      <c r="A4" s="0" t="s">
        <v>726</v>
      </c>
      <c r="B4" s="0" t="n">
        <f aca="false">COUNTA('Clinics Overview'!B2:B96)</f>
        <v>95</v>
      </c>
    </row>
    <row r="5" customFormat="false" ht="15" hidden="false" customHeight="false" outlineLevel="0" collapsed="false">
      <c r="A5" s="0" t="s">
        <v>727</v>
      </c>
      <c r="B5" s="0" t="n">
        <f aca="false">SUMPRODUCT(--((ISNUMBER(SEARCH("yes",'Clinics Overview'!G2:G96))+ISNUMBER(SEARCH("partial",'Clinics Overview'!G2:G96)))&gt;0))</f>
        <v>53</v>
      </c>
    </row>
    <row r="6" customFormat="false" ht="15" hidden="false" customHeight="false" outlineLevel="0" collapsed="false">
      <c r="A6" s="0" t="s">
        <v>728</v>
      </c>
      <c r="B6" s="0" t="n">
        <f aca="false">B4-B5</f>
        <v>42</v>
      </c>
    </row>
    <row r="7" customFormat="false" ht="15" hidden="false" customHeight="false" outlineLevel="0" collapsed="false">
      <c r="A7" s="0" t="s">
        <v>729</v>
      </c>
      <c r="B7" s="0" t="n">
        <f aca="false">COUNTA('All Procedures'!C2:C292)</f>
        <v>291</v>
      </c>
    </row>
    <row r="9" customFormat="false" ht="15" hidden="false" customHeight="false" outlineLevel="0" collapsed="false">
      <c r="A9" s="3" t="s">
        <v>730</v>
      </c>
      <c r="B9" s="3" t="s">
        <v>731</v>
      </c>
    </row>
    <row r="10" customFormat="false" ht="15" hidden="false" customHeight="false" outlineLevel="0" collapsed="false">
      <c r="A10" s="0" t="s">
        <v>323</v>
      </c>
      <c r="B10" s="0" t="n">
        <f aca="false">SUMPRODUCT(--(COUNTIFS('All Procedures'!$B$2:$B$292,'Clinics Overview'!$B$2:$B$96,'All Procedures'!$F$2:$F$292,"*"&amp;"Botox / Neuromodulators"&amp;"*")&gt;0))</f>
        <v>62</v>
      </c>
    </row>
    <row r="11" customFormat="false" ht="15" hidden="false" customHeight="false" outlineLevel="0" collapsed="false">
      <c r="A11" s="0" t="s">
        <v>325</v>
      </c>
      <c r="B11" s="0" t="n">
        <f aca="false">SUMPRODUCT(--(COUNTIFS('All Procedures'!$B$2:$B$292,'Clinics Overview'!$B$2:$B$96,'All Procedures'!$F$2:$F$292,"*"&amp;"Dermal / Lip Fillers"&amp;"*")&gt;0))</f>
        <v>53</v>
      </c>
    </row>
    <row r="12" customFormat="false" ht="15" hidden="false" customHeight="false" outlineLevel="0" collapsed="false">
      <c r="A12" s="0" t="s">
        <v>345</v>
      </c>
      <c r="B12" s="0" t="n">
        <f aca="false">SUMPRODUCT(--(COUNTIFS('All Procedures'!$B$2:$B$292,'Clinics Overview'!$B$2:$B$96,'All Procedures'!$F$2:$F$292,"*"&amp;"Sculptra / Biostimulators"&amp;"*")&gt;0))</f>
        <v>12</v>
      </c>
    </row>
    <row r="13" customFormat="false" ht="15" hidden="false" customHeight="false" outlineLevel="0" collapsed="false">
      <c r="A13" s="0" t="s">
        <v>732</v>
      </c>
      <c r="B13" s="0" t="n">
        <f aca="false">SUMPRODUCT(--(COUNTIFS('All Procedures'!$B$2:$B$292,'Clinics Overview'!$B$2:$B$96,'All Procedures'!$F$2:$F$292,"*"&amp;"Kybella"&amp;"*")&gt;0))</f>
        <v>6</v>
      </c>
    </row>
    <row r="14" customFormat="false" ht="15" hidden="false" customHeight="false" outlineLevel="0" collapsed="false">
      <c r="A14" s="0" t="s">
        <v>396</v>
      </c>
      <c r="B14" s="0" t="n">
        <f aca="false">SUMPRODUCT(--(COUNTIFS('All Procedures'!$B$2:$B$292,'Clinics Overview'!$B$2:$B$96,'All Procedures'!$F$2:$F$292,"*"&amp;"HydraFacial"&amp;"*")&gt;0))</f>
        <v>21</v>
      </c>
    </row>
    <row r="15" customFormat="false" ht="15" hidden="false" customHeight="false" outlineLevel="0" collapsed="false">
      <c r="A15" s="0" t="s">
        <v>330</v>
      </c>
      <c r="B15" s="0" t="n">
        <f aca="false">SUMPRODUCT(--(COUNTIFS('All Procedures'!$B$2:$B$292,'Clinics Overview'!$B$2:$B$96,'All Procedures'!$F$2:$F$292,"*"&amp;"Chemical Peels"&amp;"*")&gt;0))</f>
        <v>28</v>
      </c>
    </row>
    <row r="16" customFormat="false" ht="15" hidden="false" customHeight="false" outlineLevel="0" collapsed="false">
      <c r="A16" s="0" t="s">
        <v>331</v>
      </c>
      <c r="B16" s="0" t="n">
        <f aca="false">SUMPRODUCT(--(COUNTIFS('All Procedures'!$B$2:$B$292,'Clinics Overview'!$B$2:$B$96,'All Procedures'!$F$2:$F$292,"*"&amp;"Microneedling"&amp;"*")&gt;0))</f>
        <v>31</v>
      </c>
    </row>
    <row r="17" customFormat="false" ht="15" hidden="false" customHeight="false" outlineLevel="0" collapsed="false">
      <c r="A17" s="0" t="s">
        <v>415</v>
      </c>
      <c r="B17" s="0" t="n">
        <f aca="false">SUMPRODUCT(--(COUNTIFS('All Procedures'!$B$2:$B$292,'Clinics Overview'!$B$2:$B$96,'All Procedures'!$F$2:$F$292,"*"&amp;"Laser Hair Removal"&amp;"*")&gt;0))</f>
        <v>26</v>
      </c>
    </row>
    <row r="18" customFormat="false" ht="15" hidden="false" customHeight="false" outlineLevel="0" collapsed="false">
      <c r="A18" s="0" t="s">
        <v>321</v>
      </c>
      <c r="B18" s="0" t="n">
        <f aca="false">SUMPRODUCT(--(COUNTIFS('All Procedures'!$B$2:$B$292,'Clinics Overview'!$B$2:$B$96,'All Procedures'!$F$2:$F$292,"*"&amp;"Body Contouring / CoolSculpting"&amp;"*")&gt;0))</f>
        <v>29</v>
      </c>
    </row>
    <row r="19" customFormat="false" ht="15" hidden="false" customHeight="false" outlineLevel="0" collapsed="false">
      <c r="A19" s="0" t="s">
        <v>512</v>
      </c>
      <c r="B19" s="0" t="n">
        <f aca="false">SUMPRODUCT(--(COUNTIFS('All Procedures'!$B$2:$B$292,'Clinics Overview'!$B$2:$B$96,'All Procedures'!$F$2:$F$292,"*"&amp;"Skin Tightening (Morpheus8/RF)"&amp;"*")&gt;0))</f>
        <v>14</v>
      </c>
    </row>
    <row r="20" customFormat="false" ht="15" hidden="false" customHeight="false" outlineLevel="0" collapsed="false">
      <c r="A20" s="0" t="s">
        <v>333</v>
      </c>
      <c r="B20" s="0" t="n">
        <f aca="false">SUMPRODUCT(--(COUNTIFS('All Procedures'!$B$2:$B$292,'Clinics Overview'!$B$2:$B$96,'All Procedures'!$F$2:$F$292,"*"&amp;"IV Therapy"&amp;"*")&gt;0))</f>
        <v>11</v>
      </c>
    </row>
    <row r="21" customFormat="false" ht="15" hidden="false" customHeight="false" outlineLevel="0" collapsed="false">
      <c r="A21" s="0" t="s">
        <v>457</v>
      </c>
      <c r="B21" s="0" t="n">
        <f aca="false">SUMPRODUCT(--(COUNTIFS('All Procedures'!$B$2:$B$292,'Clinics Overview'!$B$2:$B$96,'All Procedures'!$F$2:$F$292,"*"&amp;"PRP / PRF"&amp;"*")&gt;0))</f>
        <v>11</v>
      </c>
    </row>
    <row r="22" customFormat="false" ht="15" hidden="false" customHeight="false" outlineLevel="0" collapsed="false">
      <c r="A22" s="0" t="s">
        <v>328</v>
      </c>
      <c r="B22" s="0" t="n">
        <f aca="false">SUMPRODUCT(--(COUNTIFS('All Procedures'!$B$2:$B$292,'Clinics Overview'!$B$2:$B$96,'All Procedures'!$F$2:$F$292,"*"&amp;"Medical Weight Loss / GLP-1"&amp;"*")&gt;0))</f>
        <v>12</v>
      </c>
    </row>
    <row r="23" customFormat="false" ht="15" hidden="false" customHeight="false" outlineLevel="0" collapsed="false">
      <c r="A23" s="0" t="s">
        <v>393</v>
      </c>
      <c r="B23" s="0" t="n">
        <f aca="false">SUMPRODUCT(--(COUNTIFS('All Procedures'!$B$2:$B$292,'Clinics Overview'!$B$2:$B$96,'All Procedures'!$F$2:$F$292,"*"&amp;"Hormone Therapy"&amp;"*")&gt;0))</f>
        <v>7</v>
      </c>
    </row>
    <row r="24" customFormat="false" ht="15" hidden="false" customHeight="false" outlineLevel="0" collapsed="false">
      <c r="A24" s="0" t="s">
        <v>410</v>
      </c>
      <c r="B24" s="0" t="n">
        <f aca="false">SUMPRODUCT(--(COUNTIFS('All Procedures'!$B$2:$B$292,'Clinics Overview'!$B$2:$B$96,'All Procedures'!$F$2:$F$292,"*"&amp;"IPL / Photofacial"&amp;"*")&gt;0))</f>
        <v>19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5" hidden="false" customHeight="false" outlineLevel="0" collapsed="false">
      <c r="A1" s="0" t="s">
        <v>733</v>
      </c>
    </row>
    <row r="3" customFormat="false" ht="15" hidden="false" customHeight="false" outlineLevel="0" collapsed="false">
      <c r="A3" s="0" t="s">
        <v>734</v>
      </c>
    </row>
    <row r="4" customFormat="false" ht="15" hidden="false" customHeight="false" outlineLevel="0" collapsed="false">
      <c r="A4" s="0" t="s">
        <v>735</v>
      </c>
    </row>
    <row r="5" customFormat="false" ht="15" hidden="false" customHeight="false" outlineLevel="0" collapsed="false">
      <c r="A5" s="0" t="s">
        <v>736</v>
      </c>
    </row>
    <row r="6" customFormat="false" ht="15" hidden="false" customHeight="false" outlineLevel="0" collapsed="false">
      <c r="A6" s="0" t="s">
        <v>737</v>
      </c>
    </row>
    <row r="7" customFormat="false" ht="15" hidden="false" customHeight="false" outlineLevel="0" collapsed="false">
      <c r="A7" s="0" t="s">
        <v>738</v>
      </c>
    </row>
    <row r="8" customFormat="false" ht="15" hidden="false" customHeight="false" outlineLevel="0" collapsed="false">
      <c r="A8" s="0" t="s">
        <v>739</v>
      </c>
    </row>
    <row r="9" customFormat="false" ht="15" hidden="false" customHeight="false" outlineLevel="0" collapsed="false">
      <c r="A9" s="0" t="s">
        <v>740</v>
      </c>
    </row>
    <row r="11" customFormat="false" ht="15" hidden="false" customHeight="false" outlineLevel="0" collapsed="false">
      <c r="A11" s="0" t="s">
        <v>741</v>
      </c>
    </row>
    <row r="12" customFormat="false" ht="15" hidden="false" customHeight="false" outlineLevel="0" collapsed="false">
      <c r="A12" s="0" t="s">
        <v>742</v>
      </c>
    </row>
    <row r="13" customFormat="false" ht="15" hidden="false" customHeight="false" outlineLevel="0" collapsed="false">
      <c r="A13" s="0" t="s">
        <v>743</v>
      </c>
    </row>
    <row r="14" customFormat="false" ht="15" hidden="false" customHeight="false" outlineLevel="0" collapsed="false">
      <c r="A14" s="0" t="s">
        <v>744</v>
      </c>
    </row>
    <row r="16" customFormat="false" ht="15" hidden="false" customHeight="false" outlineLevel="0" collapsed="false">
      <c r="A16" s="0" t="s">
        <v>745</v>
      </c>
    </row>
    <row r="17" customFormat="false" ht="15" hidden="false" customHeight="false" outlineLevel="0" collapsed="false">
      <c r="A17" s="0" t="s">
        <v>746</v>
      </c>
    </row>
    <row r="18" customFormat="false" ht="15" hidden="false" customHeight="false" outlineLevel="0" collapsed="false">
      <c r="A18" s="0" t="s">
        <v>747</v>
      </c>
    </row>
    <row r="19" customFormat="false" ht="15" hidden="false" customHeight="false" outlineLevel="0" collapsed="false">
      <c r="A19" s="0" t="s">
        <v>748</v>
      </c>
    </row>
    <row r="20" customFormat="false" ht="15" hidden="false" customHeight="false" outlineLevel="0" collapsed="false">
      <c r="A20" s="0" t="s">
        <v>749</v>
      </c>
    </row>
    <row r="22" customFormat="false" ht="15" hidden="false" customHeight="false" outlineLevel="0" collapsed="false">
      <c r="A22" s="0" t="s">
        <v>750</v>
      </c>
    </row>
    <row r="23" customFormat="false" ht="15" hidden="false" customHeight="false" outlineLevel="0" collapsed="false">
      <c r="A23" s="0" t="s">
        <v>751</v>
      </c>
    </row>
    <row r="24" customFormat="false" ht="15" hidden="false" customHeight="false" outlineLevel="0" collapsed="false">
      <c r="A24" s="0" t="s">
        <v>752</v>
      </c>
    </row>
    <row r="25" customFormat="false" ht="15" hidden="false" customHeight="false" outlineLevel="0" collapsed="false">
      <c r="A25" s="0" t="s">
        <v>753</v>
      </c>
    </row>
    <row r="26" customFormat="false" ht="15" hidden="false" customHeight="false" outlineLevel="0" collapsed="false">
      <c r="A26" s="0" t="s">
        <v>754</v>
      </c>
    </row>
    <row r="27" customFormat="false" ht="15" hidden="false" customHeight="false" outlineLevel="0" collapsed="false">
      <c r="A27" s="0" t="s">
        <v>755</v>
      </c>
    </row>
    <row r="29" customFormat="false" ht="15" hidden="false" customHeight="false" outlineLevel="0" collapsed="false">
      <c r="A29" s="0" t="s">
        <v>756</v>
      </c>
    </row>
    <row r="30" customFormat="false" ht="15" hidden="false" customHeight="false" outlineLevel="0" collapsed="false">
      <c r="A30" s="0" t="s">
        <v>757</v>
      </c>
    </row>
    <row r="31" customFormat="false" ht="15" hidden="false" customHeight="false" outlineLevel="0" collapsed="false">
      <c r="A31" s="0" t="s">
        <v>758</v>
      </c>
    </row>
    <row r="32" customFormat="false" ht="15" hidden="false" customHeight="false" outlineLevel="0" collapsed="false">
      <c r="A32" s="0" t="s">
        <v>759</v>
      </c>
    </row>
    <row r="33" customFormat="false" ht="15" hidden="false" customHeight="false" outlineLevel="0" collapsed="false">
      <c r="A33" s="0" t="s">
        <v>760</v>
      </c>
    </row>
    <row r="35" customFormat="false" ht="15" hidden="false" customHeight="false" outlineLevel="0" collapsed="false">
      <c r="A35" s="0" t="s">
        <v>761</v>
      </c>
    </row>
    <row r="36" customFormat="false" ht="15" hidden="false" customHeight="false" outlineLevel="0" collapsed="false">
      <c r="A36" s="0" t="s">
        <v>762</v>
      </c>
    </row>
    <row r="37" customFormat="false" ht="15" hidden="false" customHeight="false" outlineLevel="0" collapsed="false">
      <c r="A37" s="0" t="s">
        <v>763</v>
      </c>
    </row>
    <row r="39" customFormat="false" ht="15" hidden="false" customHeight="false" outlineLevel="0" collapsed="false">
      <c r="A39" s="0" t="s">
        <v>764</v>
      </c>
    </row>
    <row r="40" customFormat="false" ht="15" hidden="false" customHeight="false" outlineLevel="0" collapsed="false">
      <c r="A40" s="0" t="s">
        <v>765</v>
      </c>
    </row>
    <row r="41" customFormat="false" ht="15" hidden="false" customHeight="false" outlineLevel="0" collapsed="false">
      <c r="A41" s="0" t="s">
        <v>766</v>
      </c>
    </row>
    <row r="42" customFormat="false" ht="15" hidden="false" customHeight="false" outlineLevel="0" collapsed="false">
      <c r="A42" s="0" t="s">
        <v>767</v>
      </c>
    </row>
    <row r="43" customFormat="false" ht="15" hidden="false" customHeight="false" outlineLevel="0" collapsed="false">
      <c r="A43" s="0" t="s">
        <v>768</v>
      </c>
    </row>
    <row r="44" customFormat="false" ht="15" hidden="false" customHeight="false" outlineLevel="0" collapsed="false">
      <c r="A44" s="0" t="s">
        <v>769</v>
      </c>
    </row>
    <row r="45" customFormat="false" ht="15" hidden="false" customHeight="false" outlineLevel="0" collapsed="false">
      <c r="A45" s="0" t="s">
        <v>770</v>
      </c>
    </row>
    <row r="46" customFormat="false" ht="15" hidden="false" customHeight="false" outlineLevel="0" collapsed="false">
      <c r="A46" s="0" t="s">
        <v>771</v>
      </c>
    </row>
    <row r="47" customFormat="false" ht="15" hidden="false" customHeight="false" outlineLevel="0" collapsed="false">
      <c r="A47" s="0" t="s">
        <v>772</v>
      </c>
    </row>
    <row r="48" customFormat="false" ht="15" hidden="false" customHeight="false" outlineLevel="0" collapsed="false">
      <c r="A48" s="0" t="s">
        <v>773</v>
      </c>
    </row>
    <row r="49" customFormat="false" ht="15" hidden="false" customHeight="false" outlineLevel="0" collapsed="false">
      <c r="A49" s="0" t="s">
        <v>774</v>
      </c>
    </row>
    <row r="51" customFormat="false" ht="15" hidden="false" customHeight="false" outlineLevel="0" collapsed="false">
      <c r="A51" s="0" t="s">
        <v>775</v>
      </c>
    </row>
    <row r="52" customFormat="false" ht="15" hidden="false" customHeight="false" outlineLevel="0" collapsed="false">
      <c r="A52" s="0" t="s">
        <v>776</v>
      </c>
    </row>
    <row r="53" customFormat="false" ht="15" hidden="false" customHeight="false" outlineLevel="0" collapsed="false">
      <c r="A53" s="0" t="s">
        <v>777</v>
      </c>
    </row>
    <row r="54" customFormat="false" ht="15" hidden="false" customHeight="false" outlineLevel="0" collapsed="false">
      <c r="A54" s="0" t="s">
        <v>778</v>
      </c>
    </row>
    <row r="55" customFormat="false" ht="15" hidden="false" customHeight="false" outlineLevel="0" collapsed="false">
      <c r="A55" s="0" t="s">
        <v>779</v>
      </c>
    </row>
    <row r="56" customFormat="false" ht="15" hidden="false" customHeight="false" outlineLevel="0" collapsed="false">
      <c r="A56" s="0" t="s">
        <v>780</v>
      </c>
    </row>
    <row r="57" customFormat="false" ht="15" hidden="false" customHeight="false" outlineLevel="0" collapsed="false">
      <c r="A57" s="0" t="s">
        <v>781</v>
      </c>
    </row>
    <row r="58" customFormat="false" ht="15" hidden="false" customHeight="false" outlineLevel="0" collapsed="false">
      <c r="A58" s="0" t="s">
        <v>782</v>
      </c>
    </row>
    <row r="59" customFormat="false" ht="15" hidden="false" customHeight="false" outlineLevel="0" collapsed="false">
      <c r="A59" s="0" t="s">
        <v>783</v>
      </c>
    </row>
    <row r="60" customFormat="false" ht="15" hidden="false" customHeight="false" outlineLevel="0" collapsed="false">
      <c r="A60" s="0" t="s">
        <v>784</v>
      </c>
    </row>
    <row r="61" customFormat="false" ht="15" hidden="false" customHeight="false" outlineLevel="0" collapsed="false">
      <c r="A61" s="0" t="s">
        <v>785</v>
      </c>
    </row>
    <row r="63" customFormat="false" ht="15" hidden="false" customHeight="false" outlineLevel="0" collapsed="false">
      <c r="A63" s="0" t="s">
        <v>786</v>
      </c>
    </row>
    <row r="64" customFormat="false" ht="15" hidden="false" customHeight="false" outlineLevel="0" collapsed="false">
      <c r="A64" s="0" t="s">
        <v>787</v>
      </c>
    </row>
    <row r="65" customFormat="false" ht="15" hidden="false" customHeight="false" outlineLevel="0" collapsed="false">
      <c r="A65" s="0" t="s">
        <v>788</v>
      </c>
    </row>
    <row r="66" customFormat="false" ht="15" hidden="false" customHeight="false" outlineLevel="0" collapsed="false">
      <c r="A66" s="0" t="s">
        <v>789</v>
      </c>
    </row>
    <row r="67" customFormat="false" ht="15" hidden="false" customHeight="false" outlineLevel="0" collapsed="false">
      <c r="A67" s="0" t="s">
        <v>790</v>
      </c>
    </row>
    <row r="68" customFormat="false" ht="15" hidden="false" customHeight="false" outlineLevel="0" collapsed="false">
      <c r="A68" s="0" t="s">
        <v>791</v>
      </c>
    </row>
    <row r="70" customFormat="false" ht="15" hidden="false" customHeight="false" outlineLevel="0" collapsed="false">
      <c r="A70" s="0" t="s">
        <v>792</v>
      </c>
    </row>
    <row r="71" customFormat="false" ht="15" hidden="false" customHeight="false" outlineLevel="0" collapsed="false">
      <c r="A71" s="0" t="s">
        <v>793</v>
      </c>
    </row>
    <row r="73" customFormat="false" ht="15" hidden="false" customHeight="false" outlineLevel="0" collapsed="false">
      <c r="A73" s="0" t="s">
        <v>794</v>
      </c>
    </row>
    <row r="74" customFormat="false" ht="15" hidden="false" customHeight="false" outlineLevel="0" collapsed="false">
      <c r="A74" s="0" t="s">
        <v>795</v>
      </c>
    </row>
    <row r="75" customFormat="false" ht="15" hidden="false" customHeight="false" outlineLevel="0" collapsed="false">
      <c r="A75" s="0" t="s">
        <v>796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2026-08-24T16:12:25Z</dcterms:created>
  <dc:creator>openpyxl</dc:creator>
  <dc:description/>
  <dc:language>en-US</dc:language>
  <cp:lastModifiedBy/>
  <dcterms:modified xsi:type="dcterms:W3CDTF">2026-08-24T16:12:25Z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