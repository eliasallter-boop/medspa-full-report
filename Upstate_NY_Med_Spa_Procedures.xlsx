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s Overview" sheetId="1" state="visible" r:id="rId1"/>
    <sheet xmlns:r="http://schemas.openxmlformats.org/officeDocument/2006/relationships" name="All Procedur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b val="1"/>
      <color rgb="FFFFFFFF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2" customWidth="1" min="4" max="4"/>
    <col width="40" customWidth="1" min="5" max="5"/>
    <col width="34" customWidth="1" min="6" max="6"/>
    <col width="14" customWidth="1" min="7" max="7"/>
    <col width="10" customWidth="1" min="8" max="8"/>
    <col width="60" customWidth="1" min="9" max="9"/>
  </cols>
  <sheetData>
    <row r="1">
      <c r="A1" s="1" t="inlineStr">
        <is>
          <t>#</t>
        </is>
      </c>
      <c r="B1" s="1" t="inlineStr">
        <is>
          <t>Clinic Name</t>
        </is>
      </c>
      <c r="C1" s="1" t="inlineStr">
        <is>
          <t>Town</t>
        </is>
      </c>
      <c r="D1" s="1" t="inlineStr">
        <is>
          <t>Address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Pricing on File?</t>
        </is>
      </c>
      <c r="H1" s="1" t="inlineStr">
        <is>
          <t># Procedures Logged</t>
        </is>
      </c>
      <c r="I1" s="1" t="inlineStr">
        <is>
          <t>Notes</t>
        </is>
      </c>
    </row>
    <row r="2">
      <c r="A2" t="n">
        <v>1</v>
      </c>
      <c r="B2" t="inlineStr">
        <is>
          <t>La Lume Med Spa</t>
        </is>
      </c>
      <c r="C2" t="inlineStr">
        <is>
          <t>Rhinebeck</t>
        </is>
      </c>
      <c r="D2" t="inlineStr">
        <is>
          <t>Not published</t>
        </is>
      </c>
      <c r="E2" t="inlineStr">
        <is>
          <t>havenrhinebeck.com/la-lume-med-spa</t>
        </is>
      </c>
      <c r="F2" t="inlineStr">
        <is>
          <t>no email found (booking form only)</t>
        </is>
      </c>
      <c r="G2" t="inlineStr">
        <is>
          <t>No</t>
        </is>
      </c>
      <c r="H2" t="n">
        <v>3</v>
      </c>
    </row>
    <row r="3">
      <c r="A3" t="n">
        <v>2</v>
      </c>
      <c r="B3" t="inlineStr">
        <is>
          <t>Jolie Aesthetics &amp; Wellness (Rhinebeck)</t>
        </is>
      </c>
      <c r="C3" t="inlineStr">
        <is>
          <t>Rhinebeck</t>
        </is>
      </c>
      <c r="D3" t="inlineStr">
        <is>
          <t>Loft above La Tua Bella Salon, downtown Rhinebeck, NY</t>
        </is>
      </c>
      <c r="E3" t="inlineStr">
        <is>
          <t>joliemedispa.com/rhinebeck</t>
        </is>
      </c>
      <c r="F3" t="inlineStr">
        <is>
          <t>no email found, phone 845-501-4215</t>
        </is>
      </c>
      <c r="G3" t="inlineStr">
        <is>
          <t>No</t>
        </is>
      </c>
      <c r="H3" t="n">
        <v>4</v>
      </c>
    </row>
    <row r="4">
      <c r="A4" t="n">
        <v>3</v>
      </c>
      <c r="B4" t="inlineStr">
        <is>
          <t>Medical Aesthetics of the Hudson Valley</t>
        </is>
      </c>
      <c r="C4" t="inlineStr">
        <is>
          <t>Kingston (multi-location: Kingston, Hudson, Rhinebeck, Poughkeepsie)</t>
        </is>
      </c>
      <c r="D4" t="inlineStr">
        <is>
          <t>166 Albany Avenue, Kingston, NY 12401</t>
        </is>
      </c>
      <c r="E4" t="inlineStr">
        <is>
          <t>medicalaestheticshv.com</t>
        </is>
      </c>
      <c r="F4" t="inlineStr">
        <is>
          <t>no email found, phone 845-339-5273</t>
        </is>
      </c>
      <c r="G4" t="inlineStr">
        <is>
          <t>Yes</t>
        </is>
      </c>
      <c r="H4" t="n">
        <v>4</v>
      </c>
      <c r="I4" t="inlineStr">
        <is>
          <t>Logged once under its Kingston HQ to avoid double-counting across its 4 locations.</t>
        </is>
      </c>
    </row>
    <row r="5">
      <c r="A5" t="n">
        <v>4</v>
      </c>
      <c r="B5" t="inlineStr">
        <is>
          <t>Poppi Wellness</t>
        </is>
      </c>
      <c r="C5" t="inlineStr">
        <is>
          <t>Hudson</t>
        </is>
      </c>
      <c r="D5" t="inlineStr">
        <is>
          <t>Not published</t>
        </is>
      </c>
      <c r="E5" t="inlineStr">
        <is>
          <t>poppiwellness.com</t>
        </is>
      </c>
      <c r="F5" t="inlineStr">
        <is>
          <t>no email found (booking form only)</t>
        </is>
      </c>
      <c r="G5" t="inlineStr">
        <is>
          <t>No</t>
        </is>
      </c>
      <c r="H5" t="n">
        <v>2</v>
      </c>
    </row>
    <row r="6">
      <c r="A6" t="n">
        <v>5</v>
      </c>
      <c r="B6" t="inlineStr">
        <is>
          <t>Bellissima Medspa and Wellness</t>
        </is>
      </c>
      <c r="C6" t="inlineStr">
        <is>
          <t>New Paltz</t>
        </is>
      </c>
      <c r="D6" t="inlineStr">
        <is>
          <t>Not published</t>
        </is>
      </c>
      <c r="E6" t="inlineStr">
        <is>
          <t>bellissimamedspahv.com</t>
        </is>
      </c>
      <c r="F6" t="inlineStr">
        <is>
          <t>no email found (booking form only)</t>
        </is>
      </c>
      <c r="G6" t="inlineStr">
        <is>
          <t>No</t>
        </is>
      </c>
      <c r="H6" t="n">
        <v>2</v>
      </c>
    </row>
    <row r="7">
      <c r="A7" t="n">
        <v>6</v>
      </c>
      <c r="B7" t="inlineStr">
        <is>
          <t>Essence Medispa</t>
        </is>
      </c>
      <c r="C7" t="inlineStr">
        <is>
          <t>New Paltz (Highland)</t>
        </is>
      </c>
      <c r="D7" t="inlineStr">
        <is>
          <t>Not published</t>
        </is>
      </c>
      <c r="E7" t="inlineStr">
        <is>
          <t>essencemedispa.com</t>
        </is>
      </c>
      <c r="F7" t="inlineStr">
        <is>
          <t>no email found (booking form only)</t>
        </is>
      </c>
      <c r="G7" t="inlineStr">
        <is>
          <t>No</t>
        </is>
      </c>
      <c r="H7" t="n">
        <v>0</v>
      </c>
      <c r="I7" t="inlineStr">
        <is>
          <t>Confirmed operating aesthetician practice; no specific treatment menu confirmed via public listing search.</t>
        </is>
      </c>
    </row>
    <row r="8">
      <c r="A8" t="n">
        <v>7</v>
      </c>
      <c r="B8" t="inlineStr">
        <is>
          <t>Tyte Medispa</t>
        </is>
      </c>
      <c r="C8" t="inlineStr">
        <is>
          <t>Millbrook</t>
        </is>
      </c>
      <c r="D8" t="inlineStr">
        <is>
          <t>Not published</t>
        </is>
      </c>
      <c r="E8" t="inlineStr">
        <is>
          <t>tytemedispa.com</t>
        </is>
      </c>
      <c r="F8" t="inlineStr">
        <is>
          <t>no email found (booking form only)</t>
        </is>
      </c>
      <c r="G8" t="inlineStr">
        <is>
          <t>No</t>
        </is>
      </c>
      <c r="H8" t="n">
        <v>1</v>
      </c>
      <c r="I8" t="inlineStr">
        <is>
          <t>Non-invasive/minimally invasive anti-aging &amp; body contouring; Botox/fillers not explicitly confirmed.</t>
        </is>
      </c>
    </row>
    <row r="9">
      <c r="A9" t="n">
        <v>8</v>
      </c>
      <c r="B9" t="inlineStr">
        <is>
          <t>Lily's Medi Spa</t>
        </is>
      </c>
      <c r="C9" t="inlineStr">
        <is>
          <t>Millbrook</t>
        </is>
      </c>
      <c r="D9" t="inlineStr">
        <is>
          <t>Not published</t>
        </is>
      </c>
      <c r="E9" t="inlineStr">
        <is>
          <t>yelp.com (no dedicated site found)</t>
        </is>
      </c>
      <c r="F9" t="inlineStr">
        <is>
          <t>no email found</t>
        </is>
      </c>
      <c r="G9" t="inlineStr">
        <is>
          <t>No</t>
        </is>
      </c>
      <c r="H9" t="n">
        <v>0</v>
      </c>
      <c r="I9" t="inlineStr">
        <is>
          <t>Confirmed via directory listing; no specific treatment menu confirmed via public listing search.</t>
        </is>
      </c>
    </row>
    <row r="10">
      <c r="A10" t="n">
        <v>9</v>
      </c>
      <c r="B10" t="inlineStr">
        <is>
          <t>Greenwich Medical Spa (Scarsdale)</t>
        </is>
      </c>
      <c r="C10" t="inlineStr">
        <is>
          <t>Scarsdale</t>
        </is>
      </c>
      <c r="D10" t="inlineStr">
        <is>
          <t>1132 Wilmot Rd, Scarsdale, NY 10583</t>
        </is>
      </c>
      <c r="E10" t="inlineStr">
        <is>
          <t>greenwichmedicalspa.com/contact-us-scarsdale/</t>
        </is>
      </c>
      <c r="F10" t="inlineStr">
        <is>
          <t>no email found, phone (914) 278-6794</t>
        </is>
      </c>
      <c r="G10" t="inlineStr">
        <is>
          <t>No</t>
        </is>
      </c>
      <c r="H10" t="n">
        <v>1</v>
      </c>
    </row>
    <row r="11">
      <c r="A11" t="n">
        <v>10</v>
      </c>
      <c r="B11" t="inlineStr">
        <is>
          <t>See Beyond Beauty</t>
        </is>
      </c>
      <c r="C11" t="inlineStr">
        <is>
          <t>Scarsdale</t>
        </is>
      </c>
      <c r="D11" t="inlineStr">
        <is>
          <t>Not published</t>
        </is>
      </c>
      <c r="E11" t="inlineStr">
        <is>
          <t>seebeyondbeauty.com</t>
        </is>
      </c>
      <c r="F11" t="inlineStr">
        <is>
          <t>no email found (booking form only)</t>
        </is>
      </c>
      <c r="G11" t="inlineStr">
        <is>
          <t>No</t>
        </is>
      </c>
      <c r="H11" t="n">
        <v>2</v>
      </c>
    </row>
    <row r="12">
      <c r="A12" t="n">
        <v>11</v>
      </c>
      <c r="B12" t="inlineStr">
        <is>
          <t>Youtherapy Medspa (Scarsdale)</t>
        </is>
      </c>
      <c r="C12" t="inlineStr">
        <is>
          <t>Scarsdale</t>
        </is>
      </c>
      <c r="D12" t="inlineStr">
        <is>
          <t>455 Central Park Avenue, Scarsdale, NY 10583</t>
        </is>
      </c>
      <c r="E12" t="inlineStr">
        <is>
          <t>youtherapymedspa.com/contact-us/scarsdale/</t>
        </is>
      </c>
      <c r="F12" t="inlineStr">
        <is>
          <t>no email found, phone 914-819-0409</t>
        </is>
      </c>
      <c r="G12" t="inlineStr">
        <is>
          <t>Partial</t>
        </is>
      </c>
      <c r="H12" t="n">
        <v>3</v>
      </c>
    </row>
    <row r="13">
      <c r="A13" t="n">
        <v>12</v>
      </c>
      <c r="B13" t="inlineStr">
        <is>
          <t>Aspire Medical Aesthetics</t>
        </is>
      </c>
      <c r="C13" t="inlineStr">
        <is>
          <t>Scarsdale</t>
        </is>
      </c>
      <c r="D13" t="inlineStr">
        <is>
          <t>Not published</t>
        </is>
      </c>
      <c r="E13" t="inlineStr">
        <is>
          <t>aspiremedaesthetics.com</t>
        </is>
      </c>
      <c r="F13" t="inlineStr">
        <is>
          <t>no email found (booking form only)</t>
        </is>
      </c>
      <c r="G13" t="inlineStr">
        <is>
          <t>No</t>
        </is>
      </c>
      <c r="H13" t="n">
        <v>2</v>
      </c>
    </row>
    <row r="14">
      <c r="A14" t="n">
        <v>13</v>
      </c>
      <c r="B14" t="inlineStr">
        <is>
          <t>The Formula MedSpa</t>
        </is>
      </c>
      <c r="C14" t="inlineStr">
        <is>
          <t>Rye</t>
        </is>
      </c>
      <c r="D14" t="inlineStr">
        <is>
          <t>77 Purchase St, 2nd Floor, Rye, NY 10580</t>
        </is>
      </c>
      <c r="E14" t="inlineStr">
        <is>
          <t>theformulamedspa.com</t>
        </is>
      </c>
      <c r="F14" t="inlineStr">
        <is>
          <t>info@theformulamedspa.com, phone (914) 305-2424</t>
        </is>
      </c>
      <c r="G14" t="inlineStr">
        <is>
          <t>Yes</t>
        </is>
      </c>
      <c r="H14" t="n">
        <v>4</v>
      </c>
    </row>
    <row r="15">
      <c r="A15" t="n">
        <v>14</v>
      </c>
      <c r="B15" t="inlineStr">
        <is>
          <t>Advanced Laser &amp; Medical Spa of Rye</t>
        </is>
      </c>
      <c r="C15" t="inlineStr">
        <is>
          <t>Rye</t>
        </is>
      </c>
      <c r="D15" t="inlineStr">
        <is>
          <t>Not published</t>
        </is>
      </c>
      <c r="E15" t="inlineStr">
        <is>
          <t>yelp.com/biz/advanced-laser-and-medical-spa-of-rye-rye</t>
        </is>
      </c>
      <c r="F15" t="inlineStr">
        <is>
          <t>no email found</t>
        </is>
      </c>
      <c r="G15" t="inlineStr">
        <is>
          <t>No</t>
        </is>
      </c>
      <c r="H15" t="n">
        <v>1</v>
      </c>
    </row>
    <row r="16">
      <c r="A16" t="n">
        <v>15</v>
      </c>
      <c r="B16" t="inlineStr">
        <is>
          <t>Primary Aesthetic Skin Care</t>
        </is>
      </c>
      <c r="C16" t="inlineStr">
        <is>
          <t>Bedford</t>
        </is>
      </c>
      <c r="D16" t="inlineStr">
        <is>
          <t>460 Old Post Rd Ste 2G, Bedford, NY</t>
        </is>
      </c>
      <c r="E16" t="inlineStr">
        <is>
          <t>Not published (no dedicated site found)</t>
        </is>
      </c>
      <c r="F16" t="inlineStr">
        <is>
          <t>no email found, phone 914.234.8670</t>
        </is>
      </c>
      <c r="G16" t="inlineStr">
        <is>
          <t>No</t>
        </is>
      </c>
      <c r="H16" t="n">
        <v>5</v>
      </c>
    </row>
    <row r="17">
      <c r="A17" t="n">
        <v>16</v>
      </c>
      <c r="B17" t="inlineStr">
        <is>
          <t>Park Avenue Medical Spa (Armonk)</t>
        </is>
      </c>
      <c r="C17" t="inlineStr">
        <is>
          <t>Armonk</t>
        </is>
      </c>
      <c r="D17" t="inlineStr">
        <is>
          <t>575 Main St, Ste 7, Armonk, NY 10504</t>
        </is>
      </c>
      <c r="E17" t="inlineStr">
        <is>
          <t>ayaskin.com/locations/armonk-medspa</t>
        </is>
      </c>
      <c r="F17" t="inlineStr">
        <is>
          <t>no email found, phone (914) 730-3333</t>
        </is>
      </c>
      <c r="G17" t="inlineStr">
        <is>
          <t>No</t>
        </is>
      </c>
      <c r="H17" t="n">
        <v>4</v>
      </c>
    </row>
    <row r="18">
      <c r="A18" t="n">
        <v>17</v>
      </c>
      <c r="B18" t="inlineStr">
        <is>
          <t>Youtherapy Medspa (Chappaqua)</t>
        </is>
      </c>
      <c r="C18" t="inlineStr">
        <is>
          <t>Chappaqua</t>
        </is>
      </c>
      <c r="D18" t="inlineStr">
        <is>
          <t>91 Bedford Road, Chappaqua, NY 10514</t>
        </is>
      </c>
      <c r="E18" t="inlineStr">
        <is>
          <t>youtherapymedspa.com/contact-us/chappaqua/</t>
        </is>
      </c>
      <c r="F18" t="inlineStr">
        <is>
          <t>no email found (booking form only)</t>
        </is>
      </c>
      <c r="G18" t="inlineStr">
        <is>
          <t>Partial</t>
        </is>
      </c>
      <c r="H18" t="n">
        <v>4</v>
      </c>
    </row>
    <row r="19">
      <c r="A19" t="n">
        <v>18</v>
      </c>
      <c r="B19" t="inlineStr">
        <is>
          <t>A Renewed You MedSpa (Chappaqua)</t>
        </is>
      </c>
      <c r="C19" t="inlineStr">
        <is>
          <t>Chappaqua</t>
        </is>
      </c>
      <c r="D19" t="inlineStr">
        <is>
          <t>Not published</t>
        </is>
      </c>
      <c r="E19" t="inlineStr">
        <is>
          <t>arenewedyouny.com</t>
        </is>
      </c>
      <c r="F19" t="inlineStr">
        <is>
          <t>no email found (booking form only)</t>
        </is>
      </c>
      <c r="G19" t="inlineStr">
        <is>
          <t>No</t>
        </is>
      </c>
      <c r="H19" t="n">
        <v>3</v>
      </c>
    </row>
    <row r="20">
      <c r="A20" t="n">
        <v>19</v>
      </c>
      <c r="B20" t="inlineStr">
        <is>
          <t>Hebe Medical Spa (Saratoga Springs)</t>
        </is>
      </c>
      <c r="C20" t="inlineStr">
        <is>
          <t>Saratoga Springs</t>
        </is>
      </c>
      <c r="D20" t="inlineStr">
        <is>
          <t>28 Division Street, Saratoga Springs, NY</t>
        </is>
      </c>
      <c r="E20" t="inlineStr">
        <is>
          <t>thehebespa.com/saratoga/</t>
        </is>
      </c>
      <c r="F20" t="inlineStr">
        <is>
          <t>no email found (booking form only)</t>
        </is>
      </c>
      <c r="G20" t="inlineStr">
        <is>
          <t>Partial</t>
        </is>
      </c>
      <c r="H20" t="n">
        <v>6</v>
      </c>
    </row>
    <row r="21">
      <c r="A21" t="n">
        <v>20</v>
      </c>
      <c r="B21" t="inlineStr">
        <is>
          <t>Bellatas Medical Aesthetics</t>
        </is>
      </c>
      <c r="C21" t="inlineStr">
        <is>
          <t>Saratoga Springs</t>
        </is>
      </c>
      <c r="D21" t="inlineStr">
        <is>
          <t>28 Clinton St, Saratoga Springs, NY 12866</t>
        </is>
      </c>
      <c r="E21" t="inlineStr">
        <is>
          <t>bellatasmedspa.com</t>
        </is>
      </c>
      <c r="F21" t="inlineStr">
        <is>
          <t>no email found, phone (518) 893-6120</t>
        </is>
      </c>
      <c r="G21" t="inlineStr">
        <is>
          <t>No</t>
        </is>
      </c>
      <c r="H21" t="n">
        <v>2</v>
      </c>
    </row>
    <row r="22">
      <c r="A22" t="n">
        <v>21</v>
      </c>
      <c r="B22" t="inlineStr">
        <is>
          <t>Medical Spa of Saratoga Springs Plastic Surgery, PC</t>
        </is>
      </c>
      <c r="C22" t="inlineStr">
        <is>
          <t>Saratoga Springs</t>
        </is>
      </c>
      <c r="D22" t="inlineStr">
        <is>
          <t>Not published</t>
        </is>
      </c>
      <c r="E22" t="inlineStr">
        <is>
          <t>yarinsky.com/non-surgical/</t>
        </is>
      </c>
      <c r="F22" t="inlineStr">
        <is>
          <t>no email found (booking form only)</t>
        </is>
      </c>
      <c r="G22" t="inlineStr">
        <is>
          <t>No</t>
        </is>
      </c>
      <c r="H22" t="n">
        <v>2</v>
      </c>
    </row>
    <row r="23">
      <c r="A23" t="n">
        <v>22</v>
      </c>
      <c r="B23" t="inlineStr">
        <is>
          <t>Dr. Ridha Med Spa</t>
        </is>
      </c>
      <c r="C23" t="inlineStr">
        <is>
          <t>Saratoga Springs</t>
        </is>
      </c>
      <c r="D23" t="inlineStr">
        <is>
          <t>Not published</t>
        </is>
      </c>
      <c r="E23" t="inlineStr">
        <is>
          <t>drridha.com/med-spa/</t>
        </is>
      </c>
      <c r="F23" t="inlineStr">
        <is>
          <t>no email found (booking form only)</t>
        </is>
      </c>
      <c r="G23" t="inlineStr">
        <is>
          <t>No</t>
        </is>
      </c>
      <c r="H23" t="n">
        <v>3</v>
      </c>
    </row>
    <row r="24">
      <c r="A24" t="n">
        <v>23</v>
      </c>
      <c r="B24" t="inlineStr">
        <is>
          <t>Sophie K. Aesthetics</t>
        </is>
      </c>
      <c r="C24" t="inlineStr">
        <is>
          <t>Saratoga Springs</t>
        </is>
      </c>
      <c r="D24" t="inlineStr">
        <is>
          <t>Not published</t>
        </is>
      </c>
      <c r="E24" t="inlineStr">
        <is>
          <t>sophiekaesthetics.com</t>
        </is>
      </c>
      <c r="F24" t="inlineStr">
        <is>
          <t>no email found (booking form only)</t>
        </is>
      </c>
      <c r="G24" t="inlineStr">
        <is>
          <t>No</t>
        </is>
      </c>
      <c r="H24" t="n">
        <v>3</v>
      </c>
    </row>
    <row r="25">
      <c r="A25" t="n">
        <v>24</v>
      </c>
      <c r="B25" t="inlineStr">
        <is>
          <t>VIO Med Spa (Saratoga Springs)</t>
        </is>
      </c>
      <c r="C25" t="inlineStr">
        <is>
          <t>Saratoga Springs</t>
        </is>
      </c>
      <c r="D25" t="inlineStr">
        <is>
          <t>Not published</t>
        </is>
      </c>
      <c r="E25" t="inlineStr">
        <is>
          <t>viomedspa.com/saratoga-springs/</t>
        </is>
      </c>
      <c r="F25" t="inlineStr">
        <is>
          <t>no email found (booking form only)</t>
        </is>
      </c>
      <c r="G25" t="inlineStr">
        <is>
          <t>No</t>
        </is>
      </c>
      <c r="H25" t="n">
        <v>4</v>
      </c>
    </row>
    <row r="26">
      <c r="A26" t="n">
        <v>25</v>
      </c>
      <c r="B26" t="inlineStr">
        <is>
          <t>Finger Lakes Medical Aesthetics</t>
        </is>
      </c>
      <c r="C26" t="inlineStr">
        <is>
          <t>Skaneateles</t>
        </is>
      </c>
      <c r="D26" t="inlineStr">
        <is>
          <t>Not published</t>
        </is>
      </c>
      <c r="E26" t="inlineStr">
        <is>
          <t>facebook.com/fingerlakesmedicalaesthetics/</t>
        </is>
      </c>
      <c r="F26" t="inlineStr">
        <is>
          <t>no email found, phone (315) 685-0247</t>
        </is>
      </c>
      <c r="G26" t="inlineStr">
        <is>
          <t>No</t>
        </is>
      </c>
      <c r="H26" t="n">
        <v>0</v>
      </c>
      <c r="I26" t="inlineStr">
        <is>
          <t>Confirmed operating practice via Facebook page; no specific treatment menu confirmed via public listing search.</t>
        </is>
      </c>
    </row>
    <row r="27">
      <c r="A27" t="n">
        <v>26</v>
      </c>
      <c r="B27" t="inlineStr">
        <is>
          <t>Medicine Based Beauty</t>
        </is>
      </c>
      <c r="C27" t="inlineStr">
        <is>
          <t>Skaneateles (also serves Syracuse)</t>
        </is>
      </c>
      <c r="D27" t="inlineStr">
        <is>
          <t>Not published</t>
        </is>
      </c>
      <c r="E27" t="inlineStr">
        <is>
          <t>instagram.com/medicinebasedbeauty/</t>
        </is>
      </c>
      <c r="F27" t="inlineStr">
        <is>
          <t>no email found (Instagram only)</t>
        </is>
      </c>
      <c r="G27" t="inlineStr">
        <is>
          <t>No</t>
        </is>
      </c>
      <c r="H27" t="n">
        <v>3</v>
      </c>
    </row>
    <row r="28">
      <c r="A28" t="n">
        <v>27</v>
      </c>
      <c r="B28" t="inlineStr">
        <is>
          <t>Skaneateles MedSpa</t>
        </is>
      </c>
      <c r="C28" t="inlineStr">
        <is>
          <t>Skaneateles</t>
        </is>
      </c>
      <c r="D28" t="inlineStr">
        <is>
          <t>Not published</t>
        </is>
      </c>
      <c r="E28" t="inlineStr">
        <is>
          <t>instagram.com/skaneatelesmedspa/</t>
        </is>
      </c>
      <c r="F28" t="inlineStr">
        <is>
          <t>no email found (Instagram only)</t>
        </is>
      </c>
      <c r="G28" t="inlineStr">
        <is>
          <t>No</t>
        </is>
      </c>
      <c r="H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6" customWidth="1" min="3" max="3"/>
    <col width="46" customWidth="1" min="4" max="4"/>
    <col width="16" customWidth="1" min="5" max="5"/>
    <col width="32" customWidth="1" min="6" max="6"/>
  </cols>
  <sheetData>
    <row r="1">
      <c r="A1" s="1" t="inlineStr">
        <is>
          <t>#</t>
        </is>
      </c>
      <c r="B1" s="1" t="inlineStr">
        <is>
          <t>Clinic Name</t>
        </is>
      </c>
      <c r="C1" s="1" t="inlineStr">
        <is>
          <t>Procedure/Treatment</t>
        </is>
      </c>
      <c r="D1" s="1" t="inlineStr">
        <is>
          <t>Price</t>
        </is>
      </c>
      <c r="E1" s="1" t="inlineStr">
        <is>
          <t>Duration</t>
        </is>
      </c>
      <c r="F1" s="1" t="inlineStr">
        <is>
          <t>Category</t>
        </is>
      </c>
    </row>
    <row r="2">
      <c r="A2" t="n">
        <v>1</v>
      </c>
      <c r="B2" t="inlineStr">
        <is>
          <t>La Lume Med Spa</t>
        </is>
      </c>
      <c r="C2" t="inlineStr">
        <is>
          <t>Botox</t>
        </is>
      </c>
      <c r="D2" t="inlineStr">
        <is>
          <t>Not published</t>
        </is>
      </c>
      <c r="F2" t="inlineStr">
        <is>
          <t>Botox / Neuromodulators</t>
        </is>
      </c>
    </row>
    <row r="3">
      <c r="A3" t="n">
        <v>2</v>
      </c>
      <c r="B3" t="inlineStr">
        <is>
          <t>La Lume Med Spa</t>
        </is>
      </c>
      <c r="C3" t="inlineStr">
        <is>
          <t>Fillers</t>
        </is>
      </c>
      <c r="D3" t="inlineStr">
        <is>
          <t>Not published</t>
        </is>
      </c>
      <c r="F3" t="inlineStr">
        <is>
          <t>Dermal / Lip Fillers</t>
        </is>
      </c>
    </row>
    <row r="4">
      <c r="A4" t="n">
        <v>3</v>
      </c>
      <c r="B4" t="inlineStr">
        <is>
          <t>La Lume Med Spa</t>
        </is>
      </c>
      <c r="C4" t="inlineStr">
        <is>
          <t>Microneedling</t>
        </is>
      </c>
      <c r="D4" t="inlineStr">
        <is>
          <t>Not published</t>
        </is>
      </c>
      <c r="F4" t="inlineStr">
        <is>
          <t>Microneedling</t>
        </is>
      </c>
    </row>
    <row r="5">
      <c r="A5" t="n">
        <v>4</v>
      </c>
      <c r="B5" t="inlineStr">
        <is>
          <t>Jolie Aesthetics &amp; Wellness (Rhinebeck)</t>
        </is>
      </c>
      <c r="C5" t="inlineStr">
        <is>
          <t>Botox / Dysport</t>
        </is>
      </c>
      <c r="D5" t="inlineStr">
        <is>
          <t>Not published</t>
        </is>
      </c>
      <c r="F5" t="inlineStr">
        <is>
          <t>Botox / Neuromodulators</t>
        </is>
      </c>
    </row>
    <row r="6">
      <c r="A6" t="n">
        <v>5</v>
      </c>
      <c r="B6" t="inlineStr">
        <is>
          <t>Jolie Aesthetics &amp; Wellness (Rhinebeck)</t>
        </is>
      </c>
      <c r="C6" t="inlineStr">
        <is>
          <t>Fillers</t>
        </is>
      </c>
      <c r="D6" t="inlineStr">
        <is>
          <t>Not published</t>
        </is>
      </c>
      <c r="F6" t="inlineStr">
        <is>
          <t>Dermal / Lip Fillers</t>
        </is>
      </c>
    </row>
    <row r="7">
      <c r="A7" t="n">
        <v>6</v>
      </c>
      <c r="B7" t="inlineStr">
        <is>
          <t>Jolie Aesthetics &amp; Wellness (Rhinebeck)</t>
        </is>
      </c>
      <c r="C7" t="inlineStr">
        <is>
          <t>Medical weight loss</t>
        </is>
      </c>
      <c r="D7" t="inlineStr">
        <is>
          <t>Not published</t>
        </is>
      </c>
      <c r="F7" t="inlineStr">
        <is>
          <t>Medical Weight Loss / GLP-1</t>
        </is>
      </c>
    </row>
    <row r="8">
      <c r="A8" t="n">
        <v>7</v>
      </c>
      <c r="B8" t="inlineStr">
        <is>
          <t>Jolie Aesthetics &amp; Wellness (Rhinebeck)</t>
        </is>
      </c>
      <c r="C8" t="inlineStr">
        <is>
          <t>Vitamin / IV therapy</t>
        </is>
      </c>
      <c r="D8" t="inlineStr">
        <is>
          <t>Not published</t>
        </is>
      </c>
      <c r="F8" t="inlineStr">
        <is>
          <t>IV Therapy</t>
        </is>
      </c>
    </row>
    <row r="9">
      <c r="A9" t="n">
        <v>8</v>
      </c>
      <c r="B9" t="inlineStr">
        <is>
          <t>Medical Aesthetics of the Hudson Valley</t>
        </is>
      </c>
      <c r="C9" t="inlineStr">
        <is>
          <t>Botox</t>
        </is>
      </c>
      <c r="D9" t="inlineStr">
        <is>
          <t>$280-$1,200 (per session/area, not per-unit)</t>
        </is>
      </c>
      <c r="F9" t="inlineStr">
        <is>
          <t>Botox / Neuromodulators</t>
        </is>
      </c>
    </row>
    <row r="10">
      <c r="A10" t="n">
        <v>9</v>
      </c>
      <c r="B10" t="inlineStr">
        <is>
          <t>Medical Aesthetics of the Hudson Valley</t>
        </is>
      </c>
      <c r="C10" t="inlineStr">
        <is>
          <t>Dermal fillers</t>
        </is>
      </c>
      <c r="D10" t="inlineStr">
        <is>
          <t>$500-$850/syringe</t>
        </is>
      </c>
      <c r="F10" t="inlineStr">
        <is>
          <t>Dermal / Lip Fillers</t>
        </is>
      </c>
    </row>
    <row r="11">
      <c r="A11" t="n">
        <v>10</v>
      </c>
      <c r="B11" t="inlineStr">
        <is>
          <t>Medical Aesthetics of the Hudson Valley</t>
        </is>
      </c>
      <c r="C11" t="inlineStr">
        <is>
          <t>RF microneedling with exosomes</t>
        </is>
      </c>
      <c r="D11" t="inlineStr">
        <is>
          <t>Not published</t>
        </is>
      </c>
      <c r="F11" t="inlineStr">
        <is>
          <t>Microneedling</t>
        </is>
      </c>
    </row>
    <row r="12">
      <c r="A12" t="n">
        <v>11</v>
      </c>
      <c r="B12" t="inlineStr">
        <is>
          <t>Medical Aesthetics of the Hudson Valley</t>
        </is>
      </c>
      <c r="C12" t="inlineStr">
        <is>
          <t>Hydra Facial / Aqua Facial</t>
        </is>
      </c>
      <c r="D12" t="inlineStr">
        <is>
          <t>Not published</t>
        </is>
      </c>
      <c r="F12" t="inlineStr">
        <is>
          <t>HydraFacial</t>
        </is>
      </c>
    </row>
    <row r="13">
      <c r="A13" t="n">
        <v>12</v>
      </c>
      <c r="B13" t="inlineStr">
        <is>
          <t>Poppi Wellness</t>
        </is>
      </c>
      <c r="C13" t="inlineStr">
        <is>
          <t>Botox</t>
        </is>
      </c>
      <c r="D13" t="inlineStr">
        <is>
          <t>Not published</t>
        </is>
      </c>
      <c r="F13" t="inlineStr">
        <is>
          <t>Botox / Neuromodulators</t>
        </is>
      </c>
    </row>
    <row r="14">
      <c r="A14" t="n">
        <v>13</v>
      </c>
      <c r="B14" t="inlineStr">
        <is>
          <t>Poppi Wellness</t>
        </is>
      </c>
      <c r="C14" t="inlineStr">
        <is>
          <t>Dermal fillers</t>
        </is>
      </c>
      <c r="D14" t="inlineStr">
        <is>
          <t>Not published</t>
        </is>
      </c>
      <c r="F14" t="inlineStr">
        <is>
          <t>Dermal / Lip Fillers</t>
        </is>
      </c>
    </row>
    <row r="15">
      <c r="A15" t="n">
        <v>14</v>
      </c>
      <c r="B15" t="inlineStr">
        <is>
          <t>Bellissima Medspa and Wellness</t>
        </is>
      </c>
      <c r="C15" t="inlineStr">
        <is>
          <t>Botox</t>
        </is>
      </c>
      <c r="D15" t="inlineStr">
        <is>
          <t>Not published</t>
        </is>
      </c>
      <c r="F15" t="inlineStr">
        <is>
          <t>Botox / Neuromodulators</t>
        </is>
      </c>
    </row>
    <row r="16">
      <c r="A16" t="n">
        <v>15</v>
      </c>
      <c r="B16" t="inlineStr">
        <is>
          <t>Bellissima Medspa and Wellness</t>
        </is>
      </c>
      <c r="C16" t="inlineStr">
        <is>
          <t>Dermal fillers</t>
        </is>
      </c>
      <c r="D16" t="inlineStr">
        <is>
          <t>Not published</t>
        </is>
      </c>
      <c r="F16" t="inlineStr">
        <is>
          <t>Dermal / Lip Fillers</t>
        </is>
      </c>
    </row>
    <row r="17">
      <c r="A17" t="n">
        <v>16</v>
      </c>
      <c r="B17" t="inlineStr">
        <is>
          <t>Tyte Medispa</t>
        </is>
      </c>
      <c r="C17" t="inlineStr">
        <is>
          <t>Non-invasive body contouring</t>
        </is>
      </c>
      <c r="D17" t="inlineStr">
        <is>
          <t>Not published</t>
        </is>
      </c>
      <c r="F17" t="inlineStr">
        <is>
          <t>Body Contouring / CoolSculpting</t>
        </is>
      </c>
    </row>
    <row r="18">
      <c r="A18" t="n">
        <v>17</v>
      </c>
      <c r="B18" t="inlineStr">
        <is>
          <t>Greenwich Medical Spa (Scarsdale)</t>
        </is>
      </c>
      <c r="C18" t="inlineStr">
        <is>
          <t>Botox / wrinkle relaxers</t>
        </is>
      </c>
      <c r="D18" t="inlineStr">
        <is>
          <t>Not published</t>
        </is>
      </c>
      <c r="F18" t="inlineStr">
        <is>
          <t>Botox / Neuromodulators</t>
        </is>
      </c>
    </row>
    <row r="19">
      <c r="A19" t="n">
        <v>18</v>
      </c>
      <c r="B19" t="inlineStr">
        <is>
          <t>See Beyond Beauty</t>
        </is>
      </c>
      <c r="C19" t="inlineStr">
        <is>
          <t>Botox</t>
        </is>
      </c>
      <c r="D19" t="inlineStr">
        <is>
          <t>Not published</t>
        </is>
      </c>
      <c r="F19" t="inlineStr">
        <is>
          <t>Botox / Neuromodulators</t>
        </is>
      </c>
    </row>
    <row r="20">
      <c r="A20" t="n">
        <v>19</v>
      </c>
      <c r="B20" t="inlineStr">
        <is>
          <t>See Beyond Beauty</t>
        </is>
      </c>
      <c r="C20" t="inlineStr">
        <is>
          <t>Dermal fillers</t>
        </is>
      </c>
      <c r="D20" t="inlineStr">
        <is>
          <t>Not published</t>
        </is>
      </c>
      <c r="F20" t="inlineStr">
        <is>
          <t>Dermal / Lip Fillers</t>
        </is>
      </c>
    </row>
    <row r="21">
      <c r="A21" t="n">
        <v>20</v>
      </c>
      <c r="B21" t="inlineStr">
        <is>
          <t>Youtherapy Medspa (Scarsdale)</t>
        </is>
      </c>
      <c r="C21" t="inlineStr">
        <is>
          <t>Botox</t>
        </is>
      </c>
      <c r="D21" t="inlineStr">
        <is>
          <t>$12/unit (Platinum membership, $99/mo)</t>
        </is>
      </c>
      <c r="F21" t="inlineStr">
        <is>
          <t>Botox / Neuromodulators</t>
        </is>
      </c>
    </row>
    <row r="22">
      <c r="A22" t="n">
        <v>21</v>
      </c>
      <c r="B22" t="inlineStr">
        <is>
          <t>Youtherapy Medspa (Scarsdale)</t>
        </is>
      </c>
      <c r="C22" t="inlineStr">
        <is>
          <t>Dermal fillers</t>
        </is>
      </c>
      <c r="D22" t="inlineStr">
        <is>
          <t>10% off for members</t>
        </is>
      </c>
      <c r="F22" t="inlineStr">
        <is>
          <t>Dermal / Lip Fillers</t>
        </is>
      </c>
    </row>
    <row r="23">
      <c r="A23" t="n">
        <v>22</v>
      </c>
      <c r="B23" t="inlineStr">
        <is>
          <t>Youtherapy Medspa (Scarsdale)</t>
        </is>
      </c>
      <c r="C23" t="inlineStr">
        <is>
          <t>CoolSculpting</t>
        </is>
      </c>
      <c r="D23" t="inlineStr">
        <is>
          <t>Not published</t>
        </is>
      </c>
      <c r="F23" t="inlineStr">
        <is>
          <t>Body Contouring / CoolSculpting</t>
        </is>
      </c>
    </row>
    <row r="24">
      <c r="A24" t="n">
        <v>23</v>
      </c>
      <c r="B24" t="inlineStr">
        <is>
          <t>Aspire Medical Aesthetics</t>
        </is>
      </c>
      <c r="C24" t="inlineStr">
        <is>
          <t>Botox</t>
        </is>
      </c>
      <c r="D24" t="inlineStr">
        <is>
          <t>Not published</t>
        </is>
      </c>
      <c r="F24" t="inlineStr">
        <is>
          <t>Botox / Neuromodulators</t>
        </is>
      </c>
    </row>
    <row r="25">
      <c r="A25" t="n">
        <v>24</v>
      </c>
      <c r="B25" t="inlineStr">
        <is>
          <t>Aspire Medical Aesthetics</t>
        </is>
      </c>
      <c r="C25" t="inlineStr">
        <is>
          <t>Dermal fillers</t>
        </is>
      </c>
      <c r="D25" t="inlineStr">
        <is>
          <t>Not published</t>
        </is>
      </c>
      <c r="F25" t="inlineStr">
        <is>
          <t>Dermal / Lip Fillers</t>
        </is>
      </c>
    </row>
    <row r="26">
      <c r="A26" t="n">
        <v>25</v>
      </c>
      <c r="B26" t="inlineStr">
        <is>
          <t>The Formula MedSpa</t>
        </is>
      </c>
      <c r="C26" t="inlineStr">
        <is>
          <t>Botox / Tox</t>
        </is>
      </c>
      <c r="D26" t="inlineStr">
        <is>
          <t>$11/unit (limited-time special)</t>
        </is>
      </c>
      <c r="F26" t="inlineStr">
        <is>
          <t>Botox / Neuromodulators</t>
        </is>
      </c>
    </row>
    <row r="27">
      <c r="A27" t="n">
        <v>26</v>
      </c>
      <c r="B27" t="inlineStr">
        <is>
          <t>The Formula MedSpa</t>
        </is>
      </c>
      <c r="C27" t="inlineStr">
        <is>
          <t>Bio-Filler Facelift / lip &amp; facial filler</t>
        </is>
      </c>
      <c r="D27" t="inlineStr">
        <is>
          <t>$659 package (promo); buy 2 get 1 free (promo)</t>
        </is>
      </c>
      <c r="F27" t="inlineStr">
        <is>
          <t>Dermal / Lip Fillers</t>
        </is>
      </c>
    </row>
    <row r="28">
      <c r="A28" t="n">
        <v>27</v>
      </c>
      <c r="B28" t="inlineStr">
        <is>
          <t>The Formula MedSpa</t>
        </is>
      </c>
      <c r="C28" t="inlineStr">
        <is>
          <t>Laser hair removal</t>
        </is>
      </c>
      <c r="D28" t="inlineStr">
        <is>
          <t>Not published</t>
        </is>
      </c>
      <c r="F28" t="inlineStr">
        <is>
          <t>Laser Hair Removal</t>
        </is>
      </c>
    </row>
    <row r="29">
      <c r="A29" t="n">
        <v>28</v>
      </c>
      <c r="B29" t="inlineStr">
        <is>
          <t>The Formula MedSpa</t>
        </is>
      </c>
      <c r="C29" t="inlineStr">
        <is>
          <t>Ultherapy</t>
        </is>
      </c>
      <c r="D29" t="inlineStr">
        <is>
          <t>30% off (promo)</t>
        </is>
      </c>
      <c r="F29" t="inlineStr">
        <is>
          <t>Skin Tightening (Morpheus8/RF)</t>
        </is>
      </c>
    </row>
    <row r="30">
      <c r="A30" t="n">
        <v>29</v>
      </c>
      <c r="B30" t="inlineStr">
        <is>
          <t>Advanced Laser &amp; Medical Spa of Rye</t>
        </is>
      </c>
      <c r="C30" t="inlineStr">
        <is>
          <t>Laser hair removal</t>
        </is>
      </c>
      <c r="D30" t="inlineStr">
        <is>
          <t>Not published</t>
        </is>
      </c>
      <c r="F30" t="inlineStr">
        <is>
          <t>Laser Hair Removal</t>
        </is>
      </c>
    </row>
    <row r="31">
      <c r="A31" t="n">
        <v>30</v>
      </c>
      <c r="B31" t="inlineStr">
        <is>
          <t>Primary Aesthetic Skin Care</t>
        </is>
      </c>
      <c r="C31" t="inlineStr">
        <is>
          <t>Botox</t>
        </is>
      </c>
      <c r="D31" t="inlineStr">
        <is>
          <t>Not published</t>
        </is>
      </c>
      <c r="F31" t="inlineStr">
        <is>
          <t>Botox / Neuromodulators</t>
        </is>
      </c>
    </row>
    <row r="32">
      <c r="A32" t="n">
        <v>31</v>
      </c>
      <c r="B32" t="inlineStr">
        <is>
          <t>Primary Aesthetic Skin Care</t>
        </is>
      </c>
      <c r="C32" t="inlineStr">
        <is>
          <t>Dermal fillers</t>
        </is>
      </c>
      <c r="D32" t="inlineStr">
        <is>
          <t>Not published</t>
        </is>
      </c>
      <c r="F32" t="inlineStr">
        <is>
          <t>Dermal / Lip Fillers</t>
        </is>
      </c>
    </row>
    <row r="33">
      <c r="A33" t="n">
        <v>32</v>
      </c>
      <c r="B33" t="inlineStr">
        <is>
          <t>Primary Aesthetic Skin Care</t>
        </is>
      </c>
      <c r="C33" t="inlineStr">
        <is>
          <t>Microneedling</t>
        </is>
      </c>
      <c r="D33" t="inlineStr">
        <is>
          <t>Not published</t>
        </is>
      </c>
      <c r="F33" t="inlineStr">
        <is>
          <t>Microneedling</t>
        </is>
      </c>
    </row>
    <row r="34">
      <c r="A34" t="n">
        <v>33</v>
      </c>
      <c r="B34" t="inlineStr">
        <is>
          <t>Primary Aesthetic Skin Care</t>
        </is>
      </c>
      <c r="C34" t="inlineStr">
        <is>
          <t>Thread lifting</t>
        </is>
      </c>
      <c r="D34" t="inlineStr">
        <is>
          <t>Not published</t>
        </is>
      </c>
      <c r="F34" t="inlineStr">
        <is>
          <t>Skin Tightening (Morpheus8/RF)</t>
        </is>
      </c>
    </row>
    <row r="35">
      <c r="A35" t="n">
        <v>34</v>
      </c>
      <c r="B35" t="inlineStr">
        <is>
          <t>Primary Aesthetic Skin Care</t>
        </is>
      </c>
      <c r="C35" t="inlineStr">
        <is>
          <t>Photorejuvenation</t>
        </is>
      </c>
      <c r="D35" t="inlineStr">
        <is>
          <t>Not published</t>
        </is>
      </c>
      <c r="F35" t="inlineStr">
        <is>
          <t>IPL / Photofacial</t>
        </is>
      </c>
    </row>
    <row r="36">
      <c r="A36" t="n">
        <v>35</v>
      </c>
      <c r="B36" t="inlineStr">
        <is>
          <t>Park Avenue Medical Spa (Armonk)</t>
        </is>
      </c>
      <c r="C36" t="inlineStr">
        <is>
          <t>Botox</t>
        </is>
      </c>
      <c r="D36" t="inlineStr">
        <is>
          <t>Not published</t>
        </is>
      </c>
      <c r="F36" t="inlineStr">
        <is>
          <t>Botox / Neuromodulators</t>
        </is>
      </c>
    </row>
    <row r="37">
      <c r="A37" t="n">
        <v>36</v>
      </c>
      <c r="B37" t="inlineStr">
        <is>
          <t>Park Avenue Medical Spa (Armonk)</t>
        </is>
      </c>
      <c r="C37" t="inlineStr">
        <is>
          <t>Juvederm / facial fillers</t>
        </is>
      </c>
      <c r="D37" t="inlineStr">
        <is>
          <t>Not published</t>
        </is>
      </c>
      <c r="F37" t="inlineStr">
        <is>
          <t>Dermal / Lip Fillers</t>
        </is>
      </c>
    </row>
    <row r="38">
      <c r="A38" t="n">
        <v>37</v>
      </c>
      <c r="B38" t="inlineStr">
        <is>
          <t>Park Avenue Medical Spa (Armonk)</t>
        </is>
      </c>
      <c r="C38" t="inlineStr">
        <is>
          <t>CoolSculpting (premier Westchester County provider)</t>
        </is>
      </c>
      <c r="D38" t="inlineStr">
        <is>
          <t>Not published</t>
        </is>
      </c>
      <c r="F38" t="inlineStr">
        <is>
          <t>Body Contouring / CoolSculpting</t>
        </is>
      </c>
    </row>
    <row r="39">
      <c r="A39" t="n">
        <v>38</v>
      </c>
      <c r="B39" t="inlineStr">
        <is>
          <t>Park Avenue Medical Spa (Armonk)</t>
        </is>
      </c>
      <c r="C39" t="inlineStr">
        <is>
          <t>PRP hair restoration</t>
        </is>
      </c>
      <c r="D39" t="inlineStr">
        <is>
          <t>Not published</t>
        </is>
      </c>
      <c r="F39" t="inlineStr">
        <is>
          <t>PRP / PRF</t>
        </is>
      </c>
    </row>
    <row r="40">
      <c r="A40" t="n">
        <v>39</v>
      </c>
      <c r="B40" t="inlineStr">
        <is>
          <t>Youtherapy Medspa (Chappaqua)</t>
        </is>
      </c>
      <c r="C40" t="inlineStr">
        <is>
          <t>Botox</t>
        </is>
      </c>
      <c r="D40" t="inlineStr">
        <is>
          <t>$12/unit (Platinum membership, $99/mo)</t>
        </is>
      </c>
      <c r="F40" t="inlineStr">
        <is>
          <t>Botox / Neuromodulators</t>
        </is>
      </c>
    </row>
    <row r="41">
      <c r="A41" t="n">
        <v>40</v>
      </c>
      <c r="B41" t="inlineStr">
        <is>
          <t>Youtherapy Medspa (Chappaqua)</t>
        </is>
      </c>
      <c r="C41" t="inlineStr">
        <is>
          <t>Dermal fillers</t>
        </is>
      </c>
      <c r="D41" t="inlineStr">
        <is>
          <t>10% off for members</t>
        </is>
      </c>
      <c r="F41" t="inlineStr">
        <is>
          <t>Dermal / Lip Fillers</t>
        </is>
      </c>
    </row>
    <row r="42">
      <c r="A42" t="n">
        <v>41</v>
      </c>
      <c r="B42" t="inlineStr">
        <is>
          <t>Youtherapy Medspa (Chappaqua)</t>
        </is>
      </c>
      <c r="C42" t="inlineStr">
        <is>
          <t>Laser treatments</t>
        </is>
      </c>
      <c r="D42" t="inlineStr">
        <is>
          <t>Not published</t>
        </is>
      </c>
      <c r="F42" t="inlineStr">
        <is>
          <t>Laser Hair Removal</t>
        </is>
      </c>
    </row>
    <row r="43">
      <c r="A43" t="n">
        <v>42</v>
      </c>
      <c r="B43" t="inlineStr">
        <is>
          <t>Youtherapy Medspa (Chappaqua)</t>
        </is>
      </c>
      <c r="C43" t="inlineStr">
        <is>
          <t>CoolSculpting</t>
        </is>
      </c>
      <c r="D43" t="inlineStr">
        <is>
          <t>Not published</t>
        </is>
      </c>
      <c r="F43" t="inlineStr">
        <is>
          <t>Body Contouring / CoolSculpting</t>
        </is>
      </c>
    </row>
    <row r="44">
      <c r="A44" t="n">
        <v>43</v>
      </c>
      <c r="B44" t="inlineStr">
        <is>
          <t>A Renewed You MedSpa (Chappaqua)</t>
        </is>
      </c>
      <c r="C44" t="inlineStr">
        <is>
          <t>Botox</t>
        </is>
      </c>
      <c r="D44" t="inlineStr">
        <is>
          <t>Not published</t>
        </is>
      </c>
      <c r="F44" t="inlineStr">
        <is>
          <t>Botox / Neuromodulators</t>
        </is>
      </c>
    </row>
    <row r="45">
      <c r="A45" t="n">
        <v>44</v>
      </c>
      <c r="B45" t="inlineStr">
        <is>
          <t>A Renewed You MedSpa (Chappaqua)</t>
        </is>
      </c>
      <c r="C45" t="inlineStr">
        <is>
          <t>Dermal fillers</t>
        </is>
      </c>
      <c r="D45" t="inlineStr">
        <is>
          <t>Not published</t>
        </is>
      </c>
      <c r="F45" t="inlineStr">
        <is>
          <t>Dermal / Lip Fillers</t>
        </is>
      </c>
    </row>
    <row r="46">
      <c r="A46" t="n">
        <v>45</v>
      </c>
      <c r="B46" t="inlineStr">
        <is>
          <t>A Renewed You MedSpa (Chappaqua)</t>
        </is>
      </c>
      <c r="C46" t="inlineStr">
        <is>
          <t>Morpheus8</t>
        </is>
      </c>
      <c r="D46" t="inlineStr">
        <is>
          <t>Not published</t>
        </is>
      </c>
      <c r="F46" t="inlineStr">
        <is>
          <t>Skin Tightening (Morpheus8/RF)</t>
        </is>
      </c>
    </row>
    <row r="47">
      <c r="A47" t="n">
        <v>46</v>
      </c>
      <c r="B47" t="inlineStr">
        <is>
          <t>Hebe Medical Spa (Saratoga Springs)</t>
        </is>
      </c>
      <c r="C47" t="inlineStr">
        <is>
          <t>Botox / Dysport</t>
        </is>
      </c>
      <c r="D47" t="inlineStr">
        <is>
          <t>Membership discounts $1-$2/unit off; base rate not published</t>
        </is>
      </c>
      <c r="F47" t="inlineStr">
        <is>
          <t>Botox / Neuromodulators</t>
        </is>
      </c>
    </row>
    <row r="48">
      <c r="A48" t="n">
        <v>47</v>
      </c>
      <c r="B48" t="inlineStr">
        <is>
          <t>Hebe Medical Spa (Saratoga Springs)</t>
        </is>
      </c>
      <c r="C48" t="inlineStr">
        <is>
          <t>Dermal fillers</t>
        </is>
      </c>
      <c r="D48" t="inlineStr">
        <is>
          <t>$100 off lip filler ($250/mo membership tier)</t>
        </is>
      </c>
      <c r="F48" t="inlineStr">
        <is>
          <t>Dermal / Lip Fillers</t>
        </is>
      </c>
    </row>
    <row r="49">
      <c r="A49" t="n">
        <v>48</v>
      </c>
      <c r="B49" t="inlineStr">
        <is>
          <t>Hebe Medical Spa (Saratoga Springs)</t>
        </is>
      </c>
      <c r="C49" t="inlineStr">
        <is>
          <t>RF microneedling</t>
        </is>
      </c>
      <c r="D49" t="inlineStr">
        <is>
          <t>20% off for members</t>
        </is>
      </c>
      <c r="F49" t="inlineStr">
        <is>
          <t>Microneedling</t>
        </is>
      </c>
    </row>
    <row r="50">
      <c r="A50" t="n">
        <v>49</v>
      </c>
      <c r="B50" t="inlineStr">
        <is>
          <t>Hebe Medical Spa (Saratoga Springs)</t>
        </is>
      </c>
      <c r="C50" t="inlineStr">
        <is>
          <t>Hair removal</t>
        </is>
      </c>
      <c r="D50" t="inlineStr">
        <is>
          <t>Not published</t>
        </is>
      </c>
      <c r="F50" t="inlineStr">
        <is>
          <t>Laser Hair Removal</t>
        </is>
      </c>
    </row>
    <row r="51">
      <c r="A51" t="n">
        <v>50</v>
      </c>
      <c r="B51" t="inlineStr">
        <is>
          <t>Hebe Medical Spa (Saratoga Springs)</t>
        </is>
      </c>
      <c r="C51" t="inlineStr">
        <is>
          <t>Medical weight loss / peptide therapy</t>
        </is>
      </c>
      <c r="D51" t="inlineStr">
        <is>
          <t>Not published</t>
        </is>
      </c>
      <c r="F51" t="inlineStr">
        <is>
          <t>Medical Weight Loss / GLP-1</t>
        </is>
      </c>
    </row>
    <row r="52">
      <c r="A52" t="n">
        <v>51</v>
      </c>
      <c r="B52" t="inlineStr">
        <is>
          <t>Hebe Medical Spa (Saratoga Springs)</t>
        </is>
      </c>
      <c r="C52" t="inlineStr">
        <is>
          <t>IV and ozone therapy</t>
        </is>
      </c>
      <c r="D52" t="inlineStr">
        <is>
          <t>Not published</t>
        </is>
      </c>
      <c r="F52" t="inlineStr">
        <is>
          <t>IV Therapy</t>
        </is>
      </c>
    </row>
    <row r="53">
      <c r="A53" t="n">
        <v>52</v>
      </c>
      <c r="B53" t="inlineStr">
        <is>
          <t>Bellatas Medical Aesthetics</t>
        </is>
      </c>
      <c r="C53" t="inlineStr">
        <is>
          <t>Botox</t>
        </is>
      </c>
      <c r="D53" t="inlineStr">
        <is>
          <t>Not published</t>
        </is>
      </c>
      <c r="F53" t="inlineStr">
        <is>
          <t>Botox / Neuromodulators</t>
        </is>
      </c>
    </row>
    <row r="54">
      <c r="A54" t="n">
        <v>53</v>
      </c>
      <c r="B54" t="inlineStr">
        <is>
          <t>Bellatas Medical Aesthetics</t>
        </is>
      </c>
      <c r="C54" t="inlineStr">
        <is>
          <t>Lip fillers</t>
        </is>
      </c>
      <c r="D54" t="inlineStr">
        <is>
          <t>Not published</t>
        </is>
      </c>
      <c r="F54" t="inlineStr">
        <is>
          <t>Dermal / Lip Fillers</t>
        </is>
      </c>
    </row>
    <row r="55">
      <c r="A55" t="n">
        <v>54</v>
      </c>
      <c r="B55" t="inlineStr">
        <is>
          <t>Medical Spa of Saratoga Springs Plastic Surgery, PC</t>
        </is>
      </c>
      <c r="C55" t="inlineStr">
        <is>
          <t>Botox Cosmetic</t>
        </is>
      </c>
      <c r="D55" t="inlineStr">
        <is>
          <t>Not published</t>
        </is>
      </c>
      <c r="F55" t="inlineStr">
        <is>
          <t>Botox / Neuromodulators</t>
        </is>
      </c>
    </row>
    <row r="56">
      <c r="A56" t="n">
        <v>55</v>
      </c>
      <c r="B56" t="inlineStr">
        <is>
          <t>Medical Spa of Saratoga Springs Plastic Surgery, PC</t>
        </is>
      </c>
      <c r="C56" t="inlineStr">
        <is>
          <t>Juvederm facial fillers</t>
        </is>
      </c>
      <c r="D56" t="inlineStr">
        <is>
          <t>Not published</t>
        </is>
      </c>
      <c r="F56" t="inlineStr">
        <is>
          <t>Dermal / Lip Fillers</t>
        </is>
      </c>
    </row>
    <row r="57">
      <c r="A57" t="n">
        <v>56</v>
      </c>
      <c r="B57" t="inlineStr">
        <is>
          <t>Dr. Ridha Med Spa</t>
        </is>
      </c>
      <c r="C57" t="inlineStr">
        <is>
          <t>Botox / Dysport</t>
        </is>
      </c>
      <c r="D57" t="inlineStr">
        <is>
          <t>Not published</t>
        </is>
      </c>
      <c r="F57" t="inlineStr">
        <is>
          <t>Botox / Neuromodulators</t>
        </is>
      </c>
    </row>
    <row r="58">
      <c r="A58" t="n">
        <v>57</v>
      </c>
      <c r="B58" t="inlineStr">
        <is>
          <t>Dr. Ridha Med Spa</t>
        </is>
      </c>
      <c r="C58" t="inlineStr">
        <is>
          <t>Dermal fillers</t>
        </is>
      </c>
      <c r="D58" t="inlineStr">
        <is>
          <t>Not published</t>
        </is>
      </c>
      <c r="F58" t="inlineStr">
        <is>
          <t>Dermal / Lip Fillers</t>
        </is>
      </c>
    </row>
    <row r="59">
      <c r="A59" t="n">
        <v>58</v>
      </c>
      <c r="B59" t="inlineStr">
        <is>
          <t>Dr. Ridha Med Spa</t>
        </is>
      </c>
      <c r="C59" t="inlineStr">
        <is>
          <t>Chemical peels</t>
        </is>
      </c>
      <c r="D59" t="inlineStr">
        <is>
          <t>Not published</t>
        </is>
      </c>
      <c r="F59" t="inlineStr">
        <is>
          <t>Chemical Peels</t>
        </is>
      </c>
    </row>
    <row r="60">
      <c r="A60" t="n">
        <v>59</v>
      </c>
      <c r="B60" t="inlineStr">
        <is>
          <t>Sophie K. Aesthetics</t>
        </is>
      </c>
      <c r="C60" t="inlineStr">
        <is>
          <t>Botox</t>
        </is>
      </c>
      <c r="D60" t="inlineStr">
        <is>
          <t>Not published</t>
        </is>
      </c>
      <c r="F60" t="inlineStr">
        <is>
          <t>Botox / Neuromodulators</t>
        </is>
      </c>
    </row>
    <row r="61">
      <c r="A61" t="n">
        <v>60</v>
      </c>
      <c r="B61" t="inlineStr">
        <is>
          <t>Sophie K. Aesthetics</t>
        </is>
      </c>
      <c r="C61" t="inlineStr">
        <is>
          <t>Lip fillers</t>
        </is>
      </c>
      <c r="D61" t="inlineStr">
        <is>
          <t>Not published</t>
        </is>
      </c>
      <c r="F61" t="inlineStr">
        <is>
          <t>Dermal / Lip Fillers</t>
        </is>
      </c>
    </row>
    <row r="62">
      <c r="A62" t="n">
        <v>61</v>
      </c>
      <c r="B62" t="inlineStr">
        <is>
          <t>Sophie K. Aesthetics</t>
        </is>
      </c>
      <c r="C62" t="inlineStr">
        <is>
          <t>Collagen-stimulating treatments (Sculptra-type)</t>
        </is>
      </c>
      <c r="D62" t="inlineStr">
        <is>
          <t>Not published</t>
        </is>
      </c>
      <c r="F62" t="inlineStr">
        <is>
          <t>Sculptra / Biostimulators</t>
        </is>
      </c>
    </row>
    <row r="63">
      <c r="A63" t="n">
        <v>62</v>
      </c>
      <c r="B63" t="inlineStr">
        <is>
          <t>VIO Med Spa (Saratoga Springs)</t>
        </is>
      </c>
      <c r="C63" t="inlineStr">
        <is>
          <t>Injectables</t>
        </is>
      </c>
      <c r="D63" t="inlineStr">
        <is>
          <t>Not published</t>
        </is>
      </c>
      <c r="F63" t="inlineStr">
        <is>
          <t>Botox / Neuromodulators</t>
        </is>
      </c>
    </row>
    <row r="64">
      <c r="A64" t="n">
        <v>63</v>
      </c>
      <c r="B64" t="inlineStr">
        <is>
          <t>VIO Med Spa (Saratoga Springs)</t>
        </is>
      </c>
      <c r="C64" t="inlineStr">
        <is>
          <t>Injectables / fillers</t>
        </is>
      </c>
      <c r="D64" t="inlineStr">
        <is>
          <t>Not published</t>
        </is>
      </c>
      <c r="F64" t="inlineStr">
        <is>
          <t>Dermal / Lip Fillers</t>
        </is>
      </c>
    </row>
    <row r="65">
      <c r="A65" t="n">
        <v>64</v>
      </c>
      <c r="B65" t="inlineStr">
        <is>
          <t>VIO Med Spa (Saratoga Springs)</t>
        </is>
      </c>
      <c r="C65" t="inlineStr">
        <is>
          <t>Laser / light therapy hair removal</t>
        </is>
      </c>
      <c r="D65" t="inlineStr">
        <is>
          <t>Not published</t>
        </is>
      </c>
      <c r="F65" t="inlineStr">
        <is>
          <t>Laser Hair Removal</t>
        </is>
      </c>
    </row>
    <row r="66">
      <c r="A66" t="n">
        <v>65</v>
      </c>
      <c r="B66" t="inlineStr">
        <is>
          <t>VIO Med Spa (Saratoga Springs)</t>
        </is>
      </c>
      <c r="C66" t="inlineStr">
        <is>
          <t>Body contouring</t>
        </is>
      </c>
      <c r="D66" t="inlineStr">
        <is>
          <t>Not published</t>
        </is>
      </c>
      <c r="F66" t="inlineStr">
        <is>
          <t>Body Contouring / CoolSculpting</t>
        </is>
      </c>
    </row>
    <row r="67">
      <c r="A67" t="n">
        <v>66</v>
      </c>
      <c r="B67" t="inlineStr">
        <is>
          <t>Medicine Based Beauty</t>
        </is>
      </c>
      <c r="C67" t="inlineStr">
        <is>
          <t>Botox</t>
        </is>
      </c>
      <c r="D67" t="inlineStr">
        <is>
          <t>Not published</t>
        </is>
      </c>
      <c r="F67" t="inlineStr">
        <is>
          <t>Botox / Neuromodulators</t>
        </is>
      </c>
    </row>
    <row r="68">
      <c r="A68" t="n">
        <v>67</v>
      </c>
      <c r="B68" t="inlineStr">
        <is>
          <t>Medicine Based Beauty</t>
        </is>
      </c>
      <c r="C68" t="inlineStr">
        <is>
          <t>Filler</t>
        </is>
      </c>
      <c r="D68" t="inlineStr">
        <is>
          <t>Not published</t>
        </is>
      </c>
      <c r="F68" t="inlineStr">
        <is>
          <t>Dermal / Lip Fillers</t>
        </is>
      </c>
    </row>
    <row r="69">
      <c r="A69" t="n">
        <v>68</v>
      </c>
      <c r="B69" t="inlineStr">
        <is>
          <t>Medicine Based Beauty</t>
        </is>
      </c>
      <c r="C69" t="inlineStr">
        <is>
          <t>Laser</t>
        </is>
      </c>
      <c r="D69" t="inlineStr">
        <is>
          <t>Not published</t>
        </is>
      </c>
      <c r="F69" t="inlineStr">
        <is>
          <t>Laser Hair Removal</t>
        </is>
      </c>
    </row>
    <row r="70">
      <c r="A70" t="n">
        <v>69</v>
      </c>
      <c r="B70" t="inlineStr">
        <is>
          <t>Skaneateles MedSpa</t>
        </is>
      </c>
      <c r="C70" t="inlineStr">
        <is>
          <t>Botox / injectables</t>
        </is>
      </c>
      <c r="D70" t="inlineStr">
        <is>
          <t>Not published</t>
        </is>
      </c>
      <c r="F70" t="inlineStr">
        <is>
          <t>Botox / Neuromodulators</t>
        </is>
      </c>
    </row>
    <row r="71">
      <c r="A71" t="n">
        <v>70</v>
      </c>
      <c r="B71" t="inlineStr">
        <is>
          <t>Skaneateles MedSpa</t>
        </is>
      </c>
      <c r="C71" t="inlineStr">
        <is>
          <t>Filler / injectables</t>
        </is>
      </c>
      <c r="D71" t="inlineStr">
        <is>
          <t>Not published</t>
        </is>
      </c>
      <c r="F71" t="inlineStr">
        <is>
          <t>Dermal / Lip Fillers</t>
        </is>
      </c>
    </row>
    <row r="72">
      <c r="A72" t="n">
        <v>71</v>
      </c>
      <c r="B72" t="inlineStr">
        <is>
          <t>Skaneateles MedSpa</t>
        </is>
      </c>
      <c r="C72" t="inlineStr">
        <is>
          <t>Laser hair removal</t>
        </is>
      </c>
      <c r="D72" t="inlineStr">
        <is>
          <t>Not published</t>
        </is>
      </c>
      <c r="F72" t="inlineStr">
        <is>
          <t>Laser Hair Removal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</cols>
  <sheetData>
    <row r="1">
      <c r="A1" s="2" t="inlineStr">
        <is>
          <t>Premium Upstate NY Med Spa Market — Dashboard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Clinics Tracked</t>
        </is>
      </c>
      <c r="B4">
        <f>COUNTA('Clinics Overview'!B2:B28)</f>
        <v/>
      </c>
    </row>
    <row r="5">
      <c r="A5" t="inlineStr">
        <is>
          <t>Clinics with Pricing on File (Yes or Partial)</t>
        </is>
      </c>
      <c r="B5">
        <f>SUMPRODUCT(--((ISNUMBER(SEARCH("yes",'Clinics Overview'!G2:G28))+ISNUMBER(SEARCH("partial",'Clinics Overview'!G2:G28)))&gt;0))</f>
        <v/>
      </c>
    </row>
    <row r="6">
      <c r="A6" t="inlineStr">
        <is>
          <t>Clinics with No Pricing on File</t>
        </is>
      </c>
      <c r="B6">
        <f>B4-B5</f>
        <v/>
      </c>
    </row>
    <row r="7">
      <c r="A7" t="inlineStr">
        <is>
          <t>Total Procedure/Treatment Line Items</t>
        </is>
      </c>
      <c r="B7">
        <f>COUNTA('All Procedures'!C2:C72)</f>
        <v/>
      </c>
    </row>
    <row r="9">
      <c r="A9" s="1" t="inlineStr">
        <is>
          <t>Procedure Category</t>
        </is>
      </c>
      <c r="B9" s="1" t="inlineStr">
        <is>
          <t># Clinics Offering (of tracked)</t>
        </is>
      </c>
    </row>
    <row r="10">
      <c r="A10" t="inlineStr">
        <is>
          <t>Botox / Neuromodulators</t>
        </is>
      </c>
      <c r="B10">
        <f>SUMPRODUCT(--(COUNTIFS('All Procedures'!$B$2:$B$72,'Clinics Overview'!$B$2:$B$28,'All Procedures'!$F$2:$F$72,"*"&amp;"Botox / Neuromodulators"&amp;"*")&gt;0))</f>
        <v/>
      </c>
    </row>
    <row r="11">
      <c r="A11" t="inlineStr">
        <is>
          <t>Dermal / Lip Fillers</t>
        </is>
      </c>
      <c r="B11">
        <f>SUMPRODUCT(--(COUNTIFS('All Procedures'!$B$2:$B$72,'Clinics Overview'!$B$2:$B$28,'All Procedures'!$F$2:$F$72,"*"&amp;"Dermal / Lip Fillers"&amp;"*")&gt;0))</f>
        <v/>
      </c>
    </row>
    <row r="12">
      <c r="A12" t="inlineStr">
        <is>
          <t>Laser Hair Removal</t>
        </is>
      </c>
      <c r="B12">
        <f>SUMPRODUCT(--(COUNTIFS('All Procedures'!$B$2:$B$72,'Clinics Overview'!$B$2:$B$28,'All Procedures'!$F$2:$F$72,"*"&amp;"Laser Hair Removal"&amp;"*")&gt;0))</f>
        <v/>
      </c>
    </row>
    <row r="13">
      <c r="A13" t="inlineStr">
        <is>
          <t>Body Contouring / CoolSculpting</t>
        </is>
      </c>
      <c r="B13">
        <f>SUMPRODUCT(--(COUNTIFS('All Procedures'!$B$2:$B$72,'Clinics Overview'!$B$2:$B$28,'All Procedures'!$F$2:$F$72,"*"&amp;"Body Contouring / CoolSculpting"&amp;"*")&gt;0))</f>
        <v/>
      </c>
    </row>
    <row r="14">
      <c r="A14" t="inlineStr">
        <is>
          <t>Microneedling</t>
        </is>
      </c>
      <c r="B14">
        <f>SUMPRODUCT(--(COUNTIFS('All Procedures'!$B$2:$B$72,'Clinics Overview'!$B$2:$B$28,'All Procedures'!$F$2:$F$72,"*"&amp;"Microneedling"&amp;"*")&gt;0))</f>
        <v/>
      </c>
    </row>
    <row r="15">
      <c r="A15" t="inlineStr">
        <is>
          <t>Skin Tightening (Morpheus8/RF)</t>
        </is>
      </c>
      <c r="B15">
        <f>SUMPRODUCT(--(COUNTIFS('All Procedures'!$B$2:$B$72,'Clinics Overview'!$B$2:$B$28,'All Procedures'!$F$2:$F$72,"*"&amp;"Skin Tightening (Morpheus8/RF)"&amp;"*")&gt;0))</f>
        <v/>
      </c>
    </row>
    <row r="16">
      <c r="A16" t="inlineStr">
        <is>
          <t>Medical Weight Loss / GLP-1</t>
        </is>
      </c>
      <c r="B16">
        <f>SUMPRODUCT(--(COUNTIFS('All Procedures'!$B$2:$B$72,'Clinics Overview'!$B$2:$B$28,'All Procedures'!$F$2:$F$72,"*"&amp;"Medical Weight Loss / GLP-1"&amp;"*")&gt;0))</f>
        <v/>
      </c>
    </row>
    <row r="17">
      <c r="A17" t="inlineStr">
        <is>
          <t>IV Therapy</t>
        </is>
      </c>
      <c r="B17">
        <f>SUMPRODUCT(--(COUNTIFS('All Procedures'!$B$2:$B$72,'Clinics Overview'!$B$2:$B$28,'All Procedures'!$F$2:$F$72,"*"&amp;"IV Therapy"&amp;"*")&gt;0))</f>
        <v/>
      </c>
    </row>
    <row r="18">
      <c r="A18" t="inlineStr">
        <is>
          <t>PRP / PRF</t>
        </is>
      </c>
      <c r="B18">
        <f>SUMPRODUCT(--(COUNTIFS('All Procedures'!$B$2:$B$72,'Clinics Overview'!$B$2:$B$28,'All Procedures'!$F$2:$F$72,"*"&amp;"PRP / PRF"&amp;"*")&gt;0))</f>
        <v/>
      </c>
    </row>
    <row r="19">
      <c r="A19" t="inlineStr">
        <is>
          <t>HydraFacial</t>
        </is>
      </c>
      <c r="B19">
        <f>SUMPRODUCT(--(COUNTIFS('All Procedures'!$B$2:$B$72,'Clinics Overview'!$B$2:$B$28,'All Procedures'!$F$2:$F$72,"*"&amp;"HydraFacial"&amp;"*")&gt;0))</f>
        <v/>
      </c>
    </row>
    <row r="20">
      <c r="A20" t="inlineStr">
        <is>
          <t>Chemical Peels</t>
        </is>
      </c>
      <c r="B20">
        <f>SUMPRODUCT(--(COUNTIFS('All Procedures'!$B$2:$B$72,'Clinics Overview'!$B$2:$B$28,'All Procedures'!$F$2:$F$72,"*"&amp;"Chemical Peels"&amp;"*")&gt;0))</f>
        <v/>
      </c>
    </row>
    <row r="21">
      <c r="A21" t="inlineStr">
        <is>
          <t>IPL / Photofacial</t>
        </is>
      </c>
      <c r="B21">
        <f>SUMPRODUCT(--(COUNTIFS('All Procedures'!$B$2:$B$72,'Clinics Overview'!$B$2:$B$28,'All Procedures'!$F$2:$F$72,"*"&amp;"IPL / Photofacial"&amp;"*")&gt;0))</f>
        <v/>
      </c>
    </row>
    <row r="22">
      <c r="A22" t="inlineStr">
        <is>
          <t>Sculptra / Biostimulators</t>
        </is>
      </c>
      <c r="B22">
        <f>SUMPRODUCT(--(COUNTIFS('All Procedures'!$B$2:$B$72,'Clinics Overview'!$B$2:$B$28,'All Procedures'!$F$2:$F$72,"*"&amp;"Sculptra / Biostimulators"&amp;"*")&gt;0))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PREMIUM UPSTATE NEW YORK MED SPA MARKET RESEARCH — NOTES</t>
        </is>
      </c>
    </row>
    <row r="2"/>
    <row r="3">
      <c r="A3" t="inlineStr">
        <is>
          <t>METHODOLOGY</t>
        </is>
      </c>
    </row>
    <row r="4">
      <c r="A4" t="inlineStr">
        <is>
          <t>Elias asked for a report on 'premium locations in Upstate NY' with no specific town list given;</t>
        </is>
      </c>
    </row>
    <row r="5">
      <c r="A5" t="inlineStr">
        <is>
          <t>clarified scope with Elias first, who chose a mixed set spanning three distinct regions rather</t>
        </is>
      </c>
    </row>
    <row r="6">
      <c r="A6" t="inlineStr">
        <is>
          <t>than a single cluster: the mid-Hudson Valley (Rhinebeck, Hudson, Woodstock, New Paltz,</t>
        </is>
      </c>
    </row>
    <row r="7">
      <c r="A7" t="inlineStr">
        <is>
          <t>Millbrook), Westchester County's wealthiest suburbs (Scarsdale, Rye, Bedford, Armonk,</t>
        </is>
      </c>
    </row>
    <row r="8">
      <c r="A8" t="inlineStr">
        <is>
          <t>Chappaqua), and the Saratoga/Finger Lakes corridor (Saratoga Springs, Lake George,</t>
        </is>
      </c>
    </row>
    <row r="9">
      <c r="A9" t="inlineStr">
        <is>
          <t>Skaneateles) — 13 towns total, also confirmed as 'full pipeline' depth to match the other 10</t>
        </is>
      </c>
    </row>
    <row r="10">
      <c r="A10" t="inlineStr">
        <is>
          <t>reports in this project.</t>
        </is>
      </c>
    </row>
    <row r="11"/>
    <row r="12">
      <c r="A12" t="inlineStr">
        <is>
          <t>As with the Hudson &amp; Bergen Co., NJ metro, this pass used direct WebSearch queries (one per</t>
        </is>
      </c>
    </row>
    <row r="13">
      <c r="A13" t="inlineStr">
        <is>
          <t>town) cross-checked against each clinic's own service pages and business directories (Yelp,</t>
        </is>
      </c>
    </row>
    <row r="14">
      <c r="A14" t="inlineStr">
        <is>
          <t>PortraitCare, Facebook, Instagram), rather than a live Google Maps sweep via browser</t>
        </is>
      </c>
    </row>
    <row r="15">
      <c r="A15" t="inlineStr">
        <is>
          <t>automation as used in the first 8 cities of this project. This is a lighter-touch method, and</t>
        </is>
      </c>
    </row>
    <row r="16">
      <c r="A16" t="inlineStr">
        <is>
          <t>the true clinic count and pricing-transparency rate could plausibly be higher than what's</t>
        </is>
      </c>
    </row>
    <row r="17">
      <c r="A17" t="inlineStr">
        <is>
          <t>captured here.</t>
        </is>
      </c>
    </row>
    <row r="18"/>
    <row r="19">
      <c r="A19" t="inlineStr">
        <is>
          <t>27 confirmed medical spas were logged across 11 of the 13 towns searched. Two towns — Woodstock</t>
        </is>
      </c>
    </row>
    <row r="20">
      <c r="A20" t="inlineStr">
        <is>
          <t>and Lake George — returned no standalone med spa with a confirmed address of its own.</t>
        </is>
      </c>
    </row>
    <row r="21"/>
    <row r="22">
      <c r="A22" t="inlineStr">
        <is>
          <t>IMPORTANT: THIS METRO SPANS THREE NIELSEN DMAs</t>
        </is>
      </c>
    </row>
    <row r="23">
      <c r="A23" t="inlineStr">
        <is>
          <t>Unlike every other metro in this project (each of which sits inside a single Nielsen DMA), this</t>
        </is>
      </c>
    </row>
    <row r="24">
      <c r="A24" t="inlineStr">
        <is>
          <t>one genuinely spans three: New York (US-NY-501, covering Westchester and the mid-Hudson Valley</t>
        </is>
      </c>
    </row>
    <row r="25">
      <c r="A25" t="inlineStr">
        <is>
          <t>towns — Rhinebeck, New Paltz, Millbrook — 8 of the 13 towns searched), Albany-Schenectady-Troy</t>
        </is>
      </c>
    </row>
    <row r="26">
      <c r="A26" t="inlineStr">
        <is>
          <t>(covering Saratoga Springs and Hudson, NY), and Syracuse (covering Skaneateles). The HTML</t>
        </is>
      </c>
    </row>
    <row r="27">
      <c r="A27" t="inlineStr">
        <is>
          <t>report's Google Trends chart reuses the New York DMA figures already used in the Manhattan and</t>
        </is>
      </c>
    </row>
    <row r="28">
      <c r="A28" t="inlineStr">
        <is>
          <t>NJ reports in this project (confirmed live via trends.google.com — the Botox figure of 81</t>
        </is>
      </c>
    </row>
    <row r="29">
      <c r="A29" t="inlineStr">
        <is>
          <t>matches both exactly), since that DMA covers the majority of towns searched here. The</t>
        </is>
      </c>
    </row>
    <row r="30">
      <c r="A30" t="inlineStr">
        <is>
          <t>Saratoga/Skaneateles portion of this metro's search demand is NOT reflected in the Trends chart</t>
        </is>
      </c>
    </row>
    <row r="31">
      <c r="A31" t="inlineStr">
        <is>
          <t>and would require a separate live pull against the Albany and Syracuse DMAs to complete.</t>
        </is>
      </c>
    </row>
    <row r="32"/>
    <row r="33">
      <c r="A33" t="inlineStr">
        <is>
          <t>UNSERVED TOWNS (searched, no standalone result)</t>
        </is>
      </c>
    </row>
    <row r="34">
      <c r="A34" t="inlineStr">
        <is>
          <t>Woodstock, NY and Lake George, NY are both small tourism/second-home towns; no medical spa with</t>
        </is>
      </c>
    </row>
    <row r="35">
      <c r="A35" t="inlineStr">
        <is>
          <t>a confirmed street address inside either town turned up in this search pass. Residents may be</t>
        </is>
      </c>
    </row>
    <row r="36">
      <c r="A36" t="inlineStr">
        <is>
          <t>served from nearby Kingston (Woodstock, ~20 min) or Glens Falls (Lake George, ~10 min) instead.</t>
        </is>
      </c>
    </row>
    <row r="37">
      <c r="A37" t="inlineStr">
        <is>
          <t>Recommend a follow-up phone-book/business-permit-registry check before concluding these towns</t>
        </is>
      </c>
    </row>
    <row r="38">
      <c r="A38" t="inlineStr">
        <is>
          <t>are genuinely unserved.</t>
        </is>
      </c>
    </row>
    <row r="39"/>
    <row r="40">
      <c r="A40" t="inlineStr">
        <is>
          <t>CLINICS WITH NO CONFIRMED TREATMENT MENU (0 procedures logged)</t>
        </is>
      </c>
    </row>
    <row r="41">
      <c r="A41" t="inlineStr">
        <is>
          <t>Essence Medispa (New Paltz), Lily's Medi Spa (Millbrook), and Finger Lakes Medical Aesthetics</t>
        </is>
      </c>
    </row>
    <row r="42">
      <c r="A42" t="inlineStr">
        <is>
          <t>(Skaneateles) were all confirmed as real, currently-operating aesthetics businesses via search</t>
        </is>
      </c>
    </row>
    <row r="43">
      <c r="A43" t="inlineStr">
        <is>
          <t>and/or directory listings, but no specific treatment (Botox, filler, laser, etc.) could be</t>
        </is>
      </c>
    </row>
    <row r="44">
      <c r="A44" t="inlineStr">
        <is>
          <t>confirmed for any of them from public listings in this research pass. Logged in 'Clinics</t>
        </is>
      </c>
    </row>
    <row r="45">
      <c r="A45" t="inlineStr">
        <is>
          <t>Overview' for completeness and as outreach candidates, but excluded from every category count</t>
        </is>
      </c>
    </row>
    <row r="46">
      <c r="A46" t="inlineStr">
        <is>
          <t>in 'All Procedures' and the Dashboard so as not to overstate confirmed treatment availability —</t>
        </is>
      </c>
    </row>
    <row r="47">
      <c r="A47" t="inlineStr">
        <is>
          <t>same convention used for the equivalent clinics in the NJ report.</t>
        </is>
      </c>
    </row>
    <row r="48"/>
    <row r="49">
      <c r="A49" t="inlineStr">
        <is>
          <t>MULTI-LOCATION CHAINS KEPT AS A SINGLE ROW</t>
        </is>
      </c>
    </row>
    <row r="50">
      <c r="A50" t="inlineStr">
        <is>
          <t>Medical Aesthetics of the Hudson Valley operates 4 locations (Kingston, Hudson, Rhinebeck, and</t>
        </is>
      </c>
    </row>
    <row r="51">
      <c r="A51" t="inlineStr">
        <is>
          <t>Poughkeepsie) but is logged once under its Kingston HQ address to avoid inflating the clinic</t>
        </is>
      </c>
    </row>
    <row r="52">
      <c r="A52" t="inlineStr">
        <is>
          <t>count for a single brand appearing in multiple searched towns' results. Youtherapy Medspa and</t>
        </is>
      </c>
    </row>
    <row r="53">
      <c r="A53" t="inlineStr">
        <is>
          <t>4Ever-style single-brand, multi-town chains elsewhere in this project were instead kept as</t>
        </is>
      </c>
    </row>
    <row r="54">
      <c r="A54" t="inlineStr">
        <is>
          <t>separate rows when they had genuinely distinct addresses in distinct towns (as Youtherapy's</t>
        </is>
      </c>
    </row>
    <row r="55">
      <c r="A55" t="inlineStr">
        <is>
          <t>Scarsdale and Chappaqua locations are here) — the distinction is whether the second location</t>
        </is>
      </c>
    </row>
    <row r="56">
      <c r="A56" t="inlineStr">
        <is>
          <t>was found in a different town's own search pass with its own address, vs. being listed purely</t>
        </is>
      </c>
    </row>
    <row r="57">
      <c r="A57" t="inlineStr">
        <is>
          <t>as a service-area note on a single practice's own site.</t>
        </is>
      </c>
    </row>
    <row r="58"/>
    <row r="59">
      <c r="A59" t="inlineStr">
        <is>
          <t>DATA QUALITY / STRONGEST PRICING ANCHORS FOUND</t>
        </is>
      </c>
    </row>
    <row r="60">
      <c r="A60" t="inlineStr">
        <is>
          <t>The Formula MedSpa, Rye ($11/unit Botox — a current limited-time special — plus a $659</t>
        </is>
      </c>
    </row>
    <row r="61">
      <c r="A61" t="inlineStr">
        <is>
          <t>'Bio-Filler Facelift' package, both from its own site) and Medical Aesthetics of the Hudson</t>
        </is>
      </c>
    </row>
    <row r="62">
      <c r="A62" t="inlineStr">
        <is>
          <t>Valley ($280-$1,200 Botox, $500-$850/syringe fillers, from its own pricing pages) are the</t>
        </is>
      </c>
    </row>
    <row r="63">
      <c r="A63" t="inlineStr">
        <is>
          <t>strongest genuine anchors. Youtherapy Medspa's $12/unit Botox and Hebe Medical Spa's $1-$2/unit</t>
        </is>
      </c>
    </row>
    <row r="64">
      <c r="A64" t="inlineStr">
        <is>
          <t>membership discounts are real but membership-gated, with no non-member/base rate published —</t>
        </is>
      </c>
    </row>
    <row r="65">
      <c r="A65" t="inlineStr">
        <is>
          <t>flagged in the HTML report as partial rather than full pricing. No boilerplate/aggregator</t>
        </is>
      </c>
    </row>
    <row r="66">
      <c r="A66" t="inlineStr">
        <is>
          <t>pricing-contamination pattern (seen in every prior city of this project) was observed here,</t>
        </is>
      </c>
    </row>
    <row r="67">
      <c r="A67" t="inlineStr">
        <is>
          <t>likely because far fewer clinics in this metro publish any pricing at all for the pattern to</t>
        </is>
      </c>
    </row>
    <row r="68">
      <c r="A68" t="inlineStr">
        <is>
          <t>appear in — this metro's 19% overall pricing-transparency rate is the second-lowest in this</t>
        </is>
      </c>
    </row>
    <row r="69">
      <c r="A69" t="inlineStr">
        <is>
          <t>project, just above the NJ Gold Coast corridor's 16%.</t>
        </is>
      </c>
    </row>
    <row r="70"/>
    <row r="71">
      <c r="A71" t="inlineStr">
        <is>
          <t>Procedure/treatment line items logged across all confirmed clinics; category counts computed</t>
        </is>
      </c>
    </row>
    <row r="72">
      <c r="A72" t="inlineStr">
        <is>
          <t>live via Dashboard formulas.</t>
        </is>
      </c>
    </row>
    <row r="73"/>
    <row r="74">
      <c r="A74" t="inlineStr">
        <is>
          <t>NEXT STEPS</t>
        </is>
      </c>
    </row>
    <row r="75">
      <c r="A75" t="inlineStr">
        <is>
          <t>Dashboard tab built with live COUNTA/SUMPRODUCT/COUNTIFS formulas (same structure as every</t>
        </is>
      </c>
    </row>
    <row r="76">
      <c r="A76" t="inlineStr">
        <is>
          <t>prior metro). HTML market report built and linked into the hub as the 11th metro. This is the</t>
        </is>
      </c>
    </row>
    <row r="77">
      <c r="A77" t="inlineStr">
        <is>
          <t>11th and (for now) final report in this multi-city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2026-08-29T15:20:50Z</dcterms:created>
  <dcterms:modified xmlns:dcterms="http://purl.org/dc/terms/" xmlns:xsi="http://www.w3.org/2001/XMLSchema-instance" xsi:type="dcterms:W3CDTF">2026-08-29T15:20:58Z</dcterms:modified>
</cp:coreProperties>
</file>