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<sst xmlns="http://schemas.openxmlformats.org/spreadsheetml/2006/main" count="2965" uniqueCount="599">
  <si>
    <t xml:space="preserve">#</t>
  </si>
  <si>
    <t xml:space="preserve">Clinic</t>
  </si>
  <si>
    <t xml:space="preserve">Neighborhood</t>
  </si>
  <si>
    <t xml:space="preserve">Address</t>
  </si>
  <si>
    <t xml:space="preserve">Website</t>
  </si>
  <si>
    <t xml:space="preserve"># Procedures Listed</t>
  </si>
  <si>
    <t xml:space="preserve">Pricing Transparency</t>
  </si>
  <si>
    <t xml:space="preserve">Source</t>
  </si>
  <si>
    <t xml:space="preserve">Contact / Scheduling Email</t>
  </si>
  <si>
    <t xml:space="preserve">LumiVita Midtown</t>
  </si>
  <si>
    <t xml:space="preserve">Midtown</t>
  </si>
  <si>
    <t xml:space="preserve">190 10th St NE, Atlanta, GA 30309</t>
  </si>
  <si>
    <t xml:space="preserve">https://lumivita.com/location/midtown</t>
  </si>
  <si>
    <t xml:space="preserve">No</t>
  </si>
  <si>
    <t xml:space="preserve">Website research (2026-08-18)</t>
  </si>
  <si>
    <t xml:space="preserve">Not found on site (contact form only)</t>
  </si>
  <si>
    <t xml:space="preserve">AYA Medical Spa Colony Square - Midtown</t>
  </si>
  <si>
    <t xml:space="preserve">145 15th St NE Suite 103, Atlanta, GA 30309</t>
  </si>
  <si>
    <t xml:space="preserve">https://ayaskin.com/locations/colony-square-medspa</t>
  </si>
  <si>
    <t xml:space="preserve">colonysquare@ayamedspa.com</t>
  </si>
  <si>
    <t xml:space="preserve">4Ever Young Med Spa &amp; Wellness Center - Atlanta Midtown</t>
  </si>
  <si>
    <t xml:space="preserve">1080 W Peachtree St NW Unit 5, Atlanta, GA 30309</t>
  </si>
  <si>
    <t xml:space="preserve">https://4everyoungantiaging.com/atlanta-midtown/</t>
  </si>
  <si>
    <t xml:space="preserve">Partial</t>
  </si>
  <si>
    <t xml:space="preserve">Not found on site (phone only: 404-620-0270)</t>
  </si>
  <si>
    <t xml:space="preserve">SkinCeuticals SkinLab Atlanta</t>
  </si>
  <si>
    <t xml:space="preserve">903 Peachtree St NE Suite 140, Atlanta, GA 30309</t>
  </si>
  <si>
    <t xml:space="preserve">https://www.skinatl.com/</t>
  </si>
  <si>
    <t xml:space="preserve">Not found on site (phone only: 678-782-2700)</t>
  </si>
  <si>
    <t xml:space="preserve">Skin Suite MedSpa</t>
  </si>
  <si>
    <t xml:space="preserve">Brookhaven</t>
  </si>
  <si>
    <t xml:space="preserve">3575 Durden Dr NE #305, Brookhaven, GA 30319</t>
  </si>
  <si>
    <t xml:space="preserve">https://skinsuitemedspa.com/</t>
  </si>
  <si>
    <t xml:space="preserve">info@skinsuitemedspa.com</t>
  </si>
  <si>
    <t xml:space="preserve">O'Real Aesthetics MedSpa</t>
  </si>
  <si>
    <t xml:space="preserve">3021 Piedmont Ave NE Suite 200, Atlanta, GA 30305 (address per site; Maps listed 3879 Peachtree Rd NE Loft 21 -- possible relocation, flagged)</t>
  </si>
  <si>
    <t xml:space="preserve">https://orealaesthetics.com/</t>
  </si>
  <si>
    <t xml:space="preserve">Not found (site JS-rendered, phone only: 404-836-7809)</t>
  </si>
  <si>
    <t xml:space="preserve">Natural Body Spa + Med Spa | Brookhaven</t>
  </si>
  <si>
    <t xml:space="preserve">1432 Dresden Dr Ste 300, Atlanta, GA 30319</t>
  </si>
  <si>
    <t xml:space="preserve">https://www.naturalbody.com/spa-locations/georgia-brookhaven</t>
  </si>
  <si>
    <t xml:space="preserve">Not found on site (phone only: 404-816-8801)</t>
  </si>
  <si>
    <t xml:space="preserve">Balanced Aesthetics + Wellness</t>
  </si>
  <si>
    <t xml:space="preserve">1350 Dresden Dr NE Ste 1006, Atlanta, GA 30319</t>
  </si>
  <si>
    <t xml:space="preserve">https://balancedaestheticsmedspa.com/</t>
  </si>
  <si>
    <t xml:space="preserve">Not found on site (phone/text only: 470-226-2390)</t>
  </si>
  <si>
    <t xml:space="preserve">Kalologie | Club Studio | Brookhaven</t>
  </si>
  <si>
    <t xml:space="preserve">755 Brookhaven Ave, Atlanta, GA 30319</t>
  </si>
  <si>
    <t xml:space="preserve">https://kalologie.com/our-locations/kalologie-medspa-in-brookhaven</t>
  </si>
  <si>
    <t xml:space="preserve">Not found on site (phone only: 678-280-8844)</t>
  </si>
  <si>
    <t xml:space="preserve">ELLEMES Medical Spa</t>
  </si>
  <si>
    <t xml:space="preserve">5505 Peachtree Dunwoody Rd NE Ste 630, Atlanta, GA 30338</t>
  </si>
  <si>
    <t xml:space="preserve">Not found (no distinct official site surfaced in search)</t>
  </si>
  <si>
    <t xml:space="preserve">Not found</t>
  </si>
  <si>
    <t xml:space="preserve">B Beautiful Medical Spa</t>
  </si>
  <si>
    <t xml:space="preserve">Chamblee</t>
  </si>
  <si>
    <t xml:space="preserve">5488 New Peachtree Rd, Chamblee, GA 30341</t>
  </si>
  <si>
    <t xml:space="preserve">https://www.bbeautifulmedicalspa.com/</t>
  </si>
  <si>
    <t xml:space="preserve">Not found on site (phone only: 678-404-5969)</t>
  </si>
  <si>
    <t xml:space="preserve">refreshMD by Robb Facial Plastics</t>
  </si>
  <si>
    <t xml:space="preserve">5001 Peachtree Blvd #605, Chamblee, GA 30341</t>
  </si>
  <si>
    <t xml:space="preserve">https://www.robbfacialplastics.com/refreshmd/</t>
  </si>
  <si>
    <t xml:space="preserve">Not found on site (phone only: 770-299-4644)</t>
  </si>
  <si>
    <t xml:space="preserve">Serenity Care Center and Spa</t>
  </si>
  <si>
    <t xml:space="preserve">3610 Chamblee Tucker Rd, Atlanta, GA 30341</t>
  </si>
  <si>
    <t xml:space="preserve">https://serenitycarecenterandspa.com/</t>
  </si>
  <si>
    <t xml:space="preserve">Not found on site (phone only: 770-294-2780)</t>
  </si>
  <si>
    <t xml:space="preserve">Royal Bliss Med Spa and Wellness Center</t>
  </si>
  <si>
    <t xml:space="preserve">3749 N Peachtree Rd, Atlanta, GA 30341</t>
  </si>
  <si>
    <t xml:space="preserve">https://www.royalblissmedispa.com/</t>
  </si>
  <si>
    <t xml:space="preserve">Not found on site</t>
  </si>
  <si>
    <t xml:space="preserve">AYA Medical Spa Decatur</t>
  </si>
  <si>
    <t xml:space="preserve">Decatur</t>
  </si>
  <si>
    <t xml:space="preserve">431 W Ponce de Leon Ave, Decatur, GA 30030</t>
  </si>
  <si>
    <t xml:space="preserve">https://ayaskin.com/locations/decatur-medspa</t>
  </si>
  <si>
    <t xml:space="preserve">Seamless Aesthetics &amp; Wellness Decatur</t>
  </si>
  <si>
    <t xml:space="preserve">107 N McDonough St, Decatur, GA 30030</t>
  </si>
  <si>
    <t xml:space="preserve">https://seamlessaestheticswellness.com/</t>
  </si>
  <si>
    <t xml:space="preserve">Not found on site (phone only: 678-772-9935)</t>
  </si>
  <si>
    <t xml:space="preserve">Chin Up! Aesthetics Decatur</t>
  </si>
  <si>
    <t xml:space="preserve">2786 N Decatur Rd #260, Decatur, GA 30033</t>
  </si>
  <si>
    <t xml:space="preserve">https://chinupaesthetics.com/medspa-in-decatur-atlanta-georgia/</t>
  </si>
  <si>
    <t xml:space="preserve">Not found on site (phone only: 770-274-4220)</t>
  </si>
  <si>
    <t xml:space="preserve">(R)Evolution Med Spa</t>
  </si>
  <si>
    <t xml:space="preserve">104 Sycamore Pl Ste A, Decatur, GA 30030</t>
  </si>
  <si>
    <t xml:space="preserve">https://revolutionbymka.com/</t>
  </si>
  <si>
    <t xml:space="preserve">New Journey Medical &amp; Aesthetics</t>
  </si>
  <si>
    <t xml:space="preserve">2784 N Decatur Rd Unit 160, Decatur, GA 30033</t>
  </si>
  <si>
    <t xml:space="preserve">https://newjourneymedical.com/</t>
  </si>
  <si>
    <t xml:space="preserve">Not found on site (phone only: 678-383-1058)</t>
  </si>
  <si>
    <t xml:space="preserve">The House of Wellness Med Spa</t>
  </si>
  <si>
    <t xml:space="preserve">Downtown</t>
  </si>
  <si>
    <t xml:space="preserve">18 Marietta St NW, Atlanta, GA 30303</t>
  </si>
  <si>
    <t xml:space="preserve">https://www.thowmedspa.org/</t>
  </si>
  <si>
    <t xml:space="preserve">Not found on site (phone: 404-963-7531 / text 833-847-2355)</t>
  </si>
  <si>
    <t xml:space="preserve">Radiance Medspa Atlanta</t>
  </si>
  <si>
    <t xml:space="preserve">2810 Paces Ferry Rd SE #206, Atlanta, GA 30339</t>
  </si>
  <si>
    <t xml:space="preserve">https://radiancemedspaatlanta.com/</t>
  </si>
  <si>
    <t xml:space="preserve">info@radiancemedspaatlanta.com</t>
  </si>
  <si>
    <t xml:space="preserve">VIO Med Spa | Dunwoody</t>
  </si>
  <si>
    <t xml:space="preserve">Dunwoody</t>
  </si>
  <si>
    <t xml:space="preserve">4712 Ashford Dunwoody Rd NE Unit 320, Dunwoody, GA 30338</t>
  </si>
  <si>
    <t xml:space="preserve">https://viomedspa.com/dunwoody/</t>
  </si>
  <si>
    <t xml:space="preserve">dermani MEDSPA® Dunwoody</t>
  </si>
  <si>
    <t xml:space="preserve">4512 Chamblee Dunwoody Rd, Dunwoody, GA 30338</t>
  </si>
  <si>
    <t xml:space="preserve">https://dermanimedspa.com/dunwoody-ga/</t>
  </si>
  <si>
    <t xml:space="preserve">Yes</t>
  </si>
  <si>
    <t xml:space="preserve">Not found on site (phone: 770.988.5588)</t>
  </si>
  <si>
    <t xml:space="preserve">SkinSpirit Dunwoody</t>
  </si>
  <si>
    <t xml:space="preserve">130 Middle St Ste 117, Dunwoody, GA 30346</t>
  </si>
  <si>
    <t xml:space="preserve">https://www.skinspirit.com/locations/dunwoody</t>
  </si>
  <si>
    <t xml:space="preserve">Not found on site (phone: 470-994-6700)</t>
  </si>
  <si>
    <t xml:space="preserve">Ranka Skin Med Spa LLC.</t>
  </si>
  <si>
    <t xml:space="preserve">1611 Mt Vernon Rd, Dunwoody, GA 30338 (Maps listed 5 Dunwoody Park S Ste 107 -- discrepancy flagged)</t>
  </si>
  <si>
    <t xml:space="preserve">https://rankaskin.com/</t>
  </si>
  <si>
    <t xml:space="preserve">Not found on site (phone: 678-308-2908)</t>
  </si>
  <si>
    <t xml:space="preserve">Face Haven</t>
  </si>
  <si>
    <t xml:space="preserve">2462 Jett Ferry Rd Suite 310, Dunwoody, GA 30338</t>
  </si>
  <si>
    <t xml:space="preserve">https://www.face-haven.com/</t>
  </si>
  <si>
    <t xml:space="preserve">Not found on site (phone: 770-695-0308)</t>
  </si>
  <si>
    <t xml:space="preserve">Dynamic 3 Med Spa</t>
  </si>
  <si>
    <t xml:space="preserve">Old Fourth Ward</t>
  </si>
  <si>
    <t xml:space="preserve">314 Pharr Rd NE, Atlanta, GA 30305</t>
  </si>
  <si>
    <t xml:space="preserve">https://d3medspa.com/</t>
  </si>
  <si>
    <t xml:space="preserve">support@D3MedSpa.com</t>
  </si>
  <si>
    <t xml:space="preserve">A Bless Beauty Medspa and Clinic</t>
  </si>
  <si>
    <t xml:space="preserve">2955 Pharr Ct S Northwest, Atlanta, GA 30305</t>
  </si>
  <si>
    <t xml:space="preserve">https://ablessbeauty.com/</t>
  </si>
  <si>
    <t xml:space="preserve">Restore Wellness and MedSpa</t>
  </si>
  <si>
    <t xml:space="preserve">112 Rogers St NE Ste 1A, Atlanta, GA 30317</t>
  </si>
  <si>
    <t xml:space="preserve">https://www.restorewellnessmd.com/</t>
  </si>
  <si>
    <t xml:space="preserve">Not found on site (phone: 404-890-5625)</t>
  </si>
  <si>
    <t xml:space="preserve">Ecobel Med Spa</t>
  </si>
  <si>
    <t xml:space="preserve">3033 Maple Dr NE, Atlanta, GA 30305</t>
  </si>
  <si>
    <t xml:space="preserve">https://ecobelmedspa.com/</t>
  </si>
  <si>
    <t xml:space="preserve">Not found on site (phone: 404-960-0812)</t>
  </si>
  <si>
    <t xml:space="preserve">Hey Butterfly Studio</t>
  </si>
  <si>
    <t xml:space="preserve">Grant Park/Summerhill</t>
  </si>
  <si>
    <t xml:space="preserve">581 Grant St SE, Atlanta, GA 30312</t>
  </si>
  <si>
    <t xml:space="preserve">https://www.heybutterflystudio.com/</t>
  </si>
  <si>
    <t xml:space="preserve">dermani MEDSPA® Summerhill</t>
  </si>
  <si>
    <t xml:space="preserve">572 Hank Aaron Dr SW Suite 1100, Atlanta, GA 30303</t>
  </si>
  <si>
    <t xml:space="preserve">https://dermanimedspa.com/summerhill-atlanta-ga/</t>
  </si>
  <si>
    <t xml:space="preserve">summerhill@dermanimedspa.com</t>
  </si>
  <si>
    <t xml:space="preserve">The Spa at Inman Park</t>
  </si>
  <si>
    <t xml:space="preserve">901 Bernina Ave NE Unit 1, Atlanta, GA 30307</t>
  </si>
  <si>
    <t xml:space="preserve">Not found (phone: 770-929-0634)</t>
  </si>
  <si>
    <t xml:space="preserve">Skin Social Medical Spa</t>
  </si>
  <si>
    <t xml:space="preserve">Sandy Springs</t>
  </si>
  <si>
    <t xml:space="preserve">5840 Roswell Rd #900, Sandy Springs, GA 30328</t>
  </si>
  <si>
    <t xml:space="preserve">https://skinsocialspa.com/</t>
  </si>
  <si>
    <t xml:space="preserve">Not found on site (phone: 770-705-2555)</t>
  </si>
  <si>
    <t xml:space="preserve">dermani MEDSPA® Sandy Springs</t>
  </si>
  <si>
    <t xml:space="preserve">5950 Roswell Rd, Sandy Springs, GA 30328</t>
  </si>
  <si>
    <t xml:space="preserve">https://dermanimedspa.com/sandy-springs-ga/</t>
  </si>
  <si>
    <t xml:space="preserve">AYA Medical Spa Northside - Sandy Springs</t>
  </si>
  <si>
    <t xml:space="preserve">975 Johnson Ferry Rd NE Unit 120, Sandy Springs, GA 30319</t>
  </si>
  <si>
    <t xml:space="preserve">https://ayaskin.com/locations/northside-medspa</t>
  </si>
  <si>
    <t xml:space="preserve">Pure Bliss Medspa</t>
  </si>
  <si>
    <t xml:space="preserve">6309 Roswell Rd Suite 2G, Sandy Springs, GA 30328</t>
  </si>
  <si>
    <t xml:space="preserve">https://www.pureblissmedicalspa.com/</t>
  </si>
  <si>
    <t xml:space="preserve">Not found on site (phone: 678-515-3653)</t>
  </si>
  <si>
    <t xml:space="preserve">SubRosa Medspa</t>
  </si>
  <si>
    <t xml:space="preserve">6600 Alastair Dr Ste 300, Sandy Springs, GA 30328</t>
  </si>
  <si>
    <t xml:space="preserve">https://subrosamedspa.com/</t>
  </si>
  <si>
    <t xml:space="preserve">Not found on site (phone: 678-404-7995)</t>
  </si>
  <si>
    <t xml:space="preserve">HydraPlus Virginia</t>
  </si>
  <si>
    <t xml:space="preserve">Virginia-Highland</t>
  </si>
  <si>
    <t xml:space="preserve">675 N Highland Ave NE Ste 4000, Atlanta, GA 30306</t>
  </si>
  <si>
    <t xml:space="preserve">https://thehydraplus.com/locations/virginia-highlands/</t>
  </si>
  <si>
    <t xml:space="preserve">info@thehydraplus.com</t>
  </si>
  <si>
    <t xml:space="preserve">beauty Bar Med Spa at Southern Surgical Arts</t>
  </si>
  <si>
    <t xml:space="preserve">245 N Highland Ave NE 1st floor Suite 120, Atlanta, GA 30307</t>
  </si>
  <si>
    <t xml:space="preserve">https://www.southernsurgicalarts.com/medspa/</t>
  </si>
  <si>
    <t xml:space="preserve">Not found on site (phone: 706-310-8768)</t>
  </si>
  <si>
    <t xml:space="preserve">dermani MEDSPA® Vinings</t>
  </si>
  <si>
    <t xml:space="preserve">Vinings</t>
  </si>
  <si>
    <t xml:space="preserve">4300 Paces Ferry Rd SE Ste 245, Atlanta, GA 30339</t>
  </si>
  <si>
    <t xml:space="preserve">https://dermanimedspa.com/vinings-ga/</t>
  </si>
  <si>
    <t xml:space="preserve">Not found on site (phone: 770-212-2242)</t>
  </si>
  <si>
    <t xml:space="preserve">Natural Body Spa + Med Spa | Smyrna</t>
  </si>
  <si>
    <t xml:space="preserve">1675 Cumberland Pkwy SE Ste 410, Smyrna, GA 30080</t>
  </si>
  <si>
    <t xml:space="preserve">https://www.naturalbody.com/spa-locations/georgia-smyrna</t>
  </si>
  <si>
    <t xml:space="preserve">Not found on site (phone: 770-437-0780)</t>
  </si>
  <si>
    <t xml:space="preserve">Chin Up! Aesthetics Atlanta</t>
  </si>
  <si>
    <t xml:space="preserve">2255 Cumberland Pkwy SE Bldg 1200 Ste 110, Atlanta, GA 30339</t>
  </si>
  <si>
    <t xml:space="preserve">https://chinupaesthetics.com/best-medspa-in-smyrna-vinings-ga/</t>
  </si>
  <si>
    <t xml:space="preserve">Not found on site (phone: 770-274-4220)</t>
  </si>
  <si>
    <t xml:space="preserve">dermani MEDSPA® Buckhead</t>
  </si>
  <si>
    <t xml:space="preserve">Buckhead</t>
  </si>
  <si>
    <t xml:space="preserve">2900 Peachtree Rd NW Suite 111, Atlanta, GA 30305</t>
  </si>
  <si>
    <t xml:space="preserve">https://dermanimedspa.com/buckhead-atlanta-ga/</t>
  </si>
  <si>
    <t xml:space="preserve">Not found on site (phone: 770-847-8230)</t>
  </si>
  <si>
    <t xml:space="preserve">SkinSpirit Buckhead</t>
  </si>
  <si>
    <t xml:space="preserve">3330 Piedmont Rd Ste 7, Atlanta, GA 30305</t>
  </si>
  <si>
    <t xml:space="preserve">https://www.skinspirit.com/locations/buckhead</t>
  </si>
  <si>
    <t xml:space="preserve">Not found on site (phone: 404-726-0500)</t>
  </si>
  <si>
    <t xml:space="preserve">AYA Medical Spa Buckhead</t>
  </si>
  <si>
    <t xml:space="preserve">371 East Paces Ferry Rd NE, Atlanta, GA 30305</t>
  </si>
  <si>
    <t xml:space="preserve">https://ayaskin.com/locations/buckhead-medspa</t>
  </si>
  <si>
    <t xml:space="preserve">aya@ayamedspa.com</t>
  </si>
  <si>
    <t xml:space="preserve">Bella Medspa</t>
  </si>
  <si>
    <t xml:space="preserve">3216 Paces Ferry Pl NW, Atlanta, GA 30305</t>
  </si>
  <si>
    <t xml:space="preserve">https://bellamedspaatl.com/</t>
  </si>
  <si>
    <t xml:space="preserve">Not found on site (phone: 678-908-3491)</t>
  </si>
  <si>
    <t xml:space="preserve">Procedure / Treatment</t>
  </si>
  <si>
    <t xml:space="preserve">Price</t>
  </si>
  <si>
    <t xml:space="preserve">Duration</t>
  </si>
  <si>
    <t xml:space="preserve">Botox / Dermal Fillers (Advanced Aesthetics)</t>
  </si>
  <si>
    <t xml:space="preserve">Not published (membership-based Lumi Life Plan)</t>
  </si>
  <si>
    <t xml:space="preserve">HALO / BBL Laser &amp; Skin Rejuvenation</t>
  </si>
  <si>
    <t xml:space="preserve">Not published (membership-based)</t>
  </si>
  <si>
    <t xml:space="preserve">Peptide Therapy</t>
  </si>
  <si>
    <t xml:space="preserve">Hormone Therapy (HRT/TRT)</t>
  </si>
  <si>
    <t xml:space="preserve">GLP-1 Medical Weight Loss</t>
  </si>
  <si>
    <t xml:space="preserve">Wrinkle Relaxers (Botox/Dysport/Daxxify)</t>
  </si>
  <si>
    <t xml:space="preserve">Not published (consultation required)</t>
  </si>
  <si>
    <t xml:space="preserve">Dermal Fillers (Hyaluronic Acid)</t>
  </si>
  <si>
    <t xml:space="preserve">BBL (Broadband Light)</t>
  </si>
  <si>
    <t xml:space="preserve">Halo Laser</t>
  </si>
  <si>
    <t xml:space="preserve">Moxi Laser</t>
  </si>
  <si>
    <t xml:space="preserve">Microneedling</t>
  </si>
  <si>
    <t xml:space="preserve">Chemical Peels</t>
  </si>
  <si>
    <t xml:space="preserve">Laser Hair Removal</t>
  </si>
  <si>
    <t xml:space="preserve">CoolSculpting Elite</t>
  </si>
  <si>
    <t xml:space="preserve">Kybella</t>
  </si>
  <si>
    <t xml:space="preserve">Ultherapy</t>
  </si>
  <si>
    <t xml:space="preserve">Botox</t>
  </si>
  <si>
    <t xml:space="preserve">Dysport</t>
  </si>
  <si>
    <t xml:space="preserve">Juvederm</t>
  </si>
  <si>
    <t xml:space="preserve">Jeuveau</t>
  </si>
  <si>
    <t xml:space="preserve">Restylane</t>
  </si>
  <si>
    <t xml:space="preserve">SKINVIVE</t>
  </si>
  <si>
    <t xml:space="preserve">SkinPen Microneedling</t>
  </si>
  <si>
    <t xml:space="preserve">Morpheus8</t>
  </si>
  <si>
    <t xml:space="preserve">Sculptra</t>
  </si>
  <si>
    <t xml:space="preserve">HydraFacial</t>
  </si>
  <si>
    <t xml:space="preserve">Dermaplaning</t>
  </si>
  <si>
    <t xml:space="preserve">Hormone Replacement Therapy (HRT/TRT)</t>
  </si>
  <si>
    <t xml:space="preserve">$50/week</t>
  </si>
  <si>
    <t xml:space="preserve">Botox Cosmetic</t>
  </si>
  <si>
    <t xml:space="preserve">under 1 hour</t>
  </si>
  <si>
    <t xml:space="preserve">Dermal Fillers</t>
  </si>
  <si>
    <t xml:space="preserve">Signature Facials &amp; Peels</t>
  </si>
  <si>
    <t xml:space="preserve">Skin Rejuvenation Services</t>
  </si>
  <si>
    <t xml:space="preserve">Laser Treatments</t>
  </si>
  <si>
    <t xml:space="preserve">Hair Restoration</t>
  </si>
  <si>
    <t xml:space="preserve">Botox Neurotoxins</t>
  </si>
  <si>
    <t xml:space="preserve">HydraFacials</t>
  </si>
  <si>
    <t xml:space="preserve">Mesotherapy</t>
  </si>
  <si>
    <t xml:space="preserve">Platelet Rich Plasma (PRP)</t>
  </si>
  <si>
    <t xml:space="preserve">PDO Threads</t>
  </si>
  <si>
    <t xml:space="preserve">Vaginal Rejuvenation</t>
  </si>
  <si>
    <t xml:space="preserve">Weight Loss</t>
  </si>
  <si>
    <t xml:space="preserve">IPL Photofacial</t>
  </si>
  <si>
    <t xml:space="preserve">HydraFacial (day spa menu)</t>
  </si>
  <si>
    <t xml:space="preserve">PRFM</t>
  </si>
  <si>
    <t xml:space="preserve">Laser</t>
  </si>
  <si>
    <t xml:space="preserve">Medical-Grade Facials</t>
  </si>
  <si>
    <t xml:space="preserve">Peptide Protocols / Hormone Optimization / IV Therapy / Medical Weight Loss</t>
  </si>
  <si>
    <t xml:space="preserve">Jeuveau / Botox / Juvederm (Injectables)</t>
  </si>
  <si>
    <t xml:space="preserve">Medical-Grade Peels</t>
  </si>
  <si>
    <t xml:space="preserve">IV Therapy / NAD+ / Vitamin Shots</t>
  </si>
  <si>
    <t xml:space="preserve">Membership</t>
  </si>
  <si>
    <t xml:space="preserve">Starting at $99/month (banked treatments + member pricing)</t>
  </si>
  <si>
    <t xml:space="preserve">Medical Spa Services (general)</t>
  </si>
  <si>
    <t xml:space="preserve">Not published</t>
  </si>
  <si>
    <t xml:space="preserve">Microdermabrasion</t>
  </si>
  <si>
    <t xml:space="preserve">Custom Facials</t>
  </si>
  <si>
    <t xml:space="preserve">IV Therapy</t>
  </si>
  <si>
    <t xml:space="preserve">Radiesse</t>
  </si>
  <si>
    <t xml:space="preserve">PRP</t>
  </si>
  <si>
    <t xml:space="preserve">CO2 Laser</t>
  </si>
  <si>
    <t xml:space="preserve">Hormone Therapy / Wellness</t>
  </si>
  <si>
    <t xml:space="preserve">Botox &amp; Dermal Fillers</t>
  </si>
  <si>
    <t xml:space="preserve">Body Sculpting &amp; Contouring</t>
  </si>
  <si>
    <t xml:space="preserve">Medical Weight Loss</t>
  </si>
  <si>
    <t xml:space="preserve">IV Hydration Therapy (incl. mobile)</t>
  </si>
  <si>
    <t xml:space="preserve">Facials</t>
  </si>
  <si>
    <t xml:space="preserve">Facial Treatments (general)</t>
  </si>
  <si>
    <t xml:space="preserve">Body Contouring</t>
  </si>
  <si>
    <t xml:space="preserve">Wellness Therapies</t>
  </si>
  <si>
    <t xml:space="preserve">$150 minimum regardless of units</t>
  </si>
  <si>
    <t xml:space="preserve">Halo / BBL Laser Resurfacing</t>
  </si>
  <si>
    <t xml:space="preserve">Microneedling with Growth Factors</t>
  </si>
  <si>
    <t xml:space="preserve">DiamondGlow Facials</t>
  </si>
  <si>
    <t xml:space="preserve">Hormone Therapy</t>
  </si>
  <si>
    <t xml:space="preserve">Medical Weight Management</t>
  </si>
  <si>
    <t xml:space="preserve">Advanced Skin &amp; Facial Rejuvenation</t>
  </si>
  <si>
    <t xml:space="preserve">Emsculpt Neo</t>
  </si>
  <si>
    <t xml:space="preserve">Emsella</t>
  </si>
  <si>
    <t xml:space="preserve">Sculptra BBL</t>
  </si>
  <si>
    <t xml:space="preserve">Keravive Scalp Rejuvenation</t>
  </si>
  <si>
    <t xml:space="preserve">Photofacial (IPL)</t>
  </si>
  <si>
    <t xml:space="preserve">PRP Injections</t>
  </si>
  <si>
    <t xml:space="preserve">EndoLift Laser Skin Tightening</t>
  </si>
  <si>
    <t xml:space="preserve">Botox / Jeuveau</t>
  </si>
  <si>
    <t xml:space="preserve">LightScan Fractional Laser Resurfacing</t>
  </si>
  <si>
    <t xml:space="preserve">RF Microneedling</t>
  </si>
  <si>
    <t xml:space="preserve">Nonsurgical Facelift</t>
  </si>
  <si>
    <t xml:space="preserve">Injectable Therapies</t>
  </si>
  <si>
    <t xml:space="preserve">Injectable Weight Loss</t>
  </si>
  <si>
    <t xml:space="preserve">Massages (10+ styles)</t>
  </si>
  <si>
    <t xml:space="preserve">Custom Facials (Glow-hydro, Ultimate, Acne Solution, Firm &amp; Lift)</t>
  </si>
  <si>
    <t xml:space="preserve">IV Hydration &amp; Vitamin Shots (10 signature drips)</t>
  </si>
  <si>
    <t xml:space="preserve">Body Waxing &amp; Grooming</t>
  </si>
  <si>
    <t xml:space="preserve">Injectables &amp; Fillers</t>
  </si>
  <si>
    <t xml:space="preserve">Facials &amp; Skincare</t>
  </si>
  <si>
    <t xml:space="preserve">Hair Removal</t>
  </si>
  <si>
    <t xml:space="preserve">Body Treatments</t>
  </si>
  <si>
    <t xml:space="preserve">Mesotherapy / Skin Tightening / IPL / Microneedling</t>
  </si>
  <si>
    <t xml:space="preserve">Radiance Rewards Membership</t>
  </si>
  <si>
    <t xml:space="preserve">$100/month (120 points to spend on any treatment)</t>
  </si>
  <si>
    <t xml:space="preserve">Body Treatments / Mesotherapy / Skin Tightening / IPL / Microneedling</t>
  </si>
  <si>
    <t xml:space="preserve">Membership (toxin discount tiers)</t>
  </si>
  <si>
    <t xml:space="preserve">$3 off/unit toxin + 15% off (top tier); $2 off/unit + 10% off (lower tier)</t>
  </si>
  <si>
    <t xml:space="preserve">Laser Hair Removal (small area, monthly membership)</t>
  </si>
  <si>
    <t xml:space="preserve">$50/month member / $100 non-member</t>
  </si>
  <si>
    <t xml:space="preserve">Laser Hair Removal (medium area, monthly membership)</t>
  </si>
  <si>
    <t xml:space="preserve">$75/month member / $150 non-member</t>
  </si>
  <si>
    <t xml:space="preserve">Laser Hair Removal (large area, monthly membership)</t>
  </si>
  <si>
    <t xml:space="preserve">$100/month member / $200 non-member</t>
  </si>
  <si>
    <t xml:space="preserve">Laser Hair Removal (1-hour unlimited, monthly membership)</t>
  </si>
  <si>
    <t xml:space="preserve">$200/month member / $400 non-member</t>
  </si>
  <si>
    <t xml:space="preserve">Starting at $150 member / $200 non-member</t>
  </si>
  <si>
    <t xml:space="preserve">Starting at $200 member / $375 non-member</t>
  </si>
  <si>
    <t xml:space="preserve">SkinPen + PRP Microneedling (member)</t>
  </si>
  <si>
    <t xml:space="preserve">$475</t>
  </si>
  <si>
    <t xml:space="preserve">Botox Membership</t>
  </si>
  <si>
    <t xml:space="preserve">$45/month</t>
  </si>
  <si>
    <t xml:space="preserve">Skin Rejuvenation Membership</t>
  </si>
  <si>
    <t xml:space="preserve">$75/month</t>
  </si>
  <si>
    <t xml:space="preserve">$499/syringe + $50 deposit (may vary by location)</t>
  </si>
  <si>
    <t xml:space="preserve">Not published (complimentary consultation)</t>
  </si>
  <si>
    <t xml:space="preserve">CoolSculpting</t>
  </si>
  <si>
    <t xml:space="preserve">Juvederm / Filler</t>
  </si>
  <si>
    <t xml:space="preserve">Laser Skin Resurfacing</t>
  </si>
  <si>
    <t xml:space="preserve">Laser Resurfacing / IPL</t>
  </si>
  <si>
    <t xml:space="preserve">Medical Aesthetics (general)</t>
  </si>
  <si>
    <t xml:space="preserve">Injectables</t>
  </si>
  <si>
    <t xml:space="preserve">Aesthetic Treatments &amp; Rejuvenating Facials (general)</t>
  </si>
  <si>
    <t xml:space="preserve">Wellness Therapies &amp; Body Optimization</t>
  </si>
  <si>
    <t xml:space="preserve">Fotona NightLase (sleep apnea)</t>
  </si>
  <si>
    <t xml:space="preserve">Electromagnetic Body Sculpting</t>
  </si>
  <si>
    <t xml:space="preserve">Lumenis SPLENDOR X Laser Hair Removal</t>
  </si>
  <si>
    <t xml:space="preserve">Not published (varies by area/density/package)</t>
  </si>
  <si>
    <t xml:space="preserve">Fotona4D Laser Skin Rejuvenation</t>
  </si>
  <si>
    <t xml:space="preserve">Wrinkle Relaxers (Botox-type)</t>
  </si>
  <si>
    <t xml:space="preserve">Hormone Replacement / Weight Loss</t>
  </si>
  <si>
    <t xml:space="preserve">Botox / Dysport</t>
  </si>
  <si>
    <t xml:space="preserve">~$12-$15 per unit</t>
  </si>
  <si>
    <t xml:space="preserve">~$600-$1,200 per syringe</t>
  </si>
  <si>
    <t xml:space="preserve">IPL Therapy</t>
  </si>
  <si>
    <t xml:space="preserve">GLP-1 Injections / Lipo-B / B12 / NAD+ / Glutathione</t>
  </si>
  <si>
    <t xml:space="preserve">IV Hydration Therapy</t>
  </si>
  <si>
    <t xml:space="preserve">Lip Filler</t>
  </si>
  <si>
    <t xml:space="preserve">$750</t>
  </si>
  <si>
    <t xml:space="preserve">Under Eye Filler</t>
  </si>
  <si>
    <t xml:space="preserve">$1,200</t>
  </si>
  <si>
    <t xml:space="preserve">Non-Surgical Rhinoplasty (Filler)</t>
  </si>
  <si>
    <t xml:space="preserve">$1,250</t>
  </si>
  <si>
    <t xml:space="preserve">Cheek Filler</t>
  </si>
  <si>
    <t xml:space="preserve">$1,600</t>
  </si>
  <si>
    <t xml:space="preserve">Chin Filler</t>
  </si>
  <si>
    <t xml:space="preserve">$950</t>
  </si>
  <si>
    <t xml:space="preserve">Jawline Filler</t>
  </si>
  <si>
    <t xml:space="preserve">$2,100</t>
  </si>
  <si>
    <t xml:space="preserve">Laugh Lines Filler</t>
  </si>
  <si>
    <t xml:space="preserve">$850</t>
  </si>
  <si>
    <t xml:space="preserve">Temple Filler</t>
  </si>
  <si>
    <t xml:space="preserve">$1,200 (1x) / $3,300 (package of 3)</t>
  </si>
  <si>
    <t xml:space="preserve">Filler Dissolver</t>
  </si>
  <si>
    <t xml:space="preserve">$7/unit</t>
  </si>
  <si>
    <t xml:space="preserve">PRP/PRF EZ Gel Filler - Undereye</t>
  </si>
  <si>
    <t xml:space="preserve">$700 (1x) / $1,800 (package of 3)</t>
  </si>
  <si>
    <t xml:space="preserve">PRP/PRF EZ Gel Filler - Laugh Line</t>
  </si>
  <si>
    <t xml:space="preserve">$850 (1x) / $2,400 (package of 3)</t>
  </si>
  <si>
    <t xml:space="preserve">PRP/PRF EZ Gel Filler - Temple</t>
  </si>
  <si>
    <t xml:space="preserve">$950 (1x) / $2,700 (package of 3)</t>
  </si>
  <si>
    <t xml:space="preserve">Liquid Face Lift (combo filler)</t>
  </si>
  <si>
    <t xml:space="preserve">$3,400</t>
  </si>
  <si>
    <t xml:space="preserve">V Lift (Cheek &amp; Chin)</t>
  </si>
  <si>
    <t xml:space="preserve">$2,450</t>
  </si>
  <si>
    <t xml:space="preserve">$15/unit</t>
  </si>
  <si>
    <t xml:space="preserve">$13/unit</t>
  </si>
  <si>
    <t xml:space="preserve">Xeomin</t>
  </si>
  <si>
    <t xml:space="preserve">$12/unit</t>
  </si>
  <si>
    <t xml:space="preserve">Endolaser - Mid Face</t>
  </si>
  <si>
    <t xml:space="preserve">$3,000</t>
  </si>
  <si>
    <t xml:space="preserve">Endolaser - Jaw &amp; Chin</t>
  </si>
  <si>
    <t xml:space="preserve">Endolaser - Eye Lift</t>
  </si>
  <si>
    <t xml:space="preserve">$2,000</t>
  </si>
  <si>
    <t xml:space="preserve">Endolaser - Neck Lift</t>
  </si>
  <si>
    <t xml:space="preserve">$2,500</t>
  </si>
  <si>
    <t xml:space="preserve">PDO Thread - Full Face Lift</t>
  </si>
  <si>
    <t xml:space="preserve">$5,000+</t>
  </si>
  <si>
    <t xml:space="preserve">PDO Thread - Ultimate Brow Lift</t>
  </si>
  <si>
    <t xml:space="preserve">$2,500+</t>
  </si>
  <si>
    <t xml:space="preserve">PDO Thread - Fox Eye Lift</t>
  </si>
  <si>
    <t xml:space="preserve">$1,500+</t>
  </si>
  <si>
    <t xml:space="preserve">PDO Thread - Lip Border</t>
  </si>
  <si>
    <t xml:space="preserve">$400</t>
  </si>
  <si>
    <t xml:space="preserve">Exosome PRP Hair Restoration</t>
  </si>
  <si>
    <t xml:space="preserve">$3,000-$5,000</t>
  </si>
  <si>
    <t xml:space="preserve">Exosome PRP Undereye Filler</t>
  </si>
  <si>
    <t xml:space="preserve">$1,500-$2,800</t>
  </si>
  <si>
    <t xml:space="preserve">Exosome Facial Microneedling</t>
  </si>
  <si>
    <t xml:space="preserve">$950-$2,550</t>
  </si>
  <si>
    <t xml:space="preserve">CO2 Laser - Full Face</t>
  </si>
  <si>
    <t xml:space="preserve">Laser Genesis</t>
  </si>
  <si>
    <t xml:space="preserve">$350 (1x) / $1,100 package of 4</t>
  </si>
  <si>
    <t xml:space="preserve">Limelight IPL</t>
  </si>
  <si>
    <t xml:space="preserve">$375 (1x) / $900 package of 3</t>
  </si>
  <si>
    <t xml:space="preserve">Laser Hair Removal - Small Area</t>
  </si>
  <si>
    <t xml:space="preserve">$100/session</t>
  </si>
  <si>
    <t xml:space="preserve">Laser Hair Removal - Medium Area</t>
  </si>
  <si>
    <t xml:space="preserve">$150/session</t>
  </si>
  <si>
    <t xml:space="preserve">Laser Hair Removal - Large Area</t>
  </si>
  <si>
    <t xml:space="preserve">$200/session</t>
  </si>
  <si>
    <t xml:space="preserve">Vein Removal</t>
  </si>
  <si>
    <t xml:space="preserve">$500</t>
  </si>
  <si>
    <t xml:space="preserve">Pearl Resurfacing Laser</t>
  </si>
  <si>
    <t xml:space="preserve">$2,500 (1x) / $5,400 (series of 3)</t>
  </si>
  <si>
    <t xml:space="preserve">HydraFacial - Signature</t>
  </si>
  <si>
    <t xml:space="preserve">$250</t>
  </si>
  <si>
    <t xml:space="preserve">HydraFacial - Deluxe</t>
  </si>
  <si>
    <t xml:space="preserve">$325</t>
  </si>
  <si>
    <t xml:space="preserve">HydraFacial - Platinum</t>
  </si>
  <si>
    <t xml:space="preserve">$375</t>
  </si>
  <si>
    <t xml:space="preserve">Microneedling - Collagen Induction</t>
  </si>
  <si>
    <t xml:space="preserve">$250 (1x) / $600 package of 3</t>
  </si>
  <si>
    <t xml:space="preserve">Microneedling - RF</t>
  </si>
  <si>
    <t xml:space="preserve">$800 (1x) / $1,800 package of 3</t>
  </si>
  <si>
    <t xml:space="preserve">Microneedling - PRP</t>
  </si>
  <si>
    <t xml:space="preserve">Chemical Peel - Light Jessner</t>
  </si>
  <si>
    <t xml:space="preserve">$200</t>
  </si>
  <si>
    <t xml:space="preserve">Chemical Peel - Medium Melasma</t>
  </si>
  <si>
    <t xml:space="preserve">Chemical Peel - Deep TCA</t>
  </si>
  <si>
    <t xml:space="preserve">$300</t>
  </si>
  <si>
    <t xml:space="preserve">Chemical Peel - Perfect Derma</t>
  </si>
  <si>
    <t xml:space="preserve">$350</t>
  </si>
  <si>
    <t xml:space="preserve">Facial - Le Grand Classique</t>
  </si>
  <si>
    <t xml:space="preserve">$155</t>
  </si>
  <si>
    <t xml:space="preserve">Facial - Le Grand Classique Anti-Aging</t>
  </si>
  <si>
    <t xml:space="preserve">$225</t>
  </si>
  <si>
    <t xml:space="preserve">Facial - Soin Acne</t>
  </si>
  <si>
    <t xml:space="preserve">$175</t>
  </si>
  <si>
    <t xml:space="preserve">Plasma Fibroblast Skin Rejuvenation</t>
  </si>
  <si>
    <t xml:space="preserve">IPL for Vascular Imperfections / Rosacea</t>
  </si>
  <si>
    <t xml:space="preserve">Skin Rejuvenation / Add-Ons Membership</t>
  </si>
  <si>
    <t xml:space="preserve">$60/month</t>
  </si>
  <si>
    <t xml:space="preserve">Anti-Wrinkle Injections</t>
  </si>
  <si>
    <t xml:space="preserve">Laser Hair Removal (IPL)</t>
  </si>
  <si>
    <t xml:space="preserve">Skin Tightening / Non-Surgical Facelift</t>
  </si>
  <si>
    <t xml:space="preserve">IPL Skin Rejuvenation / Skin Lightening</t>
  </si>
  <si>
    <t xml:space="preserve">Not published (pricing guide downloadable on site, not extracted)</t>
  </si>
  <si>
    <t xml:space="preserve">PRP Facials</t>
  </si>
  <si>
    <t xml:space="preserve">Body Treatments / IV Therapy</t>
  </si>
  <si>
    <t xml:space="preserve">$499/syringe + $50 deposit</t>
  </si>
  <si>
    <t xml:space="preserve">Laser Hair Removal Membership</t>
  </si>
  <si>
    <t xml:space="preserve">as low as $50/month</t>
  </si>
  <si>
    <t xml:space="preserve">Photofacial / Dermaplaning / Microneedling / Chemical Peels</t>
  </si>
  <si>
    <t xml:space="preserve">BBL</t>
  </si>
  <si>
    <t xml:space="preserve">Dermal Fillers (Juvederm)</t>
  </si>
  <si>
    <t xml:space="preserve">Custom Facials / Chemical Peels</t>
  </si>
  <si>
    <t xml:space="preserve">Laser Treatments / Laser Hair Removal / IPL Photofacials</t>
  </si>
  <si>
    <t xml:space="preserve">Semaglutide Medical Weight Loss</t>
  </si>
  <si>
    <t xml:space="preserve">Injectables (Botox/Fillers/PRF)</t>
  </si>
  <si>
    <t xml:space="preserve">Not published (price guide downloadable on site, not extracted)</t>
  </si>
  <si>
    <t xml:space="preserve">Laser Skin Rejuvenation / Hair Removal / Tattoo Removal</t>
  </si>
  <si>
    <t xml:space="preserve">Signature Rose Society Membership</t>
  </si>
  <si>
    <t xml:space="preserve">$185/month or $299/month</t>
  </si>
  <si>
    <t xml:space="preserve">Lip Fillers</t>
  </si>
  <si>
    <t xml:space="preserve">IV Infusions / Vitamin Injectables / NAD+ / Oxygen Therapy / Medical Weight Loss</t>
  </si>
  <si>
    <t xml:space="preserve">Acne Treatment</t>
  </si>
  <si>
    <t xml:space="preserve">Laser / RF Treatments (19 total treatments offered)</t>
  </si>
  <si>
    <t xml:space="preserve">$200/visit</t>
  </si>
  <si>
    <t xml:space="preserve">HydraFacial - Deluxe (booster + LED)</t>
  </si>
  <si>
    <t xml:space="preserve">$275/visit</t>
  </si>
  <si>
    <t xml:space="preserve">Laser Hair Removal (pay-per-visit)</t>
  </si>
  <si>
    <t xml:space="preserve">$100-$400/visit</t>
  </si>
  <si>
    <t xml:space="preserve">Laser Hair Removal (monthly package)</t>
  </si>
  <si>
    <t xml:space="preserve">$50-$200/month</t>
  </si>
  <si>
    <t xml:space="preserve">Skin Rejuvenation / Dermaplaning / Chemical Peel / Microdermabrasion</t>
  </si>
  <si>
    <t xml:space="preserve">Skin Rejuvenation / Body Contouring / Microneedling / Voluma</t>
  </si>
  <si>
    <t xml:space="preserve">Filler</t>
  </si>
  <si>
    <t xml:space="preserve">Facial Fillers</t>
  </si>
  <si>
    <t xml:space="preserve">Vi Peel</t>
  </si>
  <si>
    <t xml:space="preserve">Skin Lightening</t>
  </si>
  <si>
    <t xml:space="preserve">Laser Stretch Mark Removal</t>
  </si>
  <si>
    <t xml:space="preserve">Electrolysis Hair Removal</t>
  </si>
  <si>
    <t xml:space="preserve">Body Services</t>
  </si>
  <si>
    <t xml:space="preserve">~$300</t>
  </si>
  <si>
    <t xml:space="preserve">Special Packages</t>
  </si>
  <si>
    <t xml:space="preserve">$900-$1,800</t>
  </si>
  <si>
    <t xml:space="preserve">Atlanta Med Spa Market Dashboard</t>
  </si>
  <si>
    <t xml:space="preserve">Live summary of tracked clinics, pricing outreach, and procedure popularity  |  Source workbook updated 8/18/26</t>
  </si>
  <si>
    <t xml:space="preserve">Total Clinics Tracked</t>
  </si>
  <si>
    <t xml:space="preserve">Clinics w/ Published Pricing</t>
  </si>
  <si>
    <t xml:space="preserve">Clinics w/ No Public Pricing</t>
  </si>
  <si>
    <t xml:space="preserve">Procedure Line Items Logged</t>
  </si>
  <si>
    <t xml:space="preserve">Most Popular Procedures (by # of clinics offering, across 47 tracked clinics)</t>
  </si>
  <si>
    <t xml:space="preserve">Procedure</t>
  </si>
  <si>
    <t xml:space="preserve"># Clinics Offering</t>
  </si>
  <si>
    <t xml:space="preserve">Typical Price Range</t>
  </si>
  <si>
    <t xml:space="preserve">Median Price</t>
  </si>
  <si>
    <t xml:space="preserve">Notes</t>
  </si>
  <si>
    <t xml:space="preserve">Botox / Neuromodulators</t>
  </si>
  <si>
    <t xml:space="preserve">$12-$15/unit</t>
  </si>
  <si>
    <t xml:space="preserve">~$14/unit</t>
  </si>
  <si>
    <t xml:space="preserve">Ecobel and a few partial-pricing clinics publish per-unit rates; most require a consultation</t>
  </si>
  <si>
    <t xml:space="preserve">Dermal / Lip Fillers</t>
  </si>
  <si>
    <t xml:space="preserve">$499-$3,400/syringe or treatment</t>
  </si>
  <si>
    <t xml:space="preserve">~$1,200</t>
  </si>
  <si>
    <t xml:space="preserve">Ecobel's itemized filler menu and dermani's $499/syringe Juvederm rate are the only two published pricing sources found</t>
  </si>
  <si>
    <t xml:space="preserve">Microneedling / RF</t>
  </si>
  <si>
    <t xml:space="preserve">$200-$800/session</t>
  </si>
  <si>
    <t xml:space="preserve">~$400</t>
  </si>
  <si>
    <t xml:space="preserve">RF variants (Morpheus8, RF Microneedling) priced well above basic collagen-induction microneedling</t>
  </si>
  <si>
    <t xml:space="preserve">$200-$350/session</t>
  </si>
  <si>
    <t xml:space="preserve">~$275</t>
  </si>
  <si>
    <t xml:space="preserve">Only Ecobel publishes itemized peel pricing</t>
  </si>
  <si>
    <t xml:space="preserve">IPL / Photofacial</t>
  </si>
  <si>
    <t xml:space="preserve">$375-$900</t>
  </si>
  <si>
    <t xml:space="preserve">~$375</t>
  </si>
  <si>
    <t xml:space="preserve">Often bundled into BBL/laser packages; single-session pricing rarely disclosed outside Ecobel</t>
  </si>
  <si>
    <t xml:space="preserve">$50-$400/session or month</t>
  </si>
  <si>
    <t xml:space="preserve">~$150</t>
  </si>
  <si>
    <t xml:space="preserve">Sold as pay-per-visit or monthly membership; dermani's 5 locations all use the same membership tiers</t>
  </si>
  <si>
    <t xml:space="preserve">Sculptra / Biostimulators</t>
  </si>
  <si>
    <t xml:space="preserve">Not widely published</t>
  </si>
  <si>
    <t xml:space="preserve">N/A</t>
  </si>
  <si>
    <t xml:space="preserve">Least common category in this market; no clinic publishes a specific price</t>
  </si>
  <si>
    <t xml:space="preserve">$150-$375</t>
  </si>
  <si>
    <t xml:space="preserve">~$250</t>
  </si>
  <si>
    <t xml:space="preserve">Tiered Signature/Deluxe/Platinum pricing is the norm where published</t>
  </si>
  <si>
    <t xml:space="preserve">PRP Therapy</t>
  </si>
  <si>
    <t xml:space="preserve">$475-$5,000</t>
  </si>
  <si>
    <t xml:space="preserve">~$850</t>
  </si>
  <si>
    <t xml:space="preserve">Wide range spans a single microneedling add-on to full exosome/PRP hair-restoration packages</t>
  </si>
  <si>
    <t xml:space="preserve">CoolSculpting / CoolTone</t>
  </si>
  <si>
    <t xml:space="preserve">Pricing rarely disclosed publicly; usually requires a consult</t>
  </si>
  <si>
    <t xml:space="preserve">Microdermabrasion / Dermaplaning</t>
  </si>
  <si>
    <t xml:space="preserve">Frequently offered as an add-on to a facial rather than priced standalone</t>
  </si>
  <si>
    <t xml:space="preserve">Emsculpt / Body Contouring</t>
  </si>
  <si>
    <t xml:space="preserve">No clinic in this dataset publishes a specific price</t>
  </si>
  <si>
    <t xml:space="preserve">$1,200-$3,300</t>
  </si>
  <si>
    <t xml:space="preserve">~$1,200/treatment</t>
  </si>
  <si>
    <t xml:space="preserve">Priced per treatment or a 3-treatment package at Ecobel; elsewhere requires a consult</t>
  </si>
  <si>
    <t xml:space="preserve">Rare in the Atlanta dataset</t>
  </si>
  <si>
    <t xml:space="preserve">PDO Thread Lift</t>
  </si>
  <si>
    <t xml:space="preserve">$400-$5,000+</t>
  </si>
  <si>
    <t xml:space="preserve">~$2,500</t>
  </si>
  <si>
    <t xml:space="preserve">Least commonly offered category alongside Ultherapy; only Ecobel publishes prices</t>
  </si>
  <si>
    <t xml:space="preserve">Note: "# Clinics Offering" is a live formula scanning the All Procedures sheet, counting DISTINCT CLINICS (not raw line items) that mention the keyword. Price ranges/medians are derived from a one-time manual parse of published prices across the dataset (outliers and training/consult fees excluded) - not a live formula, since pricing is stored as free text that cannot be reliably parsed by spreadsheet formulas. Re-run the analysis after major data updates. Compiled 2026-08-18.</t>
  </si>
  <si>
    <t xml:space="preserve">Atlanta Med Spa Procedures Report — Methodology &amp; Notes</t>
  </si>
  <si>
    <t xml:space="preserve">STATUS: Procedures/pricing research pass COMPLETE (2026-08-18). 47 clinics researched via</t>
  </si>
  <si>
    <t xml:space="preserve">official websites (WebSearch + direct page fetches); Maps sweep originally found 53 candidates,</t>
  </si>
  <si>
    <t xml:space="preserve">6 more were dropped during this pass (see below), leaving 47 confirmed med spas.</t>
  </si>
  <si>
    <t xml:space="preserve">Pricing transparency breakdown: 6 clinics with full/anchor-level published pricing, 9 with partial pricing (a few procedures or membership tiers priced, most 'consultation required'), 32 with no</t>
  </si>
  <si>
    <t xml:space="preserve">published pricing at all (site lists services only, prices require a consultation).</t>
  </si>
  <si>
    <t xml:space="preserve">6 candidates dropped during this pass (beyond the 7 excluded at Maps-sweep time):</t>
  </si>
  <si>
    <t xml:space="preserve">  - BLUE Med Center &amp; Spa (Midtown) -- CONFIRMED CLOSED per Yelp/BBB; replaced at the same</t>
  </si>
  <si>
    <t xml:space="preserve">    190 10th St NE address and phone number by LumiVita Midtown, which is kept in the list.</t>
  </si>
  <si>
    <t xml:space="preserve">  - Tranquil Essence Med Spa &amp; Wellness (Midtown) -- could not verify; no business by this</t>
  </si>
  <si>
    <t xml:space="preserve">    exact name found at or near 620 Glen Iris Dr NE despite multiple targeted searches.</t>
  </si>
  <si>
    <t xml:space="preserve">  - Skin Beauty Med Spa (Sandy Springs, 750 Hammond Dr) -- could not verify; no business by</t>
  </si>
  <si>
    <t xml:space="preserve">    this exact name found at this address.</t>
  </si>
  <si>
    <t xml:space="preserve">  - Fabu Face Spa (Decatur) -- confirmed facials/waxing/lash-and-brow studio only, no</t>
  </si>
  <si>
    <t xml:space="preserve">    medical or injectable services.</t>
  </si>
  <si>
    <t xml:space="preserve">  - Serene + Oasis Day Spa &amp; Waxing Studio (Virginia-Highland) -- confirmed massage/facials/</t>
  </si>
  <si>
    <t xml:space="preserve">    waxing only, no medical services.</t>
  </si>
  <si>
    <t xml:space="preserve">  - Vinings Med Spa - Skincare - Massage - Body Treatments (Vinings) -- confirmed facials/</t>
  </si>
  <si>
    <t xml:space="preserve">    massage/body-treatment day spa despite the name, no injectables or medical services found.</t>
  </si>
  <si>
    <t xml:space="preserve">Of the 7 clinics flagged for verification at Maps-sweep time, 5 were confirmed as legitimate</t>
  </si>
  <si>
    <t xml:space="preserve">med spas and kept (Hey Butterfly Studio -- plasma fibroblast/RF microneedling/IPL vascular;</t>
  </si>
  <si>
    <t xml:space="preserve">Face Haven -- laser hair removal + injectables; SkinCeuticals SkinLab Atlanta -- Botox/fillers/</t>
  </si>
  <si>
    <t xml:space="preserve">Morpheus8; Serenity Care Center and Spa -- Botox/fillers/laser hair removal/body contouring;</t>
  </si>
  <si>
    <t xml:space="preserve">The Spa at Inman Park -- anti-wrinkle injections/laser hair removal/microneedling); 1 was</t>
  </si>
  <si>
    <t xml:space="preserve">dropped as non-medspa (Fabu Face Spa, see above) and 1 was dropped separately (Serene + Oasis,</t>
  </si>
  <si>
    <t xml:space="preserve">see above).</t>
  </si>
  <si>
    <t xml:space="preserve">Address discrepancies flagged for later double-checking: O'Real Aesthetics MedSpa (site lists</t>
  </si>
  <si>
    <t xml:space="preserve">3021 Piedmont Ave NE Suite 200, Buckhead; Maps sweep found it at 3879 Peachtree Rd NE Loft 21 --</t>
  </si>
  <si>
    <t xml:space="preserve">possible relocation) and Ranka Skin Med Spa (site lists 1611 Mt Vernon Rd; Maps sweep found</t>
  </si>
  <si>
    <t xml:space="preserve">5 Dunwoody Park S Ste 107).</t>
  </si>
  <si>
    <t xml:space="preserve">Strongest pricing anchors (full itemized price lists found): Ecobel Med Spa (Old Fourth Ward --</t>
  </si>
  <si>
    <t xml:space="preserve">~50 line items, Botox $15/unit, extensive filler/PDO thread/laser/facial menu) and the 5 dermani</t>
  </si>
  <si>
    <t xml:space="preserve">MEDSPA locations (Buckhead, Sandy Springs, Dunwoody, Vinings, Summerhill -- shared corporate</t>
  </si>
  <si>
    <t xml:space="preserve">pricing: Botox membership $45/mo, Juvederm $499/syringe, HydraFacial from $150-$200,</t>
  </si>
  <si>
    <t xml:space="preserve">SkinPen from $200-$375, laser hair removal membership tiers $50-$200/mo).</t>
  </si>
  <si>
    <t xml:space="preserve">5 dermani MEDSPA locations and 4 AYA Medical Spa locations are each kept as separate rows</t>
  </si>
  <si>
    <t xml:space="preserve">since they are distinct addresses/franchise locations with independently confirmed details --</t>
  </si>
  <si>
    <t xml:space="preserve">same convention as Charlotte's The Modern Aesthetic (Uptown + Ballantyne) dual listing.</t>
  </si>
  <si>
    <t xml:space="preserve">Most clinics (all but the 2 pricing anchors and a handful of partial-pricing clinics) publish</t>
  </si>
  <si>
    <t xml:space="preserve">a services list but require a consultation for pricing -- consistent with the pattern seen in</t>
  </si>
  <si>
    <t xml:space="preserve">the Charlotte market, where the majority of med spas also withhold pricing until consultation.</t>
  </si>
  <si>
    <t xml:space="preserve">NEXT ACTION (resume here): Build the Dashboard tab (COUNTA/SUMPRODUCT formulas matching the</t>
  </si>
  <si>
    <t xml:space="preserve">Charlotte/Manhattan template), run Google Trends research (15 procedure categories, Atlanta's</t>
  </si>
  <si>
    <t xml:space="preserve">Nielsen DMA), then build Atlanta_Med_Spa_Market_Report.html using this data.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</si>
</sst>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5</v>
      </c>
      <c r="G2" s="0" t="s">
        <v>13</v>
      </c>
      <c r="H2" s="0" t="s">
        <v>14</v>
      </c>
      <c r="I2" s="0" t="s">
        <v>15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s">
        <v>10</v>
      </c>
      <c r="D3" s="0" t="s">
        <v>17</v>
      </c>
      <c r="E3" s="0" t="s">
        <v>18</v>
      </c>
      <c r="F3" s="0" t="n">
        <v>11</v>
      </c>
      <c r="G3" s="0" t="s">
        <v>13</v>
      </c>
      <c r="H3" s="0" t="s">
        <v>14</v>
      </c>
      <c r="I3" s="0" t="s">
        <v>19</v>
      </c>
    </row>
    <row r="4" customFormat="false" ht="15" hidden="false" customHeight="false" outlineLevel="0" collapsed="false">
      <c r="A4" s="0" t="n">
        <v>3</v>
      </c>
      <c r="B4" s="0" t="s">
        <v>20</v>
      </c>
      <c r="C4" s="0" t="s">
        <v>10</v>
      </c>
      <c r="D4" s="0" t="s">
        <v>21</v>
      </c>
      <c r="E4" s="0" t="s">
        <v>22</v>
      </c>
      <c r="F4" s="0" t="n">
        <v>14</v>
      </c>
      <c r="G4" s="0" t="s">
        <v>23</v>
      </c>
      <c r="H4" s="0" t="s">
        <v>14</v>
      </c>
      <c r="I4" s="0" t="s">
        <v>24</v>
      </c>
    </row>
    <row r="5" customFormat="false" ht="15" hidden="false" customHeight="false" outlineLevel="0" collapsed="false">
      <c r="A5" s="0" t="n">
        <v>4</v>
      </c>
      <c r="B5" s="0" t="s">
        <v>25</v>
      </c>
      <c r="C5" s="0" t="s">
        <v>10</v>
      </c>
      <c r="D5" s="0" t="s">
        <v>26</v>
      </c>
      <c r="E5" s="0" t="s">
        <v>27</v>
      </c>
      <c r="F5" s="0" t="n">
        <v>7</v>
      </c>
      <c r="G5" s="0" t="s">
        <v>13</v>
      </c>
      <c r="H5" s="0" t="s">
        <v>14</v>
      </c>
      <c r="I5" s="0" t="s">
        <v>28</v>
      </c>
    </row>
    <row r="6" customFormat="false" ht="15" hidden="false" customHeight="false" outlineLevel="0" collapsed="false">
      <c r="A6" s="0" t="n">
        <v>5</v>
      </c>
      <c r="B6" s="0" t="s">
        <v>29</v>
      </c>
      <c r="C6" s="0" t="s">
        <v>30</v>
      </c>
      <c r="D6" s="0" t="s">
        <v>31</v>
      </c>
      <c r="E6" s="0" t="s">
        <v>32</v>
      </c>
      <c r="F6" s="0" t="n">
        <v>11</v>
      </c>
      <c r="G6" s="0" t="s">
        <v>13</v>
      </c>
      <c r="H6" s="0" t="s">
        <v>14</v>
      </c>
      <c r="I6" s="0" t="s">
        <v>33</v>
      </c>
    </row>
    <row r="7" customFormat="false" ht="15" hidden="false" customHeight="false" outlineLevel="0" collapsed="false">
      <c r="A7" s="0" t="n">
        <v>6</v>
      </c>
      <c r="B7" s="0" t="s">
        <v>34</v>
      </c>
      <c r="C7" s="0" t="s">
        <v>30</v>
      </c>
      <c r="D7" s="0" t="s">
        <v>35</v>
      </c>
      <c r="E7" s="0" t="s">
        <v>36</v>
      </c>
      <c r="F7" s="0" t="n">
        <v>4</v>
      </c>
      <c r="G7" s="0" t="s">
        <v>13</v>
      </c>
      <c r="H7" s="0" t="s">
        <v>14</v>
      </c>
      <c r="I7" s="0" t="s">
        <v>37</v>
      </c>
    </row>
    <row r="8" customFormat="false" ht="15" hidden="false" customHeight="false" outlineLevel="0" collapsed="false">
      <c r="A8" s="0" t="n">
        <v>7</v>
      </c>
      <c r="B8" s="0" t="s">
        <v>38</v>
      </c>
      <c r="C8" s="0" t="s">
        <v>30</v>
      </c>
      <c r="D8" s="0" t="s">
        <v>39</v>
      </c>
      <c r="E8" s="0" t="s">
        <v>40</v>
      </c>
      <c r="F8" s="0" t="n">
        <v>6</v>
      </c>
      <c r="G8" s="0" t="s">
        <v>13</v>
      </c>
      <c r="H8" s="0" t="s">
        <v>14</v>
      </c>
      <c r="I8" s="0" t="s">
        <v>41</v>
      </c>
    </row>
    <row r="9" customFormat="false" ht="15" hidden="false" customHeight="false" outlineLevel="0" collapsed="false">
      <c r="A9" s="0" t="n">
        <v>8</v>
      </c>
      <c r="B9" s="0" t="s">
        <v>42</v>
      </c>
      <c r="C9" s="0" t="s">
        <v>30</v>
      </c>
      <c r="D9" s="0" t="s">
        <v>43</v>
      </c>
      <c r="E9" s="0" t="s">
        <v>44</v>
      </c>
      <c r="F9" s="0" t="n">
        <v>7</v>
      </c>
      <c r="G9" s="0" t="s">
        <v>13</v>
      </c>
      <c r="H9" s="0" t="s">
        <v>14</v>
      </c>
      <c r="I9" s="0" t="s">
        <v>45</v>
      </c>
    </row>
    <row r="10" customFormat="false" ht="15" hidden="false" customHeight="false" outlineLevel="0" collapsed="false">
      <c r="A10" s="0" t="n">
        <v>9</v>
      </c>
      <c r="B10" s="0" t="s">
        <v>46</v>
      </c>
      <c r="C10" s="0" t="s">
        <v>30</v>
      </c>
      <c r="D10" s="0" t="s">
        <v>47</v>
      </c>
      <c r="E10" s="0" t="s">
        <v>48</v>
      </c>
      <c r="F10" s="0" t="n">
        <v>5</v>
      </c>
      <c r="G10" s="0" t="s">
        <v>23</v>
      </c>
      <c r="H10" s="0" t="s">
        <v>14</v>
      </c>
      <c r="I10" s="0" t="s">
        <v>49</v>
      </c>
    </row>
    <row r="11" customFormat="false" ht="15" hidden="false" customHeight="false" outlineLevel="0" collapsed="false">
      <c r="A11" s="0" t="n">
        <v>10</v>
      </c>
      <c r="B11" s="0" t="s">
        <v>50</v>
      </c>
      <c r="C11" s="0" t="s">
        <v>30</v>
      </c>
      <c r="D11" s="0" t="s">
        <v>51</v>
      </c>
      <c r="E11" s="0" t="s">
        <v>52</v>
      </c>
      <c r="F11" s="0" t="n">
        <v>1</v>
      </c>
      <c r="G11" s="0" t="s">
        <v>13</v>
      </c>
      <c r="H11" s="0" t="s">
        <v>14</v>
      </c>
      <c r="I11" s="0" t="s">
        <v>53</v>
      </c>
    </row>
    <row r="12" customFormat="false" ht="15" hidden="false" customHeight="false" outlineLevel="0" collapsed="false">
      <c r="A12" s="0" t="n">
        <v>11</v>
      </c>
      <c r="B12" s="0" t="s">
        <v>54</v>
      </c>
      <c r="C12" s="0" t="s">
        <v>55</v>
      </c>
      <c r="D12" s="0" t="s">
        <v>56</v>
      </c>
      <c r="E12" s="0" t="s">
        <v>57</v>
      </c>
      <c r="F12" s="0" t="n">
        <v>7</v>
      </c>
      <c r="G12" s="0" t="s">
        <v>13</v>
      </c>
      <c r="H12" s="0" t="s">
        <v>14</v>
      </c>
      <c r="I12" s="0" t="s">
        <v>58</v>
      </c>
    </row>
    <row r="13" customFormat="false" ht="15" hidden="false" customHeight="false" outlineLevel="0" collapsed="false">
      <c r="A13" s="0" t="n">
        <v>12</v>
      </c>
      <c r="B13" s="0" t="s">
        <v>59</v>
      </c>
      <c r="C13" s="0" t="s">
        <v>55</v>
      </c>
      <c r="D13" s="0" t="s">
        <v>60</v>
      </c>
      <c r="E13" s="0" t="s">
        <v>61</v>
      </c>
      <c r="F13" s="0" t="n">
        <v>9</v>
      </c>
      <c r="G13" s="0" t="s">
        <v>13</v>
      </c>
      <c r="H13" s="0" t="s">
        <v>14</v>
      </c>
      <c r="I13" s="0" t="s">
        <v>62</v>
      </c>
    </row>
    <row r="14" customFormat="false" ht="15" hidden="false" customHeight="false" outlineLevel="0" collapsed="false">
      <c r="A14" s="0" t="n">
        <v>13</v>
      </c>
      <c r="B14" s="0" t="s">
        <v>63</v>
      </c>
      <c r="C14" s="0" t="s">
        <v>55</v>
      </c>
      <c r="D14" s="0" t="s">
        <v>64</v>
      </c>
      <c r="E14" s="0" t="s">
        <v>65</v>
      </c>
      <c r="F14" s="0" t="n">
        <v>6</v>
      </c>
      <c r="G14" s="0" t="s">
        <v>13</v>
      </c>
      <c r="H14" s="0" t="s">
        <v>14</v>
      </c>
      <c r="I14" s="0" t="s">
        <v>66</v>
      </c>
    </row>
    <row r="15" customFormat="false" ht="15" hidden="false" customHeight="false" outlineLevel="0" collapsed="false">
      <c r="A15" s="0" t="n">
        <v>14</v>
      </c>
      <c r="B15" s="0" t="s">
        <v>67</v>
      </c>
      <c r="C15" s="0" t="s">
        <v>55</v>
      </c>
      <c r="D15" s="0" t="s">
        <v>68</v>
      </c>
      <c r="E15" s="0" t="s">
        <v>69</v>
      </c>
      <c r="F15" s="0" t="n">
        <v>3</v>
      </c>
      <c r="G15" s="0" t="s">
        <v>13</v>
      </c>
      <c r="H15" s="0" t="s">
        <v>14</v>
      </c>
      <c r="I15" s="0" t="s">
        <v>70</v>
      </c>
    </row>
    <row r="16" customFormat="false" ht="15" hidden="false" customHeight="false" outlineLevel="0" collapsed="false">
      <c r="A16" s="0" t="n">
        <v>15</v>
      </c>
      <c r="B16" s="0" t="s">
        <v>71</v>
      </c>
      <c r="C16" s="0" t="s">
        <v>72</v>
      </c>
      <c r="D16" s="0" t="s">
        <v>73</v>
      </c>
      <c r="E16" s="0" t="s">
        <v>74</v>
      </c>
      <c r="F16" s="0" t="n">
        <v>6</v>
      </c>
      <c r="G16" s="0" t="s">
        <v>23</v>
      </c>
      <c r="H16" s="0" t="s">
        <v>14</v>
      </c>
      <c r="I16" s="0" t="s">
        <v>70</v>
      </c>
    </row>
    <row r="17" customFormat="false" ht="15" hidden="false" customHeight="false" outlineLevel="0" collapsed="false">
      <c r="A17" s="0" t="n">
        <v>16</v>
      </c>
      <c r="B17" s="0" t="s">
        <v>75</v>
      </c>
      <c r="C17" s="0" t="s">
        <v>72</v>
      </c>
      <c r="D17" s="0" t="s">
        <v>76</v>
      </c>
      <c r="E17" s="0" t="s">
        <v>77</v>
      </c>
      <c r="F17" s="0" t="n">
        <v>4</v>
      </c>
      <c r="G17" s="0" t="s">
        <v>13</v>
      </c>
      <c r="H17" s="0" t="s">
        <v>14</v>
      </c>
      <c r="I17" s="0" t="s">
        <v>78</v>
      </c>
    </row>
    <row r="18" customFormat="false" ht="15" hidden="false" customHeight="false" outlineLevel="0" collapsed="false">
      <c r="A18" s="0" t="n">
        <v>17</v>
      </c>
      <c r="B18" s="0" t="s">
        <v>79</v>
      </c>
      <c r="C18" s="0" t="s">
        <v>72</v>
      </c>
      <c r="D18" s="0" t="s">
        <v>80</v>
      </c>
      <c r="E18" s="0" t="s">
        <v>81</v>
      </c>
      <c r="F18" s="0" t="n">
        <v>14</v>
      </c>
      <c r="G18" s="0" t="s">
        <v>13</v>
      </c>
      <c r="H18" s="0" t="s">
        <v>14</v>
      </c>
      <c r="I18" s="0" t="s">
        <v>82</v>
      </c>
    </row>
    <row r="19" customFormat="false" ht="15" hidden="false" customHeight="false" outlineLevel="0" collapsed="false">
      <c r="A19" s="0" t="n">
        <v>18</v>
      </c>
      <c r="B19" s="0" t="s">
        <v>83</v>
      </c>
      <c r="C19" s="0" t="s">
        <v>72</v>
      </c>
      <c r="D19" s="0" t="s">
        <v>84</v>
      </c>
      <c r="E19" s="0" t="s">
        <v>85</v>
      </c>
      <c r="F19" s="0" t="n">
        <v>6</v>
      </c>
      <c r="G19" s="0" t="s">
        <v>13</v>
      </c>
      <c r="H19" s="0" t="s">
        <v>14</v>
      </c>
      <c r="I19" s="0" t="s">
        <v>70</v>
      </c>
    </row>
    <row r="20" customFormat="false" ht="15" hidden="false" customHeight="false" outlineLevel="0" collapsed="false">
      <c r="A20" s="0" t="n">
        <v>19</v>
      </c>
      <c r="B20" s="0" t="s">
        <v>86</v>
      </c>
      <c r="C20" s="0" t="s">
        <v>72</v>
      </c>
      <c r="D20" s="0" t="s">
        <v>87</v>
      </c>
      <c r="E20" s="0" t="s">
        <v>88</v>
      </c>
      <c r="F20" s="0" t="n">
        <v>6</v>
      </c>
      <c r="G20" s="0" t="s">
        <v>13</v>
      </c>
      <c r="H20" s="0" t="s">
        <v>14</v>
      </c>
      <c r="I20" s="0" t="s">
        <v>89</v>
      </c>
    </row>
    <row r="21" customFormat="false" ht="15" hidden="false" customHeight="false" outlineLevel="0" collapsed="false">
      <c r="A21" s="0" t="n">
        <v>20</v>
      </c>
      <c r="B21" s="0" t="s">
        <v>90</v>
      </c>
      <c r="C21" s="0" t="s">
        <v>91</v>
      </c>
      <c r="D21" s="0" t="s">
        <v>92</v>
      </c>
      <c r="E21" s="0" t="s">
        <v>93</v>
      </c>
      <c r="F21" s="0" t="n">
        <v>5</v>
      </c>
      <c r="G21" s="0" t="s">
        <v>13</v>
      </c>
      <c r="H21" s="0" t="s">
        <v>14</v>
      </c>
      <c r="I21" s="0" t="s">
        <v>94</v>
      </c>
    </row>
    <row r="22" customFormat="false" ht="15" hidden="false" customHeight="false" outlineLevel="0" collapsed="false">
      <c r="A22" s="0" t="n">
        <v>21</v>
      </c>
      <c r="B22" s="0" t="s">
        <v>95</v>
      </c>
      <c r="C22" s="0" t="s">
        <v>91</v>
      </c>
      <c r="D22" s="0" t="s">
        <v>96</v>
      </c>
      <c r="E22" s="0" t="s">
        <v>97</v>
      </c>
      <c r="F22" s="0" t="n">
        <v>6</v>
      </c>
      <c r="G22" s="0" t="s">
        <v>23</v>
      </c>
      <c r="H22" s="0" t="s">
        <v>14</v>
      </c>
      <c r="I22" s="0" t="s">
        <v>98</v>
      </c>
    </row>
    <row r="23" customFormat="false" ht="15" hidden="false" customHeight="false" outlineLevel="0" collapsed="false">
      <c r="A23" s="0" t="n">
        <v>22</v>
      </c>
      <c r="B23" s="0" t="s">
        <v>99</v>
      </c>
      <c r="C23" s="0" t="s">
        <v>100</v>
      </c>
      <c r="D23" s="0" t="s">
        <v>101</v>
      </c>
      <c r="E23" s="0" t="s">
        <v>102</v>
      </c>
      <c r="F23" s="0" t="n">
        <v>5</v>
      </c>
      <c r="G23" s="0" t="s">
        <v>23</v>
      </c>
      <c r="H23" s="0" t="s">
        <v>14</v>
      </c>
      <c r="I23" s="0" t="s">
        <v>70</v>
      </c>
    </row>
    <row r="24" customFormat="false" ht="15" hidden="false" customHeight="false" outlineLevel="0" collapsed="false">
      <c r="A24" s="0" t="n">
        <v>23</v>
      </c>
      <c r="B24" s="0" t="s">
        <v>103</v>
      </c>
      <c r="C24" s="0" t="s">
        <v>100</v>
      </c>
      <c r="D24" s="0" t="s">
        <v>104</v>
      </c>
      <c r="E24" s="0" t="s">
        <v>105</v>
      </c>
      <c r="F24" s="0" t="n">
        <v>10</v>
      </c>
      <c r="G24" s="0" t="s">
        <v>106</v>
      </c>
      <c r="H24" s="0" t="s">
        <v>14</v>
      </c>
      <c r="I24" s="0" t="s">
        <v>107</v>
      </c>
    </row>
    <row r="25" customFormat="false" ht="15" hidden="false" customHeight="false" outlineLevel="0" collapsed="false">
      <c r="A25" s="0" t="n">
        <v>24</v>
      </c>
      <c r="B25" s="0" t="s">
        <v>108</v>
      </c>
      <c r="C25" s="0" t="s">
        <v>100</v>
      </c>
      <c r="D25" s="0" t="s">
        <v>109</v>
      </c>
      <c r="E25" s="0" t="s">
        <v>110</v>
      </c>
      <c r="F25" s="0" t="n">
        <v>8</v>
      </c>
      <c r="G25" s="0" t="s">
        <v>13</v>
      </c>
      <c r="H25" s="0" t="s">
        <v>14</v>
      </c>
      <c r="I25" s="0" t="s">
        <v>111</v>
      </c>
    </row>
    <row r="26" customFormat="false" ht="15" hidden="false" customHeight="false" outlineLevel="0" collapsed="false">
      <c r="A26" s="0" t="n">
        <v>25</v>
      </c>
      <c r="B26" s="0" t="s">
        <v>112</v>
      </c>
      <c r="C26" s="0" t="s">
        <v>100</v>
      </c>
      <c r="D26" s="0" t="s">
        <v>113</v>
      </c>
      <c r="E26" s="0" t="s">
        <v>114</v>
      </c>
      <c r="F26" s="0" t="n">
        <v>5</v>
      </c>
      <c r="G26" s="0" t="s">
        <v>13</v>
      </c>
      <c r="H26" s="0" t="s">
        <v>14</v>
      </c>
      <c r="I26" s="0" t="s">
        <v>115</v>
      </c>
    </row>
    <row r="27" customFormat="false" ht="15" hidden="false" customHeight="false" outlineLevel="0" collapsed="false">
      <c r="A27" s="0" t="n">
        <v>26</v>
      </c>
      <c r="B27" s="0" t="s">
        <v>116</v>
      </c>
      <c r="C27" s="0" t="s">
        <v>100</v>
      </c>
      <c r="D27" s="0" t="s">
        <v>117</v>
      </c>
      <c r="E27" s="0" t="s">
        <v>118</v>
      </c>
      <c r="F27" s="0" t="n">
        <v>3</v>
      </c>
      <c r="G27" s="0" t="s">
        <v>13</v>
      </c>
      <c r="H27" s="0" t="s">
        <v>14</v>
      </c>
      <c r="I27" s="0" t="s">
        <v>119</v>
      </c>
    </row>
    <row r="28" customFormat="false" ht="15" hidden="false" customHeight="false" outlineLevel="0" collapsed="false">
      <c r="A28" s="0" t="n">
        <v>27</v>
      </c>
      <c r="B28" s="0" t="s">
        <v>120</v>
      </c>
      <c r="C28" s="0" t="s">
        <v>121</v>
      </c>
      <c r="D28" s="0" t="s">
        <v>122</v>
      </c>
      <c r="E28" s="0" t="s">
        <v>123</v>
      </c>
      <c r="F28" s="0" t="n">
        <v>2</v>
      </c>
      <c r="G28" s="0" t="s">
        <v>13</v>
      </c>
      <c r="H28" s="0" t="s">
        <v>14</v>
      </c>
      <c r="I28" s="0" t="s">
        <v>124</v>
      </c>
    </row>
    <row r="29" customFormat="false" ht="15" hidden="false" customHeight="false" outlineLevel="0" collapsed="false">
      <c r="A29" s="0" t="n">
        <v>28</v>
      </c>
      <c r="B29" s="0" t="s">
        <v>125</v>
      </c>
      <c r="C29" s="0" t="s">
        <v>121</v>
      </c>
      <c r="D29" s="0" t="s">
        <v>126</v>
      </c>
      <c r="E29" s="0" t="s">
        <v>127</v>
      </c>
      <c r="F29" s="0" t="n">
        <v>8</v>
      </c>
      <c r="G29" s="0" t="s">
        <v>13</v>
      </c>
      <c r="H29" s="0" t="s">
        <v>14</v>
      </c>
      <c r="I29" s="0" t="s">
        <v>70</v>
      </c>
    </row>
    <row r="30" customFormat="false" ht="15" hidden="false" customHeight="false" outlineLevel="0" collapsed="false">
      <c r="A30" s="0" t="n">
        <v>29</v>
      </c>
      <c r="B30" s="0" t="s">
        <v>128</v>
      </c>
      <c r="C30" s="0" t="s">
        <v>121</v>
      </c>
      <c r="D30" s="0" t="s">
        <v>129</v>
      </c>
      <c r="E30" s="0" t="s">
        <v>130</v>
      </c>
      <c r="F30" s="0" t="n">
        <v>7</v>
      </c>
      <c r="G30" s="0" t="s">
        <v>23</v>
      </c>
      <c r="H30" s="0" t="s">
        <v>14</v>
      </c>
      <c r="I30" s="0" t="s">
        <v>131</v>
      </c>
    </row>
    <row r="31" customFormat="false" ht="15" hidden="false" customHeight="false" outlineLevel="0" collapsed="false">
      <c r="A31" s="0" t="n">
        <v>30</v>
      </c>
      <c r="B31" s="0" t="s">
        <v>132</v>
      </c>
      <c r="C31" s="0" t="s">
        <v>121</v>
      </c>
      <c r="D31" s="0" t="s">
        <v>133</v>
      </c>
      <c r="E31" s="0" t="s">
        <v>134</v>
      </c>
      <c r="F31" s="0" t="n">
        <v>50</v>
      </c>
      <c r="G31" s="0" t="s">
        <v>106</v>
      </c>
      <c r="H31" s="0" t="s">
        <v>14</v>
      </c>
      <c r="I31" s="0" t="s">
        <v>135</v>
      </c>
    </row>
    <row r="32" customFormat="false" ht="15" hidden="false" customHeight="false" outlineLevel="0" collapsed="false">
      <c r="A32" s="0" t="n">
        <v>31</v>
      </c>
      <c r="B32" s="0" t="s">
        <v>136</v>
      </c>
      <c r="C32" s="0" t="s">
        <v>137</v>
      </c>
      <c r="D32" s="0" t="s">
        <v>138</v>
      </c>
      <c r="E32" s="0" t="s">
        <v>139</v>
      </c>
      <c r="F32" s="0" t="n">
        <v>4</v>
      </c>
      <c r="G32" s="0" t="s">
        <v>13</v>
      </c>
      <c r="H32" s="0" t="s">
        <v>14</v>
      </c>
      <c r="I32" s="0" t="s">
        <v>70</v>
      </c>
    </row>
    <row r="33" customFormat="false" ht="15" hidden="false" customHeight="false" outlineLevel="0" collapsed="false">
      <c r="A33" s="0" t="n">
        <v>32</v>
      </c>
      <c r="B33" s="0" t="s">
        <v>140</v>
      </c>
      <c r="C33" s="0" t="s">
        <v>137</v>
      </c>
      <c r="D33" s="0" t="s">
        <v>141</v>
      </c>
      <c r="E33" s="0" t="s">
        <v>142</v>
      </c>
      <c r="F33" s="0" t="n">
        <v>6</v>
      </c>
      <c r="G33" s="0" t="s">
        <v>106</v>
      </c>
      <c r="H33" s="0" t="s">
        <v>14</v>
      </c>
      <c r="I33" s="0" t="s">
        <v>143</v>
      </c>
    </row>
    <row r="34" customFormat="false" ht="15" hidden="false" customHeight="false" outlineLevel="0" collapsed="false">
      <c r="A34" s="0" t="n">
        <v>33</v>
      </c>
      <c r="B34" s="0" t="s">
        <v>144</v>
      </c>
      <c r="C34" s="0" t="s">
        <v>121</v>
      </c>
      <c r="D34" s="0" t="s">
        <v>145</v>
      </c>
      <c r="E34" s="0" t="s">
        <v>52</v>
      </c>
      <c r="F34" s="0" t="n">
        <v>5</v>
      </c>
      <c r="G34" s="0" t="s">
        <v>13</v>
      </c>
      <c r="H34" s="0" t="s">
        <v>14</v>
      </c>
      <c r="I34" s="0" t="s">
        <v>146</v>
      </c>
    </row>
    <row r="35" customFormat="false" ht="15" hidden="false" customHeight="false" outlineLevel="0" collapsed="false">
      <c r="A35" s="0" t="n">
        <v>34</v>
      </c>
      <c r="B35" s="0" t="s">
        <v>147</v>
      </c>
      <c r="C35" s="0" t="s">
        <v>148</v>
      </c>
      <c r="D35" s="0" t="s">
        <v>149</v>
      </c>
      <c r="E35" s="0" t="s">
        <v>150</v>
      </c>
      <c r="F35" s="0" t="n">
        <v>4</v>
      </c>
      <c r="G35" s="0" t="s">
        <v>13</v>
      </c>
      <c r="H35" s="0" t="s">
        <v>14</v>
      </c>
      <c r="I35" s="0" t="s">
        <v>151</v>
      </c>
    </row>
    <row r="36" customFormat="false" ht="15" hidden="false" customHeight="false" outlineLevel="0" collapsed="false">
      <c r="A36" s="0" t="n">
        <v>35</v>
      </c>
      <c r="B36" s="0" t="s">
        <v>152</v>
      </c>
      <c r="C36" s="0" t="s">
        <v>148</v>
      </c>
      <c r="D36" s="0" t="s">
        <v>153</v>
      </c>
      <c r="E36" s="0" t="s">
        <v>154</v>
      </c>
      <c r="F36" s="0" t="n">
        <v>6</v>
      </c>
      <c r="G36" s="0" t="s">
        <v>106</v>
      </c>
      <c r="H36" s="0" t="s">
        <v>14</v>
      </c>
      <c r="I36" s="0" t="s">
        <v>70</v>
      </c>
    </row>
    <row r="37" customFormat="false" ht="15" hidden="false" customHeight="false" outlineLevel="0" collapsed="false">
      <c r="A37" s="0" t="n">
        <v>36</v>
      </c>
      <c r="B37" s="0" t="s">
        <v>155</v>
      </c>
      <c r="C37" s="0" t="s">
        <v>148</v>
      </c>
      <c r="D37" s="0" t="s">
        <v>156</v>
      </c>
      <c r="E37" s="0" t="s">
        <v>157</v>
      </c>
      <c r="F37" s="0" t="n">
        <v>7</v>
      </c>
      <c r="G37" s="0" t="s">
        <v>13</v>
      </c>
      <c r="H37" s="0" t="s">
        <v>14</v>
      </c>
      <c r="I37" s="0" t="s">
        <v>70</v>
      </c>
    </row>
    <row r="38" customFormat="false" ht="15" hidden="false" customHeight="false" outlineLevel="0" collapsed="false">
      <c r="A38" s="0" t="n">
        <v>37</v>
      </c>
      <c r="B38" s="0" t="s">
        <v>158</v>
      </c>
      <c r="C38" s="0" t="s">
        <v>148</v>
      </c>
      <c r="D38" s="0" t="s">
        <v>159</v>
      </c>
      <c r="E38" s="0" t="s">
        <v>160</v>
      </c>
      <c r="F38" s="0" t="n">
        <v>7</v>
      </c>
      <c r="G38" s="0" t="s">
        <v>23</v>
      </c>
      <c r="H38" s="0" t="s">
        <v>14</v>
      </c>
      <c r="I38" s="0" t="s">
        <v>161</v>
      </c>
    </row>
    <row r="39" customFormat="false" ht="15" hidden="false" customHeight="false" outlineLevel="0" collapsed="false">
      <c r="A39" s="0" t="n">
        <v>38</v>
      </c>
      <c r="B39" s="0" t="s">
        <v>162</v>
      </c>
      <c r="C39" s="0" t="s">
        <v>148</v>
      </c>
      <c r="D39" s="0" t="s">
        <v>163</v>
      </c>
      <c r="E39" s="0" t="s">
        <v>164</v>
      </c>
      <c r="F39" s="0" t="n">
        <v>6</v>
      </c>
      <c r="G39" s="0" t="s">
        <v>13</v>
      </c>
      <c r="H39" s="0" t="s">
        <v>14</v>
      </c>
      <c r="I39" s="0" t="s">
        <v>165</v>
      </c>
    </row>
    <row r="40" customFormat="false" ht="15" hidden="false" customHeight="false" outlineLevel="0" collapsed="false">
      <c r="A40" s="0" t="n">
        <v>39</v>
      </c>
      <c r="B40" s="0" t="s">
        <v>166</v>
      </c>
      <c r="C40" s="0" t="s">
        <v>167</v>
      </c>
      <c r="D40" s="0" t="s">
        <v>168</v>
      </c>
      <c r="E40" s="0" t="s">
        <v>169</v>
      </c>
      <c r="F40" s="0" t="n">
        <v>6</v>
      </c>
      <c r="G40" s="0" t="s">
        <v>13</v>
      </c>
      <c r="H40" s="0" t="s">
        <v>14</v>
      </c>
      <c r="I40" s="0" t="s">
        <v>170</v>
      </c>
    </row>
    <row r="41" customFormat="false" ht="15" hidden="false" customHeight="false" outlineLevel="0" collapsed="false">
      <c r="A41" s="0" t="n">
        <v>40</v>
      </c>
      <c r="B41" s="0" t="s">
        <v>171</v>
      </c>
      <c r="C41" s="0" t="s">
        <v>167</v>
      </c>
      <c r="D41" s="0" t="s">
        <v>172</v>
      </c>
      <c r="E41" s="0" t="s">
        <v>173</v>
      </c>
      <c r="F41" s="0" t="n">
        <v>6</v>
      </c>
      <c r="G41" s="0" t="s">
        <v>23</v>
      </c>
      <c r="H41" s="0" t="s">
        <v>14</v>
      </c>
      <c r="I41" s="0" t="s">
        <v>174</v>
      </c>
    </row>
    <row r="42" customFormat="false" ht="15" hidden="false" customHeight="false" outlineLevel="0" collapsed="false">
      <c r="A42" s="0" t="n">
        <v>41</v>
      </c>
      <c r="B42" s="0" t="s">
        <v>175</v>
      </c>
      <c r="C42" s="0" t="s">
        <v>176</v>
      </c>
      <c r="D42" s="0" t="s">
        <v>177</v>
      </c>
      <c r="E42" s="0" t="s">
        <v>178</v>
      </c>
      <c r="F42" s="0" t="n">
        <v>7</v>
      </c>
      <c r="G42" s="0" t="s">
        <v>106</v>
      </c>
      <c r="H42" s="0" t="s">
        <v>14</v>
      </c>
      <c r="I42" s="0" t="s">
        <v>179</v>
      </c>
    </row>
    <row r="43" customFormat="false" ht="15" hidden="false" customHeight="false" outlineLevel="0" collapsed="false">
      <c r="A43" s="0" t="n">
        <v>42</v>
      </c>
      <c r="B43" s="0" t="s">
        <v>180</v>
      </c>
      <c r="C43" s="0" t="s">
        <v>176</v>
      </c>
      <c r="D43" s="0" t="s">
        <v>181</v>
      </c>
      <c r="E43" s="0" t="s">
        <v>182</v>
      </c>
      <c r="F43" s="0" t="n">
        <v>9</v>
      </c>
      <c r="G43" s="0" t="s">
        <v>13</v>
      </c>
      <c r="H43" s="0" t="s">
        <v>14</v>
      </c>
      <c r="I43" s="0" t="s">
        <v>183</v>
      </c>
    </row>
    <row r="44" customFormat="false" ht="15" hidden="false" customHeight="false" outlineLevel="0" collapsed="false">
      <c r="A44" s="0" t="n">
        <v>43</v>
      </c>
      <c r="B44" s="0" t="s">
        <v>184</v>
      </c>
      <c r="C44" s="0" t="s">
        <v>176</v>
      </c>
      <c r="D44" s="0" t="s">
        <v>185</v>
      </c>
      <c r="E44" s="0" t="s">
        <v>186</v>
      </c>
      <c r="F44" s="0" t="n">
        <v>14</v>
      </c>
      <c r="G44" s="0" t="s">
        <v>13</v>
      </c>
      <c r="H44" s="0" t="s">
        <v>14</v>
      </c>
      <c r="I44" s="0" t="s">
        <v>187</v>
      </c>
    </row>
    <row r="45" customFormat="false" ht="15" hidden="false" customHeight="false" outlineLevel="0" collapsed="false">
      <c r="A45" s="0" t="n">
        <v>44</v>
      </c>
      <c r="B45" s="0" t="s">
        <v>188</v>
      </c>
      <c r="C45" s="0" t="s">
        <v>189</v>
      </c>
      <c r="D45" s="0" t="s">
        <v>190</v>
      </c>
      <c r="E45" s="0" t="s">
        <v>191</v>
      </c>
      <c r="F45" s="0" t="n">
        <v>5</v>
      </c>
      <c r="G45" s="0" t="s">
        <v>106</v>
      </c>
      <c r="H45" s="0" t="s">
        <v>14</v>
      </c>
      <c r="I45" s="0" t="s">
        <v>192</v>
      </c>
    </row>
    <row r="46" customFormat="false" ht="15" hidden="false" customHeight="false" outlineLevel="0" collapsed="false">
      <c r="A46" s="0" t="n">
        <v>45</v>
      </c>
      <c r="B46" s="0" t="s">
        <v>193</v>
      </c>
      <c r="C46" s="0" t="s">
        <v>189</v>
      </c>
      <c r="D46" s="0" t="s">
        <v>194</v>
      </c>
      <c r="E46" s="0" t="s">
        <v>195</v>
      </c>
      <c r="F46" s="0" t="n">
        <v>10</v>
      </c>
      <c r="G46" s="0" t="s">
        <v>13</v>
      </c>
      <c r="H46" s="0" t="s">
        <v>14</v>
      </c>
      <c r="I46" s="0" t="s">
        <v>196</v>
      </c>
    </row>
    <row r="47" customFormat="false" ht="15" hidden="false" customHeight="false" outlineLevel="0" collapsed="false">
      <c r="A47" s="0" t="n">
        <v>46</v>
      </c>
      <c r="B47" s="0" t="s">
        <v>197</v>
      </c>
      <c r="C47" s="0" t="s">
        <v>189</v>
      </c>
      <c r="D47" s="0" t="s">
        <v>198</v>
      </c>
      <c r="E47" s="0" t="s">
        <v>199</v>
      </c>
      <c r="F47" s="0" t="n">
        <v>7</v>
      </c>
      <c r="G47" s="0" t="s">
        <v>13</v>
      </c>
      <c r="H47" s="0" t="s">
        <v>14</v>
      </c>
      <c r="I47" s="0" t="s">
        <v>200</v>
      </c>
    </row>
    <row r="48" customFormat="false" ht="15" hidden="false" customHeight="false" outlineLevel="0" collapsed="false">
      <c r="A48" s="0" t="n">
        <v>47</v>
      </c>
      <c r="B48" s="0" t="s">
        <v>201</v>
      </c>
      <c r="C48" s="0" t="s">
        <v>189</v>
      </c>
      <c r="D48" s="0" t="s">
        <v>202</v>
      </c>
      <c r="E48" s="0" t="s">
        <v>203</v>
      </c>
      <c r="F48" s="0" t="n">
        <v>7</v>
      </c>
      <c r="G48" s="0" t="s">
        <v>23</v>
      </c>
      <c r="H48" s="0" t="s">
        <v>14</v>
      </c>
      <c r="I48" s="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7" min="6" style="0" width="40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205</v>
      </c>
      <c r="G1" s="1" t="s">
        <v>206</v>
      </c>
      <c r="H1" s="1" t="s">
        <v>207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208</v>
      </c>
      <c r="G2" s="0" t="s">
        <v>209</v>
      </c>
      <c r="I2" s="0" t="s">
        <v>15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210</v>
      </c>
      <c r="G3" s="0" t="s">
        <v>211</v>
      </c>
      <c r="I3" s="0" t="s">
        <v>15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212</v>
      </c>
      <c r="G4" s="0" t="s">
        <v>211</v>
      </c>
      <c r="I4" s="0" t="s">
        <v>15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213</v>
      </c>
      <c r="G5" s="0" t="s">
        <v>211</v>
      </c>
      <c r="I5" s="0" t="s">
        <v>15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214</v>
      </c>
      <c r="G6" s="0" t="s">
        <v>211</v>
      </c>
      <c r="I6" s="0" t="s">
        <v>15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s">
        <v>10</v>
      </c>
      <c r="D7" s="0" t="s">
        <v>17</v>
      </c>
      <c r="E7" s="0" t="s">
        <v>18</v>
      </c>
      <c r="F7" s="0" t="s">
        <v>215</v>
      </c>
      <c r="G7" s="0" t="s">
        <v>216</v>
      </c>
      <c r="I7" s="0" t="s">
        <v>19</v>
      </c>
    </row>
    <row r="8" customFormat="false" ht="15" hidden="false" customHeight="false" outlineLevel="0" collapsed="false">
      <c r="A8" s="0" t="n">
        <v>7</v>
      </c>
      <c r="B8" s="0" t="s">
        <v>16</v>
      </c>
      <c r="C8" s="0" t="s">
        <v>10</v>
      </c>
      <c r="D8" s="0" t="s">
        <v>17</v>
      </c>
      <c r="E8" s="0" t="s">
        <v>18</v>
      </c>
      <c r="F8" s="0" t="s">
        <v>217</v>
      </c>
      <c r="G8" s="0" t="s">
        <v>216</v>
      </c>
      <c r="I8" s="0" t="s">
        <v>19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s">
        <v>10</v>
      </c>
      <c r="D9" s="0" t="s">
        <v>17</v>
      </c>
      <c r="E9" s="0" t="s">
        <v>18</v>
      </c>
      <c r="F9" s="0" t="s">
        <v>218</v>
      </c>
      <c r="G9" s="0" t="s">
        <v>216</v>
      </c>
      <c r="I9" s="0" t="s">
        <v>19</v>
      </c>
    </row>
    <row r="10" customFormat="false" ht="15" hidden="false" customHeight="false" outlineLevel="0" collapsed="false">
      <c r="A10" s="0" t="n">
        <v>9</v>
      </c>
      <c r="B10" s="0" t="s">
        <v>16</v>
      </c>
      <c r="C10" s="0" t="s">
        <v>10</v>
      </c>
      <c r="D10" s="0" t="s">
        <v>17</v>
      </c>
      <c r="E10" s="0" t="s">
        <v>18</v>
      </c>
      <c r="F10" s="0" t="s">
        <v>219</v>
      </c>
      <c r="G10" s="0" t="s">
        <v>216</v>
      </c>
      <c r="I10" s="0" t="s">
        <v>19</v>
      </c>
    </row>
    <row r="11" customFormat="false" ht="15" hidden="false" customHeight="false" outlineLevel="0" collapsed="false">
      <c r="A11" s="0" t="n">
        <v>10</v>
      </c>
      <c r="B11" s="0" t="s">
        <v>16</v>
      </c>
      <c r="C11" s="0" t="s">
        <v>10</v>
      </c>
      <c r="D11" s="0" t="s">
        <v>17</v>
      </c>
      <c r="E11" s="0" t="s">
        <v>18</v>
      </c>
      <c r="F11" s="0" t="s">
        <v>220</v>
      </c>
      <c r="G11" s="0" t="s">
        <v>216</v>
      </c>
      <c r="I11" s="0" t="s">
        <v>19</v>
      </c>
    </row>
    <row r="12" customFormat="false" ht="15" hidden="false" customHeight="false" outlineLevel="0" collapsed="false">
      <c r="A12" s="0" t="n">
        <v>11</v>
      </c>
      <c r="B12" s="0" t="s">
        <v>16</v>
      </c>
      <c r="C12" s="0" t="s">
        <v>10</v>
      </c>
      <c r="D12" s="0" t="s">
        <v>17</v>
      </c>
      <c r="E12" s="0" t="s">
        <v>18</v>
      </c>
      <c r="F12" s="0" t="s">
        <v>221</v>
      </c>
      <c r="G12" s="0" t="s">
        <v>216</v>
      </c>
      <c r="I12" s="0" t="s">
        <v>19</v>
      </c>
    </row>
    <row r="13" customFormat="false" ht="15" hidden="false" customHeight="false" outlineLevel="0" collapsed="false">
      <c r="A13" s="0" t="n">
        <v>12</v>
      </c>
      <c r="B13" s="0" t="s">
        <v>16</v>
      </c>
      <c r="C13" s="0" t="s">
        <v>10</v>
      </c>
      <c r="D13" s="0" t="s">
        <v>17</v>
      </c>
      <c r="E13" s="0" t="s">
        <v>18</v>
      </c>
      <c r="F13" s="0" t="s">
        <v>222</v>
      </c>
      <c r="G13" s="0" t="s">
        <v>216</v>
      </c>
      <c r="I13" s="0" t="s">
        <v>19</v>
      </c>
    </row>
    <row r="14" customFormat="false" ht="15" hidden="false" customHeight="false" outlineLevel="0" collapsed="false">
      <c r="A14" s="0" t="n">
        <v>13</v>
      </c>
      <c r="B14" s="0" t="s">
        <v>16</v>
      </c>
      <c r="C14" s="0" t="s">
        <v>10</v>
      </c>
      <c r="D14" s="0" t="s">
        <v>17</v>
      </c>
      <c r="E14" s="0" t="s">
        <v>18</v>
      </c>
      <c r="F14" s="0" t="s">
        <v>223</v>
      </c>
      <c r="G14" s="0" t="s">
        <v>216</v>
      </c>
      <c r="I14" s="0" t="s">
        <v>19</v>
      </c>
    </row>
    <row r="15" customFormat="false" ht="15" hidden="false" customHeight="false" outlineLevel="0" collapsed="false">
      <c r="A15" s="0" t="n">
        <v>14</v>
      </c>
      <c r="B15" s="0" t="s">
        <v>16</v>
      </c>
      <c r="C15" s="0" t="s">
        <v>10</v>
      </c>
      <c r="D15" s="0" t="s">
        <v>17</v>
      </c>
      <c r="E15" s="0" t="s">
        <v>18</v>
      </c>
      <c r="F15" s="0" t="s">
        <v>224</v>
      </c>
      <c r="G15" s="0" t="s">
        <v>216</v>
      </c>
      <c r="I15" s="0" t="s">
        <v>19</v>
      </c>
    </row>
    <row r="16" customFormat="false" ht="15" hidden="false" customHeight="false" outlineLevel="0" collapsed="false">
      <c r="A16" s="0" t="n">
        <v>15</v>
      </c>
      <c r="B16" s="0" t="s">
        <v>16</v>
      </c>
      <c r="C16" s="0" t="s">
        <v>10</v>
      </c>
      <c r="D16" s="0" t="s">
        <v>17</v>
      </c>
      <c r="E16" s="0" t="s">
        <v>18</v>
      </c>
      <c r="F16" s="0" t="s">
        <v>225</v>
      </c>
      <c r="G16" s="0" t="s">
        <v>216</v>
      </c>
      <c r="I16" s="0" t="s">
        <v>19</v>
      </c>
    </row>
    <row r="17" customFormat="false" ht="15" hidden="false" customHeight="false" outlineLevel="0" collapsed="false">
      <c r="A17" s="0" t="n">
        <v>16</v>
      </c>
      <c r="B17" s="0" t="s">
        <v>16</v>
      </c>
      <c r="C17" s="0" t="s">
        <v>10</v>
      </c>
      <c r="D17" s="0" t="s">
        <v>17</v>
      </c>
      <c r="E17" s="0" t="s">
        <v>18</v>
      </c>
      <c r="F17" s="0" t="s">
        <v>226</v>
      </c>
      <c r="G17" s="0" t="s">
        <v>216</v>
      </c>
      <c r="I17" s="0" t="s">
        <v>19</v>
      </c>
    </row>
    <row r="18" customFormat="false" ht="15" hidden="false" customHeight="false" outlineLevel="0" collapsed="false">
      <c r="A18" s="0" t="n">
        <v>17</v>
      </c>
      <c r="B18" s="0" t="s">
        <v>20</v>
      </c>
      <c r="C18" s="0" t="s">
        <v>10</v>
      </c>
      <c r="D18" s="0" t="s">
        <v>21</v>
      </c>
      <c r="E18" s="0" t="s">
        <v>22</v>
      </c>
      <c r="F18" s="0" t="s">
        <v>227</v>
      </c>
      <c r="G18" s="0" t="s">
        <v>216</v>
      </c>
      <c r="I18" s="0" t="s">
        <v>24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s">
        <v>10</v>
      </c>
      <c r="D19" s="0" t="s">
        <v>21</v>
      </c>
      <c r="E19" s="0" t="s">
        <v>22</v>
      </c>
      <c r="F19" s="0" t="s">
        <v>228</v>
      </c>
      <c r="G19" s="0" t="s">
        <v>216</v>
      </c>
      <c r="I19" s="0" t="s">
        <v>24</v>
      </c>
    </row>
    <row r="20" customFormat="false" ht="15" hidden="false" customHeight="false" outlineLevel="0" collapsed="false">
      <c r="A20" s="0" t="n">
        <v>19</v>
      </c>
      <c r="B20" s="0" t="s">
        <v>20</v>
      </c>
      <c r="C20" s="0" t="s">
        <v>10</v>
      </c>
      <c r="D20" s="0" t="s">
        <v>21</v>
      </c>
      <c r="E20" s="0" t="s">
        <v>22</v>
      </c>
      <c r="F20" s="0" t="s">
        <v>229</v>
      </c>
      <c r="G20" s="0" t="s">
        <v>216</v>
      </c>
      <c r="I20" s="0" t="s">
        <v>24</v>
      </c>
    </row>
    <row r="21" customFormat="false" ht="15" hidden="false" customHeight="false" outlineLevel="0" collapsed="false">
      <c r="A21" s="0" t="n">
        <v>20</v>
      </c>
      <c r="B21" s="0" t="s">
        <v>20</v>
      </c>
      <c r="C21" s="0" t="s">
        <v>10</v>
      </c>
      <c r="D21" s="0" t="s">
        <v>21</v>
      </c>
      <c r="E21" s="0" t="s">
        <v>22</v>
      </c>
      <c r="F21" s="0" t="s">
        <v>230</v>
      </c>
      <c r="G21" s="0" t="s">
        <v>216</v>
      </c>
      <c r="I21" s="0" t="s">
        <v>24</v>
      </c>
    </row>
    <row r="22" customFormat="false" ht="15" hidden="false" customHeight="false" outlineLevel="0" collapsed="false">
      <c r="A22" s="0" t="n">
        <v>21</v>
      </c>
      <c r="B22" s="0" t="s">
        <v>20</v>
      </c>
      <c r="C22" s="0" t="s">
        <v>10</v>
      </c>
      <c r="D22" s="0" t="s">
        <v>21</v>
      </c>
      <c r="E22" s="0" t="s">
        <v>22</v>
      </c>
      <c r="F22" s="0" t="s">
        <v>231</v>
      </c>
      <c r="G22" s="0" t="s">
        <v>216</v>
      </c>
      <c r="I22" s="0" t="s">
        <v>24</v>
      </c>
    </row>
    <row r="23" customFormat="false" ht="15" hidden="false" customHeight="false" outlineLevel="0" collapsed="false">
      <c r="A23" s="0" t="n">
        <v>22</v>
      </c>
      <c r="B23" s="0" t="s">
        <v>20</v>
      </c>
      <c r="C23" s="0" t="s">
        <v>10</v>
      </c>
      <c r="D23" s="0" t="s">
        <v>21</v>
      </c>
      <c r="E23" s="0" t="s">
        <v>22</v>
      </c>
      <c r="F23" s="0" t="s">
        <v>232</v>
      </c>
      <c r="G23" s="0" t="s">
        <v>216</v>
      </c>
      <c r="I23" s="0" t="s">
        <v>24</v>
      </c>
    </row>
    <row r="24" customFormat="false" ht="15" hidden="false" customHeight="false" outlineLevel="0" collapsed="false">
      <c r="A24" s="0" t="n">
        <v>23</v>
      </c>
      <c r="B24" s="0" t="s">
        <v>20</v>
      </c>
      <c r="C24" s="0" t="s">
        <v>10</v>
      </c>
      <c r="D24" s="0" t="s">
        <v>21</v>
      </c>
      <c r="E24" s="0" t="s">
        <v>22</v>
      </c>
      <c r="F24" s="0" t="s">
        <v>233</v>
      </c>
      <c r="G24" s="0" t="s">
        <v>216</v>
      </c>
      <c r="I24" s="0" t="s">
        <v>24</v>
      </c>
    </row>
    <row r="25" customFormat="false" ht="15" hidden="false" customHeight="false" outlineLevel="0" collapsed="false">
      <c r="A25" s="0" t="n">
        <v>24</v>
      </c>
      <c r="B25" s="0" t="s">
        <v>20</v>
      </c>
      <c r="C25" s="0" t="s">
        <v>10</v>
      </c>
      <c r="D25" s="0" t="s">
        <v>21</v>
      </c>
      <c r="E25" s="0" t="s">
        <v>22</v>
      </c>
      <c r="F25" s="0" t="s">
        <v>222</v>
      </c>
      <c r="G25" s="0" t="s">
        <v>216</v>
      </c>
      <c r="I25" s="0" t="s">
        <v>24</v>
      </c>
    </row>
    <row r="26" customFormat="false" ht="15" hidden="false" customHeight="false" outlineLevel="0" collapsed="false">
      <c r="A26" s="0" t="n">
        <v>25</v>
      </c>
      <c r="B26" s="0" t="s">
        <v>20</v>
      </c>
      <c r="C26" s="0" t="s">
        <v>10</v>
      </c>
      <c r="D26" s="0" t="s">
        <v>21</v>
      </c>
      <c r="E26" s="0" t="s">
        <v>22</v>
      </c>
      <c r="F26" s="0" t="s">
        <v>234</v>
      </c>
      <c r="G26" s="0" t="s">
        <v>216</v>
      </c>
      <c r="I26" s="0" t="s">
        <v>24</v>
      </c>
    </row>
    <row r="27" customFormat="false" ht="15" hidden="false" customHeight="false" outlineLevel="0" collapsed="false">
      <c r="A27" s="0" t="n">
        <v>26</v>
      </c>
      <c r="B27" s="0" t="s">
        <v>20</v>
      </c>
      <c r="C27" s="0" t="s">
        <v>10</v>
      </c>
      <c r="D27" s="0" t="s">
        <v>21</v>
      </c>
      <c r="E27" s="0" t="s">
        <v>22</v>
      </c>
      <c r="F27" s="0" t="s">
        <v>235</v>
      </c>
      <c r="G27" s="0" t="s">
        <v>216</v>
      </c>
      <c r="I27" s="0" t="s">
        <v>24</v>
      </c>
    </row>
    <row r="28" customFormat="false" ht="15" hidden="false" customHeight="false" outlineLevel="0" collapsed="false">
      <c r="A28" s="0" t="n">
        <v>27</v>
      </c>
      <c r="B28" s="0" t="s">
        <v>20</v>
      </c>
      <c r="C28" s="0" t="s">
        <v>10</v>
      </c>
      <c r="D28" s="0" t="s">
        <v>21</v>
      </c>
      <c r="E28" s="0" t="s">
        <v>22</v>
      </c>
      <c r="F28" s="0" t="s">
        <v>225</v>
      </c>
      <c r="G28" s="0" t="s">
        <v>216</v>
      </c>
      <c r="I28" s="0" t="s">
        <v>24</v>
      </c>
    </row>
    <row r="29" customFormat="false" ht="15" hidden="false" customHeight="false" outlineLevel="0" collapsed="false">
      <c r="A29" s="0" t="n">
        <v>28</v>
      </c>
      <c r="B29" s="0" t="s">
        <v>20</v>
      </c>
      <c r="C29" s="0" t="s">
        <v>10</v>
      </c>
      <c r="D29" s="0" t="s">
        <v>21</v>
      </c>
      <c r="E29" s="0" t="s">
        <v>22</v>
      </c>
      <c r="F29" s="0" t="s">
        <v>236</v>
      </c>
      <c r="G29" s="0" t="s">
        <v>216</v>
      </c>
      <c r="I29" s="0" t="s">
        <v>24</v>
      </c>
    </row>
    <row r="30" customFormat="false" ht="15" hidden="false" customHeight="false" outlineLevel="0" collapsed="false">
      <c r="A30" s="0" t="n">
        <v>29</v>
      </c>
      <c r="B30" s="0" t="s">
        <v>20</v>
      </c>
      <c r="C30" s="0" t="s">
        <v>10</v>
      </c>
      <c r="D30" s="0" t="s">
        <v>21</v>
      </c>
      <c r="E30" s="0" t="s">
        <v>22</v>
      </c>
      <c r="F30" s="0" t="s">
        <v>237</v>
      </c>
      <c r="G30" s="0" t="s">
        <v>216</v>
      </c>
      <c r="I30" s="0" t="s">
        <v>24</v>
      </c>
    </row>
    <row r="31" customFormat="false" ht="15" hidden="false" customHeight="false" outlineLevel="0" collapsed="false">
      <c r="A31" s="0" t="n">
        <v>30</v>
      </c>
      <c r="B31" s="0" t="s">
        <v>20</v>
      </c>
      <c r="C31" s="0" t="s">
        <v>10</v>
      </c>
      <c r="D31" s="0" t="s">
        <v>21</v>
      </c>
      <c r="E31" s="0" t="s">
        <v>22</v>
      </c>
      <c r="F31" s="0" t="s">
        <v>238</v>
      </c>
      <c r="G31" s="0" t="s">
        <v>239</v>
      </c>
      <c r="I31" s="0" t="s">
        <v>24</v>
      </c>
    </row>
    <row r="32" customFormat="false" ht="15" hidden="false" customHeight="false" outlineLevel="0" collapsed="false">
      <c r="A32" s="0" t="n">
        <v>31</v>
      </c>
      <c r="B32" s="0" t="s">
        <v>25</v>
      </c>
      <c r="C32" s="0" t="s">
        <v>10</v>
      </c>
      <c r="D32" s="0" t="s">
        <v>26</v>
      </c>
      <c r="E32" s="0" t="s">
        <v>27</v>
      </c>
      <c r="F32" s="0" t="s">
        <v>240</v>
      </c>
      <c r="G32" s="0" t="s">
        <v>216</v>
      </c>
      <c r="H32" s="0" t="s">
        <v>241</v>
      </c>
      <c r="I32" s="0" t="s">
        <v>28</v>
      </c>
    </row>
    <row r="33" customFormat="false" ht="15" hidden="false" customHeight="false" outlineLevel="0" collapsed="false">
      <c r="A33" s="0" t="n">
        <v>32</v>
      </c>
      <c r="B33" s="0" t="s">
        <v>25</v>
      </c>
      <c r="C33" s="0" t="s">
        <v>10</v>
      </c>
      <c r="D33" s="0" t="s">
        <v>26</v>
      </c>
      <c r="E33" s="0" t="s">
        <v>27</v>
      </c>
      <c r="F33" s="0" t="s">
        <v>242</v>
      </c>
      <c r="G33" s="0" t="s">
        <v>216</v>
      </c>
      <c r="H33" s="0" t="s">
        <v>241</v>
      </c>
      <c r="I33" s="0" t="s">
        <v>28</v>
      </c>
    </row>
    <row r="34" customFormat="false" ht="15" hidden="false" customHeight="false" outlineLevel="0" collapsed="false">
      <c r="A34" s="0" t="n">
        <v>33</v>
      </c>
      <c r="B34" s="0" t="s">
        <v>25</v>
      </c>
      <c r="C34" s="0" t="s">
        <v>10</v>
      </c>
      <c r="D34" s="0" t="s">
        <v>26</v>
      </c>
      <c r="E34" s="0" t="s">
        <v>27</v>
      </c>
      <c r="F34" s="0" t="s">
        <v>234</v>
      </c>
      <c r="G34" s="0" t="s">
        <v>216</v>
      </c>
      <c r="I34" s="0" t="s">
        <v>28</v>
      </c>
    </row>
    <row r="35" customFormat="false" ht="15" hidden="false" customHeight="false" outlineLevel="0" collapsed="false">
      <c r="A35" s="0" t="n">
        <v>34</v>
      </c>
      <c r="B35" s="0" t="s">
        <v>25</v>
      </c>
      <c r="C35" s="0" t="s">
        <v>10</v>
      </c>
      <c r="D35" s="0" t="s">
        <v>26</v>
      </c>
      <c r="E35" s="0" t="s">
        <v>27</v>
      </c>
      <c r="F35" s="0" t="s">
        <v>243</v>
      </c>
      <c r="G35" s="0" t="s">
        <v>216</v>
      </c>
      <c r="I35" s="0" t="s">
        <v>28</v>
      </c>
    </row>
    <row r="36" customFormat="false" ht="15" hidden="false" customHeight="false" outlineLevel="0" collapsed="false">
      <c r="A36" s="0" t="n">
        <v>35</v>
      </c>
      <c r="B36" s="0" t="s">
        <v>25</v>
      </c>
      <c r="C36" s="0" t="s">
        <v>10</v>
      </c>
      <c r="D36" s="0" t="s">
        <v>26</v>
      </c>
      <c r="E36" s="0" t="s">
        <v>27</v>
      </c>
      <c r="F36" s="0" t="s">
        <v>244</v>
      </c>
      <c r="G36" s="0" t="s">
        <v>216</v>
      </c>
      <c r="I36" s="0" t="s">
        <v>28</v>
      </c>
    </row>
    <row r="37" customFormat="false" ht="15" hidden="false" customHeight="false" outlineLevel="0" collapsed="false">
      <c r="A37" s="0" t="n">
        <v>36</v>
      </c>
      <c r="B37" s="0" t="s">
        <v>25</v>
      </c>
      <c r="C37" s="0" t="s">
        <v>10</v>
      </c>
      <c r="D37" s="0" t="s">
        <v>26</v>
      </c>
      <c r="E37" s="0" t="s">
        <v>27</v>
      </c>
      <c r="F37" s="0" t="s">
        <v>245</v>
      </c>
      <c r="G37" s="0" t="s">
        <v>216</v>
      </c>
      <c r="I37" s="0" t="s">
        <v>28</v>
      </c>
    </row>
    <row r="38" customFormat="false" ht="15" hidden="false" customHeight="false" outlineLevel="0" collapsed="false">
      <c r="A38" s="0" t="n">
        <v>37</v>
      </c>
      <c r="B38" s="0" t="s">
        <v>25</v>
      </c>
      <c r="C38" s="0" t="s">
        <v>10</v>
      </c>
      <c r="D38" s="0" t="s">
        <v>26</v>
      </c>
      <c r="E38" s="0" t="s">
        <v>27</v>
      </c>
      <c r="F38" s="0" t="s">
        <v>246</v>
      </c>
      <c r="G38" s="0" t="s">
        <v>216</v>
      </c>
      <c r="I38" s="0" t="s">
        <v>28</v>
      </c>
    </row>
    <row r="39" customFormat="false" ht="15" hidden="false" customHeight="false" outlineLevel="0" collapsed="false">
      <c r="A39" s="0" t="n">
        <v>38</v>
      </c>
      <c r="B39" s="0" t="s">
        <v>29</v>
      </c>
      <c r="C39" s="0" t="s">
        <v>30</v>
      </c>
      <c r="D39" s="0" t="s">
        <v>31</v>
      </c>
      <c r="E39" s="0" t="s">
        <v>32</v>
      </c>
      <c r="F39" s="0" t="s">
        <v>247</v>
      </c>
      <c r="G39" s="0" t="s">
        <v>216</v>
      </c>
      <c r="I39" s="0" t="s">
        <v>33</v>
      </c>
    </row>
    <row r="40" customFormat="false" ht="15" hidden="false" customHeight="false" outlineLevel="0" collapsed="false">
      <c r="A40" s="0" t="n">
        <v>39</v>
      </c>
      <c r="B40" s="0" t="s">
        <v>29</v>
      </c>
      <c r="C40" s="0" t="s">
        <v>30</v>
      </c>
      <c r="D40" s="0" t="s">
        <v>31</v>
      </c>
      <c r="E40" s="0" t="s">
        <v>32</v>
      </c>
      <c r="F40" s="0" t="s">
        <v>242</v>
      </c>
      <c r="G40" s="0" t="s">
        <v>216</v>
      </c>
      <c r="I40" s="0" t="s">
        <v>33</v>
      </c>
    </row>
    <row r="41" customFormat="false" ht="15" hidden="false" customHeight="false" outlineLevel="0" collapsed="false">
      <c r="A41" s="0" t="n">
        <v>40</v>
      </c>
      <c r="B41" s="0" t="s">
        <v>29</v>
      </c>
      <c r="C41" s="0" t="s">
        <v>30</v>
      </c>
      <c r="D41" s="0" t="s">
        <v>31</v>
      </c>
      <c r="E41" s="0" t="s">
        <v>32</v>
      </c>
      <c r="F41" s="0" t="s">
        <v>248</v>
      </c>
      <c r="G41" s="0" t="s">
        <v>216</v>
      </c>
      <c r="I41" s="0" t="s">
        <v>33</v>
      </c>
    </row>
    <row r="42" customFormat="false" ht="15" hidden="false" customHeight="false" outlineLevel="0" collapsed="false">
      <c r="A42" s="0" t="n">
        <v>41</v>
      </c>
      <c r="B42" s="0" t="s">
        <v>29</v>
      </c>
      <c r="C42" s="0" t="s">
        <v>30</v>
      </c>
      <c r="D42" s="0" t="s">
        <v>31</v>
      </c>
      <c r="E42" s="0" t="s">
        <v>32</v>
      </c>
      <c r="F42" s="0" t="s">
        <v>222</v>
      </c>
      <c r="G42" s="0" t="s">
        <v>216</v>
      </c>
      <c r="I42" s="0" t="s">
        <v>33</v>
      </c>
    </row>
    <row r="43" customFormat="false" ht="15" hidden="false" customHeight="false" outlineLevel="0" collapsed="false">
      <c r="A43" s="0" t="n">
        <v>42</v>
      </c>
      <c r="B43" s="0" t="s">
        <v>29</v>
      </c>
      <c r="C43" s="0" t="s">
        <v>30</v>
      </c>
      <c r="D43" s="0" t="s">
        <v>31</v>
      </c>
      <c r="E43" s="0" t="s">
        <v>32</v>
      </c>
      <c r="F43" s="0" t="s">
        <v>249</v>
      </c>
      <c r="G43" s="0" t="s">
        <v>216</v>
      </c>
      <c r="I43" s="0" t="s">
        <v>33</v>
      </c>
    </row>
    <row r="44" customFormat="false" ht="15" hidden="false" customHeight="false" outlineLevel="0" collapsed="false">
      <c r="A44" s="0" t="n">
        <v>43</v>
      </c>
      <c r="B44" s="0" t="s">
        <v>29</v>
      </c>
      <c r="C44" s="0" t="s">
        <v>30</v>
      </c>
      <c r="D44" s="0" t="s">
        <v>31</v>
      </c>
      <c r="E44" s="0" t="s">
        <v>32</v>
      </c>
      <c r="F44" s="0" t="s">
        <v>221</v>
      </c>
      <c r="G44" s="0" t="s">
        <v>216</v>
      </c>
      <c r="I44" s="0" t="s">
        <v>33</v>
      </c>
    </row>
    <row r="45" customFormat="false" ht="15" hidden="false" customHeight="false" outlineLevel="0" collapsed="false">
      <c r="A45" s="0" t="n">
        <v>44</v>
      </c>
      <c r="B45" s="0" t="s">
        <v>29</v>
      </c>
      <c r="C45" s="0" t="s">
        <v>30</v>
      </c>
      <c r="D45" s="0" t="s">
        <v>31</v>
      </c>
      <c r="E45" s="0" t="s">
        <v>32</v>
      </c>
      <c r="F45" s="0" t="s">
        <v>250</v>
      </c>
      <c r="G45" s="0" t="s">
        <v>216</v>
      </c>
      <c r="I45" s="0" t="s">
        <v>33</v>
      </c>
    </row>
    <row r="46" customFormat="false" ht="15" hidden="false" customHeight="false" outlineLevel="0" collapsed="false">
      <c r="A46" s="0" t="n">
        <v>45</v>
      </c>
      <c r="B46" s="0" t="s">
        <v>29</v>
      </c>
      <c r="C46" s="0" t="s">
        <v>30</v>
      </c>
      <c r="D46" s="0" t="s">
        <v>31</v>
      </c>
      <c r="E46" s="0" t="s">
        <v>32</v>
      </c>
      <c r="F46" s="0" t="s">
        <v>251</v>
      </c>
      <c r="G46" s="0" t="s">
        <v>216</v>
      </c>
      <c r="I46" s="0" t="s">
        <v>33</v>
      </c>
    </row>
    <row r="47" customFormat="false" ht="15" hidden="false" customHeight="false" outlineLevel="0" collapsed="false">
      <c r="A47" s="0" t="n">
        <v>46</v>
      </c>
      <c r="B47" s="0" t="s">
        <v>29</v>
      </c>
      <c r="C47" s="0" t="s">
        <v>30</v>
      </c>
      <c r="D47" s="0" t="s">
        <v>31</v>
      </c>
      <c r="E47" s="0" t="s">
        <v>32</v>
      </c>
      <c r="F47" s="0" t="s">
        <v>252</v>
      </c>
      <c r="G47" s="0" t="s">
        <v>216</v>
      </c>
      <c r="I47" s="0" t="s">
        <v>33</v>
      </c>
    </row>
    <row r="48" customFormat="false" ht="15" hidden="false" customHeight="false" outlineLevel="0" collapsed="false">
      <c r="A48" s="0" t="n">
        <v>47</v>
      </c>
      <c r="B48" s="0" t="s">
        <v>29</v>
      </c>
      <c r="C48" s="0" t="s">
        <v>30</v>
      </c>
      <c r="D48" s="0" t="s">
        <v>31</v>
      </c>
      <c r="E48" s="0" t="s">
        <v>32</v>
      </c>
      <c r="F48" s="0" t="s">
        <v>237</v>
      </c>
      <c r="G48" s="0" t="s">
        <v>216</v>
      </c>
      <c r="I48" s="0" t="s">
        <v>33</v>
      </c>
    </row>
    <row r="49" customFormat="false" ht="15" hidden="false" customHeight="false" outlineLevel="0" collapsed="false">
      <c r="A49" s="0" t="n">
        <v>48</v>
      </c>
      <c r="B49" s="0" t="s">
        <v>29</v>
      </c>
      <c r="C49" s="0" t="s">
        <v>30</v>
      </c>
      <c r="D49" s="0" t="s">
        <v>31</v>
      </c>
      <c r="E49" s="0" t="s">
        <v>32</v>
      </c>
      <c r="F49" s="0" t="s">
        <v>253</v>
      </c>
      <c r="G49" s="0" t="s">
        <v>216</v>
      </c>
      <c r="I49" s="0" t="s">
        <v>33</v>
      </c>
    </row>
    <row r="50" customFormat="false" ht="15" hidden="false" customHeight="false" outlineLevel="0" collapsed="false">
      <c r="A50" s="0" t="n">
        <v>49</v>
      </c>
      <c r="B50" s="0" t="s">
        <v>34</v>
      </c>
      <c r="C50" s="0" t="s">
        <v>30</v>
      </c>
      <c r="D50" s="0" t="s">
        <v>35</v>
      </c>
      <c r="E50" s="0" t="s">
        <v>36</v>
      </c>
      <c r="F50" s="0" t="s">
        <v>223</v>
      </c>
      <c r="G50" s="0" t="s">
        <v>216</v>
      </c>
      <c r="I50" s="0" t="s">
        <v>37</v>
      </c>
    </row>
    <row r="51" customFormat="false" ht="15" hidden="false" customHeight="false" outlineLevel="0" collapsed="false">
      <c r="A51" s="0" t="n">
        <v>50</v>
      </c>
      <c r="B51" s="0" t="s">
        <v>34</v>
      </c>
      <c r="C51" s="0" t="s">
        <v>30</v>
      </c>
      <c r="D51" s="0" t="s">
        <v>35</v>
      </c>
      <c r="E51" s="0" t="s">
        <v>36</v>
      </c>
      <c r="F51" s="0" t="s">
        <v>236</v>
      </c>
      <c r="G51" s="0" t="s">
        <v>216</v>
      </c>
      <c r="I51" s="0" t="s">
        <v>37</v>
      </c>
    </row>
    <row r="52" customFormat="false" ht="15" hidden="false" customHeight="false" outlineLevel="0" collapsed="false">
      <c r="A52" s="0" t="n">
        <v>51</v>
      </c>
      <c r="B52" s="0" t="s">
        <v>34</v>
      </c>
      <c r="C52" s="0" t="s">
        <v>30</v>
      </c>
      <c r="D52" s="0" t="s">
        <v>35</v>
      </c>
      <c r="E52" s="0" t="s">
        <v>36</v>
      </c>
      <c r="F52" s="0" t="s">
        <v>222</v>
      </c>
      <c r="G52" s="0" t="s">
        <v>216</v>
      </c>
      <c r="I52" s="0" t="s">
        <v>37</v>
      </c>
    </row>
    <row r="53" customFormat="false" ht="15" hidden="false" customHeight="false" outlineLevel="0" collapsed="false">
      <c r="A53" s="0" t="n">
        <v>52</v>
      </c>
      <c r="B53" s="0" t="s">
        <v>34</v>
      </c>
      <c r="C53" s="0" t="s">
        <v>30</v>
      </c>
      <c r="D53" s="0" t="s">
        <v>35</v>
      </c>
      <c r="E53" s="0" t="s">
        <v>36</v>
      </c>
      <c r="F53" s="0" t="s">
        <v>221</v>
      </c>
      <c r="G53" s="0" t="s">
        <v>216</v>
      </c>
      <c r="I53" s="0" t="s">
        <v>37</v>
      </c>
    </row>
    <row r="54" customFormat="false" ht="15" hidden="false" customHeight="false" outlineLevel="0" collapsed="false">
      <c r="A54" s="0" t="n">
        <v>53</v>
      </c>
      <c r="B54" s="0" t="s">
        <v>38</v>
      </c>
      <c r="C54" s="0" t="s">
        <v>30</v>
      </c>
      <c r="D54" s="0" t="s">
        <v>39</v>
      </c>
      <c r="E54" s="0" t="s">
        <v>40</v>
      </c>
      <c r="F54" s="0" t="s">
        <v>227</v>
      </c>
      <c r="G54" s="0" t="s">
        <v>216</v>
      </c>
      <c r="I54" s="0" t="s">
        <v>41</v>
      </c>
    </row>
    <row r="55" customFormat="false" ht="15" hidden="false" customHeight="false" outlineLevel="0" collapsed="false">
      <c r="A55" s="0" t="n">
        <v>54</v>
      </c>
      <c r="B55" s="0" t="s">
        <v>38</v>
      </c>
      <c r="C55" s="0" t="s">
        <v>30</v>
      </c>
      <c r="D55" s="0" t="s">
        <v>39</v>
      </c>
      <c r="E55" s="0" t="s">
        <v>40</v>
      </c>
      <c r="F55" s="0" t="s">
        <v>242</v>
      </c>
      <c r="G55" s="0" t="s">
        <v>216</v>
      </c>
      <c r="I55" s="0" t="s">
        <v>41</v>
      </c>
    </row>
    <row r="56" customFormat="false" ht="15" hidden="false" customHeight="false" outlineLevel="0" collapsed="false">
      <c r="A56" s="0" t="n">
        <v>55</v>
      </c>
      <c r="B56" s="0" t="s">
        <v>38</v>
      </c>
      <c r="C56" s="0" t="s">
        <v>30</v>
      </c>
      <c r="D56" s="0" t="s">
        <v>39</v>
      </c>
      <c r="E56" s="0" t="s">
        <v>40</v>
      </c>
      <c r="F56" s="0" t="s">
        <v>221</v>
      </c>
      <c r="G56" s="0" t="s">
        <v>216</v>
      </c>
      <c r="I56" s="0" t="s">
        <v>41</v>
      </c>
    </row>
    <row r="57" customFormat="false" ht="15" hidden="false" customHeight="false" outlineLevel="0" collapsed="false">
      <c r="A57" s="0" t="n">
        <v>56</v>
      </c>
      <c r="B57" s="0" t="s">
        <v>38</v>
      </c>
      <c r="C57" s="0" t="s">
        <v>30</v>
      </c>
      <c r="D57" s="0" t="s">
        <v>39</v>
      </c>
      <c r="E57" s="0" t="s">
        <v>40</v>
      </c>
      <c r="F57" s="0" t="s">
        <v>223</v>
      </c>
      <c r="G57" s="0" t="s">
        <v>216</v>
      </c>
      <c r="I57" s="0" t="s">
        <v>41</v>
      </c>
    </row>
    <row r="58" customFormat="false" ht="15" hidden="false" customHeight="false" outlineLevel="0" collapsed="false">
      <c r="A58" s="0" t="n">
        <v>57</v>
      </c>
      <c r="B58" s="0" t="s">
        <v>38</v>
      </c>
      <c r="C58" s="0" t="s">
        <v>30</v>
      </c>
      <c r="D58" s="0" t="s">
        <v>39</v>
      </c>
      <c r="E58" s="0" t="s">
        <v>40</v>
      </c>
      <c r="F58" s="0" t="s">
        <v>254</v>
      </c>
      <c r="G58" s="0" t="s">
        <v>216</v>
      </c>
      <c r="I58" s="0" t="s">
        <v>41</v>
      </c>
    </row>
    <row r="59" customFormat="false" ht="15" hidden="false" customHeight="false" outlineLevel="0" collapsed="false">
      <c r="A59" s="0" t="n">
        <v>58</v>
      </c>
      <c r="B59" s="0" t="s">
        <v>38</v>
      </c>
      <c r="C59" s="0" t="s">
        <v>30</v>
      </c>
      <c r="D59" s="0" t="s">
        <v>39</v>
      </c>
      <c r="E59" s="0" t="s">
        <v>40</v>
      </c>
      <c r="F59" s="0" t="s">
        <v>255</v>
      </c>
      <c r="G59" s="0" t="s">
        <v>216</v>
      </c>
      <c r="I59" s="0" t="s">
        <v>41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s">
        <v>30</v>
      </c>
      <c r="D60" s="0" t="s">
        <v>43</v>
      </c>
      <c r="E60" s="0" t="s">
        <v>44</v>
      </c>
      <c r="F60" s="0" t="s">
        <v>227</v>
      </c>
      <c r="G60" s="0" t="s">
        <v>216</v>
      </c>
      <c r="I60" s="0" t="s">
        <v>45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s">
        <v>30</v>
      </c>
      <c r="D61" s="0" t="s">
        <v>43</v>
      </c>
      <c r="E61" s="0" t="s">
        <v>44</v>
      </c>
      <c r="F61" s="0" t="s">
        <v>242</v>
      </c>
      <c r="G61" s="0" t="s">
        <v>216</v>
      </c>
      <c r="I61" s="0" t="s">
        <v>45</v>
      </c>
    </row>
    <row r="62" customFormat="false" ht="15" hidden="false" customHeight="false" outlineLevel="0" collapsed="false">
      <c r="A62" s="0" t="n">
        <v>61</v>
      </c>
      <c r="B62" s="0" t="s">
        <v>42</v>
      </c>
      <c r="C62" s="0" t="s">
        <v>30</v>
      </c>
      <c r="D62" s="0" t="s">
        <v>43</v>
      </c>
      <c r="E62" s="0" t="s">
        <v>44</v>
      </c>
      <c r="F62" s="0" t="s">
        <v>256</v>
      </c>
      <c r="G62" s="0" t="s">
        <v>216</v>
      </c>
      <c r="I62" s="0" t="s">
        <v>45</v>
      </c>
    </row>
    <row r="63" customFormat="false" ht="15" hidden="false" customHeight="false" outlineLevel="0" collapsed="false">
      <c r="A63" s="0" t="n">
        <v>62</v>
      </c>
      <c r="B63" s="0" t="s">
        <v>42</v>
      </c>
      <c r="C63" s="0" t="s">
        <v>30</v>
      </c>
      <c r="D63" s="0" t="s">
        <v>43</v>
      </c>
      <c r="E63" s="0" t="s">
        <v>44</v>
      </c>
      <c r="F63" s="0" t="s">
        <v>257</v>
      </c>
      <c r="G63" s="0" t="s">
        <v>216</v>
      </c>
      <c r="I63" s="0" t="s">
        <v>45</v>
      </c>
    </row>
    <row r="64" customFormat="false" ht="15" hidden="false" customHeight="false" outlineLevel="0" collapsed="false">
      <c r="A64" s="0" t="n">
        <v>63</v>
      </c>
      <c r="B64" s="0" t="s">
        <v>42</v>
      </c>
      <c r="C64" s="0" t="s">
        <v>30</v>
      </c>
      <c r="D64" s="0" t="s">
        <v>43</v>
      </c>
      <c r="E64" s="0" t="s">
        <v>44</v>
      </c>
      <c r="F64" s="0" t="s">
        <v>221</v>
      </c>
      <c r="G64" s="0" t="s">
        <v>216</v>
      </c>
      <c r="I64" s="0" t="s">
        <v>45</v>
      </c>
    </row>
    <row r="65" customFormat="false" ht="15" hidden="false" customHeight="false" outlineLevel="0" collapsed="false">
      <c r="A65" s="0" t="n">
        <v>64</v>
      </c>
      <c r="B65" s="0" t="s">
        <v>42</v>
      </c>
      <c r="C65" s="0" t="s">
        <v>30</v>
      </c>
      <c r="D65" s="0" t="s">
        <v>43</v>
      </c>
      <c r="E65" s="0" t="s">
        <v>44</v>
      </c>
      <c r="F65" s="0" t="s">
        <v>258</v>
      </c>
      <c r="G65" s="0" t="s">
        <v>216</v>
      </c>
      <c r="I65" s="0" t="s">
        <v>45</v>
      </c>
    </row>
    <row r="66" customFormat="false" ht="15" hidden="false" customHeight="false" outlineLevel="0" collapsed="false">
      <c r="A66" s="0" t="n">
        <v>65</v>
      </c>
      <c r="B66" s="0" t="s">
        <v>42</v>
      </c>
      <c r="C66" s="0" t="s">
        <v>30</v>
      </c>
      <c r="D66" s="0" t="s">
        <v>43</v>
      </c>
      <c r="E66" s="0" t="s">
        <v>44</v>
      </c>
      <c r="F66" s="0" t="s">
        <v>259</v>
      </c>
      <c r="G66" s="0" t="s">
        <v>216</v>
      </c>
      <c r="I66" s="0" t="s">
        <v>45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s">
        <v>30</v>
      </c>
      <c r="D67" s="0" t="s">
        <v>47</v>
      </c>
      <c r="E67" s="0" t="s">
        <v>48</v>
      </c>
      <c r="F67" s="0" t="s">
        <v>260</v>
      </c>
      <c r="G67" s="0" t="s">
        <v>211</v>
      </c>
      <c r="I67" s="0" t="s">
        <v>49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s">
        <v>30</v>
      </c>
      <c r="D68" s="0" t="s">
        <v>47</v>
      </c>
      <c r="E68" s="0" t="s">
        <v>48</v>
      </c>
      <c r="F68" s="0" t="s">
        <v>221</v>
      </c>
      <c r="G68" s="0" t="s">
        <v>211</v>
      </c>
      <c r="I68" s="0" t="s">
        <v>49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s">
        <v>30</v>
      </c>
      <c r="D69" s="0" t="s">
        <v>47</v>
      </c>
      <c r="E69" s="0" t="s">
        <v>48</v>
      </c>
      <c r="F69" s="0" t="s">
        <v>261</v>
      </c>
      <c r="G69" s="0" t="s">
        <v>211</v>
      </c>
      <c r="I69" s="0" t="s">
        <v>49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s">
        <v>30</v>
      </c>
      <c r="D70" s="0" t="s">
        <v>47</v>
      </c>
      <c r="E70" s="0" t="s">
        <v>48</v>
      </c>
      <c r="F70" s="0" t="s">
        <v>262</v>
      </c>
      <c r="G70" s="0" t="s">
        <v>211</v>
      </c>
      <c r="I70" s="0" t="s">
        <v>49</v>
      </c>
    </row>
    <row r="71" customFormat="false" ht="15" hidden="false" customHeight="false" outlineLevel="0" collapsed="false">
      <c r="A71" s="0" t="n">
        <v>70</v>
      </c>
      <c r="B71" s="0" t="s">
        <v>46</v>
      </c>
      <c r="C71" s="0" t="s">
        <v>30</v>
      </c>
      <c r="D71" s="0" t="s">
        <v>47</v>
      </c>
      <c r="E71" s="0" t="s">
        <v>48</v>
      </c>
      <c r="F71" s="0" t="s">
        <v>263</v>
      </c>
      <c r="G71" s="0" t="s">
        <v>264</v>
      </c>
      <c r="I71" s="0" t="s">
        <v>49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s">
        <v>30</v>
      </c>
      <c r="D72" s="0" t="s">
        <v>51</v>
      </c>
      <c r="E72" s="0" t="s">
        <v>52</v>
      </c>
      <c r="F72" s="0" t="s">
        <v>265</v>
      </c>
      <c r="G72" s="0" t="s">
        <v>266</v>
      </c>
      <c r="I72" s="0" t="s">
        <v>53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s">
        <v>55</v>
      </c>
      <c r="D73" s="0" t="s">
        <v>56</v>
      </c>
      <c r="E73" s="0" t="s">
        <v>57</v>
      </c>
      <c r="F73" s="0" t="s">
        <v>227</v>
      </c>
      <c r="G73" s="0" t="s">
        <v>216</v>
      </c>
      <c r="I73" s="0" t="s">
        <v>58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s">
        <v>55</v>
      </c>
      <c r="D74" s="0" t="s">
        <v>56</v>
      </c>
      <c r="E74" s="0" t="s">
        <v>57</v>
      </c>
      <c r="F74" s="0" t="s">
        <v>242</v>
      </c>
      <c r="G74" s="0" t="s">
        <v>216</v>
      </c>
      <c r="I74" s="0" t="s">
        <v>58</v>
      </c>
    </row>
    <row r="75" customFormat="false" ht="15" hidden="false" customHeight="false" outlineLevel="0" collapsed="false">
      <c r="A75" s="0" t="n">
        <v>74</v>
      </c>
      <c r="B75" s="0" t="s">
        <v>54</v>
      </c>
      <c r="C75" s="0" t="s">
        <v>55</v>
      </c>
      <c r="D75" s="0" t="s">
        <v>56</v>
      </c>
      <c r="E75" s="0" t="s">
        <v>57</v>
      </c>
      <c r="F75" s="0" t="s">
        <v>221</v>
      </c>
      <c r="G75" s="0" t="s">
        <v>216</v>
      </c>
      <c r="I75" s="0" t="s">
        <v>58</v>
      </c>
    </row>
    <row r="76" customFormat="false" ht="15" hidden="false" customHeight="false" outlineLevel="0" collapsed="false">
      <c r="A76" s="0" t="n">
        <v>75</v>
      </c>
      <c r="B76" s="0" t="s">
        <v>54</v>
      </c>
      <c r="C76" s="0" t="s">
        <v>55</v>
      </c>
      <c r="D76" s="0" t="s">
        <v>56</v>
      </c>
      <c r="E76" s="0" t="s">
        <v>57</v>
      </c>
      <c r="F76" s="0" t="s">
        <v>222</v>
      </c>
      <c r="G76" s="0" t="s">
        <v>216</v>
      </c>
      <c r="I76" s="0" t="s">
        <v>58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s">
        <v>55</v>
      </c>
      <c r="D77" s="0" t="s">
        <v>56</v>
      </c>
      <c r="E77" s="0" t="s">
        <v>57</v>
      </c>
      <c r="F77" s="0" t="s">
        <v>267</v>
      </c>
      <c r="G77" s="0" t="s">
        <v>216</v>
      </c>
      <c r="I77" s="0" t="s">
        <v>58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s">
        <v>55</v>
      </c>
      <c r="D78" s="0" t="s">
        <v>56</v>
      </c>
      <c r="E78" s="0" t="s">
        <v>57</v>
      </c>
      <c r="F78" s="0" t="s">
        <v>268</v>
      </c>
      <c r="G78" s="0" t="s">
        <v>216</v>
      </c>
      <c r="I78" s="0" t="s">
        <v>58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s">
        <v>55</v>
      </c>
      <c r="D79" s="0" t="s">
        <v>56</v>
      </c>
      <c r="E79" s="0" t="s">
        <v>57</v>
      </c>
      <c r="F79" s="0" t="s">
        <v>269</v>
      </c>
      <c r="G79" s="0" t="s">
        <v>216</v>
      </c>
      <c r="I79" s="0" t="s">
        <v>58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s">
        <v>55</v>
      </c>
      <c r="D80" s="0" t="s">
        <v>60</v>
      </c>
      <c r="E80" s="0" t="s">
        <v>61</v>
      </c>
      <c r="F80" s="0" t="s">
        <v>227</v>
      </c>
      <c r="G80" s="0" t="s">
        <v>216</v>
      </c>
      <c r="I80" s="0" t="s">
        <v>62</v>
      </c>
    </row>
    <row r="81" customFormat="false" ht="15" hidden="false" customHeight="false" outlineLevel="0" collapsed="false">
      <c r="A81" s="0" t="n">
        <v>80</v>
      </c>
      <c r="B81" s="0" t="s">
        <v>59</v>
      </c>
      <c r="C81" s="0" t="s">
        <v>55</v>
      </c>
      <c r="D81" s="0" t="s">
        <v>60</v>
      </c>
      <c r="E81" s="0" t="s">
        <v>61</v>
      </c>
      <c r="F81" s="0" t="s">
        <v>228</v>
      </c>
      <c r="G81" s="0" t="s">
        <v>216</v>
      </c>
      <c r="I81" s="0" t="s">
        <v>62</v>
      </c>
    </row>
    <row r="82" customFormat="false" ht="15" hidden="false" customHeight="false" outlineLevel="0" collapsed="false">
      <c r="A82" s="0" t="n">
        <v>81</v>
      </c>
      <c r="B82" s="0" t="s">
        <v>59</v>
      </c>
      <c r="C82" s="0" t="s">
        <v>55</v>
      </c>
      <c r="D82" s="0" t="s">
        <v>60</v>
      </c>
      <c r="E82" s="0" t="s">
        <v>61</v>
      </c>
      <c r="F82" s="0" t="s">
        <v>270</v>
      </c>
      <c r="G82" s="0" t="s">
        <v>216</v>
      </c>
      <c r="I82" s="0" t="s">
        <v>62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s">
        <v>55</v>
      </c>
      <c r="D83" s="0" t="s">
        <v>60</v>
      </c>
      <c r="E83" s="0" t="s">
        <v>61</v>
      </c>
      <c r="F83" s="0" t="s">
        <v>242</v>
      </c>
      <c r="G83" s="0" t="s">
        <v>216</v>
      </c>
      <c r="I83" s="0" t="s">
        <v>62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s">
        <v>55</v>
      </c>
      <c r="D84" s="0" t="s">
        <v>60</v>
      </c>
      <c r="E84" s="0" t="s">
        <v>61</v>
      </c>
      <c r="F84" s="0" t="s">
        <v>271</v>
      </c>
      <c r="G84" s="0" t="s">
        <v>216</v>
      </c>
      <c r="I84" s="0" t="s">
        <v>62</v>
      </c>
    </row>
    <row r="85" customFormat="false" ht="15" hidden="false" customHeight="false" outlineLevel="0" collapsed="false">
      <c r="A85" s="0" t="n">
        <v>84</v>
      </c>
      <c r="B85" s="0" t="s">
        <v>59</v>
      </c>
      <c r="C85" s="0" t="s">
        <v>55</v>
      </c>
      <c r="D85" s="0" t="s">
        <v>60</v>
      </c>
      <c r="E85" s="0" t="s">
        <v>61</v>
      </c>
      <c r="F85" s="0" t="s">
        <v>235</v>
      </c>
      <c r="G85" s="0" t="s">
        <v>216</v>
      </c>
      <c r="I85" s="0" t="s">
        <v>62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s">
        <v>55</v>
      </c>
      <c r="D86" s="0" t="s">
        <v>60</v>
      </c>
      <c r="E86" s="0" t="s">
        <v>61</v>
      </c>
      <c r="F86" s="0" t="s">
        <v>272</v>
      </c>
      <c r="G86" s="0" t="s">
        <v>216</v>
      </c>
      <c r="I86" s="0" t="s">
        <v>62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s">
        <v>55</v>
      </c>
      <c r="D87" s="0" t="s">
        <v>60</v>
      </c>
      <c r="E87" s="0" t="s">
        <v>61</v>
      </c>
      <c r="F87" s="0" t="s">
        <v>221</v>
      </c>
      <c r="G87" s="0" t="s">
        <v>216</v>
      </c>
      <c r="I87" s="0" t="s">
        <v>62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s">
        <v>55</v>
      </c>
      <c r="D88" s="0" t="s">
        <v>60</v>
      </c>
      <c r="E88" s="0" t="s">
        <v>61</v>
      </c>
      <c r="F88" s="0" t="s">
        <v>273</v>
      </c>
      <c r="G88" s="0" t="s">
        <v>216</v>
      </c>
      <c r="I88" s="0" t="s">
        <v>62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s">
        <v>55</v>
      </c>
      <c r="D89" s="0" t="s">
        <v>64</v>
      </c>
      <c r="E89" s="0" t="s">
        <v>65</v>
      </c>
      <c r="F89" s="0" t="s">
        <v>274</v>
      </c>
      <c r="G89" s="0" t="s">
        <v>216</v>
      </c>
      <c r="I89" s="0" t="s">
        <v>66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s">
        <v>55</v>
      </c>
      <c r="D90" s="0" t="s">
        <v>64</v>
      </c>
      <c r="E90" s="0" t="s">
        <v>65</v>
      </c>
      <c r="F90" s="0" t="s">
        <v>223</v>
      </c>
      <c r="G90" s="0" t="s">
        <v>216</v>
      </c>
      <c r="I90" s="0" t="s">
        <v>66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s">
        <v>55</v>
      </c>
      <c r="D91" s="0" t="s">
        <v>64</v>
      </c>
      <c r="E91" s="0" t="s">
        <v>65</v>
      </c>
      <c r="F91" s="0" t="s">
        <v>275</v>
      </c>
      <c r="G91" s="0" t="s">
        <v>216</v>
      </c>
      <c r="I91" s="0" t="s">
        <v>66</v>
      </c>
    </row>
    <row r="92" customFormat="false" ht="15" hidden="false" customHeight="false" outlineLevel="0" collapsed="false">
      <c r="A92" s="0" t="n">
        <v>91</v>
      </c>
      <c r="B92" s="0" t="s">
        <v>63</v>
      </c>
      <c r="C92" s="0" t="s">
        <v>55</v>
      </c>
      <c r="D92" s="0" t="s">
        <v>64</v>
      </c>
      <c r="E92" s="0" t="s">
        <v>65</v>
      </c>
      <c r="F92" s="0" t="s">
        <v>276</v>
      </c>
      <c r="G92" s="0" t="s">
        <v>216</v>
      </c>
      <c r="I92" s="0" t="s">
        <v>66</v>
      </c>
    </row>
    <row r="93" customFormat="false" ht="15" hidden="false" customHeight="false" outlineLevel="0" collapsed="false">
      <c r="A93" s="0" t="n">
        <v>92</v>
      </c>
      <c r="B93" s="0" t="s">
        <v>63</v>
      </c>
      <c r="C93" s="0" t="s">
        <v>55</v>
      </c>
      <c r="D93" s="0" t="s">
        <v>64</v>
      </c>
      <c r="E93" s="0" t="s">
        <v>65</v>
      </c>
      <c r="F93" s="0" t="s">
        <v>277</v>
      </c>
      <c r="G93" s="0" t="s">
        <v>216</v>
      </c>
      <c r="I93" s="0" t="s">
        <v>66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s">
        <v>55</v>
      </c>
      <c r="D94" s="0" t="s">
        <v>64</v>
      </c>
      <c r="E94" s="0" t="s">
        <v>65</v>
      </c>
      <c r="F94" s="0" t="s">
        <v>278</v>
      </c>
      <c r="G94" s="0" t="s">
        <v>216</v>
      </c>
      <c r="I94" s="0" t="s">
        <v>66</v>
      </c>
    </row>
    <row r="95" customFormat="false" ht="15" hidden="false" customHeight="false" outlineLevel="0" collapsed="false">
      <c r="A95" s="0" t="n">
        <v>94</v>
      </c>
      <c r="B95" s="0" t="s">
        <v>67</v>
      </c>
      <c r="C95" s="0" t="s">
        <v>55</v>
      </c>
      <c r="D95" s="0" t="s">
        <v>68</v>
      </c>
      <c r="E95" s="0" t="s">
        <v>69</v>
      </c>
      <c r="F95" s="0" t="s">
        <v>279</v>
      </c>
      <c r="G95" s="0" t="s">
        <v>266</v>
      </c>
      <c r="I95" s="0" t="s">
        <v>70</v>
      </c>
    </row>
    <row r="96" customFormat="false" ht="15" hidden="false" customHeight="false" outlineLevel="0" collapsed="false">
      <c r="A96" s="0" t="n">
        <v>95</v>
      </c>
      <c r="B96" s="0" t="s">
        <v>67</v>
      </c>
      <c r="C96" s="0" t="s">
        <v>55</v>
      </c>
      <c r="D96" s="0" t="s">
        <v>68</v>
      </c>
      <c r="E96" s="0" t="s">
        <v>69</v>
      </c>
      <c r="F96" s="0" t="s">
        <v>280</v>
      </c>
      <c r="G96" s="0" t="s">
        <v>266</v>
      </c>
      <c r="I96" s="0" t="s">
        <v>70</v>
      </c>
    </row>
    <row r="97" customFormat="false" ht="15" hidden="false" customHeight="false" outlineLevel="0" collapsed="false">
      <c r="A97" s="0" t="n">
        <v>96</v>
      </c>
      <c r="B97" s="0" t="s">
        <v>67</v>
      </c>
      <c r="C97" s="0" t="s">
        <v>55</v>
      </c>
      <c r="D97" s="0" t="s">
        <v>68</v>
      </c>
      <c r="E97" s="0" t="s">
        <v>69</v>
      </c>
      <c r="F97" s="0" t="s">
        <v>281</v>
      </c>
      <c r="G97" s="0" t="s">
        <v>266</v>
      </c>
      <c r="I97" s="0" t="s">
        <v>70</v>
      </c>
    </row>
    <row r="98" customFormat="false" ht="15" hidden="false" customHeight="false" outlineLevel="0" collapsed="false">
      <c r="A98" s="0" t="n">
        <v>97</v>
      </c>
      <c r="B98" s="0" t="s">
        <v>71</v>
      </c>
      <c r="C98" s="0" t="s">
        <v>72</v>
      </c>
      <c r="D98" s="0" t="s">
        <v>73</v>
      </c>
      <c r="E98" s="0" t="s">
        <v>74</v>
      </c>
      <c r="F98" s="0" t="s">
        <v>215</v>
      </c>
      <c r="G98" s="0" t="s">
        <v>282</v>
      </c>
      <c r="I98" s="0" t="s">
        <v>70</v>
      </c>
    </row>
    <row r="99" customFormat="false" ht="15" hidden="false" customHeight="false" outlineLevel="0" collapsed="false">
      <c r="A99" s="0" t="n">
        <v>98</v>
      </c>
      <c r="B99" s="0" t="s">
        <v>71</v>
      </c>
      <c r="C99" s="0" t="s">
        <v>72</v>
      </c>
      <c r="D99" s="0" t="s">
        <v>73</v>
      </c>
      <c r="E99" s="0" t="s">
        <v>74</v>
      </c>
      <c r="F99" s="0" t="s">
        <v>242</v>
      </c>
      <c r="G99" s="0" t="s">
        <v>216</v>
      </c>
      <c r="I99" s="0" t="s">
        <v>70</v>
      </c>
    </row>
    <row r="100" customFormat="false" ht="15" hidden="false" customHeight="false" outlineLevel="0" collapsed="false">
      <c r="A100" s="0" t="n">
        <v>99</v>
      </c>
      <c r="B100" s="0" t="s">
        <v>71</v>
      </c>
      <c r="C100" s="0" t="s">
        <v>72</v>
      </c>
      <c r="D100" s="0" t="s">
        <v>73</v>
      </c>
      <c r="E100" s="0" t="s">
        <v>74</v>
      </c>
      <c r="F100" s="0" t="s">
        <v>283</v>
      </c>
      <c r="G100" s="0" t="s">
        <v>216</v>
      </c>
      <c r="I100" s="0" t="s">
        <v>70</v>
      </c>
    </row>
    <row r="101" customFormat="false" ht="15" hidden="false" customHeight="false" outlineLevel="0" collapsed="false">
      <c r="A101" s="0" t="n">
        <v>100</v>
      </c>
      <c r="B101" s="0" t="s">
        <v>71</v>
      </c>
      <c r="C101" s="0" t="s">
        <v>72</v>
      </c>
      <c r="D101" s="0" t="s">
        <v>73</v>
      </c>
      <c r="E101" s="0" t="s">
        <v>74</v>
      </c>
      <c r="F101" s="0" t="s">
        <v>284</v>
      </c>
      <c r="G101" s="0" t="s">
        <v>216</v>
      </c>
      <c r="I101" s="0" t="s">
        <v>70</v>
      </c>
    </row>
    <row r="102" customFormat="false" ht="15" hidden="false" customHeight="false" outlineLevel="0" collapsed="false">
      <c r="A102" s="0" t="n">
        <v>101</v>
      </c>
      <c r="B102" s="0" t="s">
        <v>71</v>
      </c>
      <c r="C102" s="0" t="s">
        <v>72</v>
      </c>
      <c r="D102" s="0" t="s">
        <v>73</v>
      </c>
      <c r="E102" s="0" t="s">
        <v>74</v>
      </c>
      <c r="F102" s="0" t="s">
        <v>222</v>
      </c>
      <c r="G102" s="0" t="s">
        <v>216</v>
      </c>
      <c r="I102" s="0" t="s">
        <v>70</v>
      </c>
    </row>
    <row r="103" customFormat="false" ht="15" hidden="false" customHeight="false" outlineLevel="0" collapsed="false">
      <c r="A103" s="0" t="n">
        <v>102</v>
      </c>
      <c r="B103" s="0" t="s">
        <v>71</v>
      </c>
      <c r="C103" s="0" t="s">
        <v>72</v>
      </c>
      <c r="D103" s="0" t="s">
        <v>73</v>
      </c>
      <c r="E103" s="0" t="s">
        <v>74</v>
      </c>
      <c r="F103" s="0" t="s">
        <v>285</v>
      </c>
      <c r="G103" s="0" t="s">
        <v>216</v>
      </c>
      <c r="I103" s="0" t="s">
        <v>70</v>
      </c>
    </row>
    <row r="104" customFormat="false" ht="15" hidden="false" customHeight="false" outlineLevel="0" collapsed="false">
      <c r="A104" s="0" t="n">
        <v>103</v>
      </c>
      <c r="B104" s="0" t="s">
        <v>75</v>
      </c>
      <c r="C104" s="0" t="s">
        <v>72</v>
      </c>
      <c r="D104" s="0" t="s">
        <v>76</v>
      </c>
      <c r="E104" s="0" t="s">
        <v>77</v>
      </c>
      <c r="F104" s="0" t="s">
        <v>286</v>
      </c>
      <c r="G104" s="0" t="s">
        <v>216</v>
      </c>
      <c r="I104" s="0" t="s">
        <v>78</v>
      </c>
    </row>
    <row r="105" customFormat="false" ht="15" hidden="false" customHeight="false" outlineLevel="0" collapsed="false">
      <c r="A105" s="0" t="n">
        <v>104</v>
      </c>
      <c r="B105" s="0" t="s">
        <v>75</v>
      </c>
      <c r="C105" s="0" t="s">
        <v>72</v>
      </c>
      <c r="D105" s="0" t="s">
        <v>76</v>
      </c>
      <c r="E105" s="0" t="s">
        <v>77</v>
      </c>
      <c r="F105" s="0" t="s">
        <v>287</v>
      </c>
      <c r="G105" s="0" t="s">
        <v>216</v>
      </c>
      <c r="I105" s="0" t="s">
        <v>78</v>
      </c>
    </row>
    <row r="106" customFormat="false" ht="15" hidden="false" customHeight="false" outlineLevel="0" collapsed="false">
      <c r="A106" s="0" t="n">
        <v>105</v>
      </c>
      <c r="B106" s="0" t="s">
        <v>75</v>
      </c>
      <c r="C106" s="0" t="s">
        <v>72</v>
      </c>
      <c r="D106" s="0" t="s">
        <v>76</v>
      </c>
      <c r="E106" s="0" t="s">
        <v>77</v>
      </c>
      <c r="F106" s="0" t="s">
        <v>288</v>
      </c>
      <c r="G106" s="0" t="s">
        <v>216</v>
      </c>
      <c r="I106" s="0" t="s">
        <v>78</v>
      </c>
    </row>
    <row r="107" customFormat="false" ht="15" hidden="false" customHeight="false" outlineLevel="0" collapsed="false">
      <c r="A107" s="0" t="n">
        <v>106</v>
      </c>
      <c r="B107" s="0" t="s">
        <v>75</v>
      </c>
      <c r="C107" s="0" t="s">
        <v>72</v>
      </c>
      <c r="D107" s="0" t="s">
        <v>76</v>
      </c>
      <c r="E107" s="0" t="s">
        <v>77</v>
      </c>
      <c r="F107" s="0" t="s">
        <v>269</v>
      </c>
      <c r="G107" s="0" t="s">
        <v>216</v>
      </c>
      <c r="I107" s="0" t="s">
        <v>78</v>
      </c>
    </row>
    <row r="108" customFormat="false" ht="15" hidden="false" customHeight="false" outlineLevel="0" collapsed="false">
      <c r="A108" s="0" t="n">
        <v>107</v>
      </c>
      <c r="B108" s="0" t="s">
        <v>79</v>
      </c>
      <c r="C108" s="0" t="s">
        <v>72</v>
      </c>
      <c r="D108" s="0" t="s">
        <v>80</v>
      </c>
      <c r="E108" s="0" t="s">
        <v>81</v>
      </c>
      <c r="F108" s="0" t="s">
        <v>227</v>
      </c>
      <c r="G108" s="0" t="s">
        <v>216</v>
      </c>
      <c r="I108" s="0" t="s">
        <v>82</v>
      </c>
    </row>
    <row r="109" customFormat="false" ht="15" hidden="false" customHeight="false" outlineLevel="0" collapsed="false">
      <c r="A109" s="0" t="n">
        <v>108</v>
      </c>
      <c r="B109" s="0" t="s">
        <v>79</v>
      </c>
      <c r="C109" s="0" t="s">
        <v>72</v>
      </c>
      <c r="D109" s="0" t="s">
        <v>80</v>
      </c>
      <c r="E109" s="0" t="s">
        <v>81</v>
      </c>
      <c r="F109" s="0" t="s">
        <v>228</v>
      </c>
      <c r="G109" s="0" t="s">
        <v>216</v>
      </c>
      <c r="I109" s="0" t="s">
        <v>82</v>
      </c>
    </row>
    <row r="110" customFormat="false" ht="15" hidden="false" customHeight="false" outlineLevel="0" collapsed="false">
      <c r="A110" s="0" t="n">
        <v>109</v>
      </c>
      <c r="B110" s="0" t="s">
        <v>79</v>
      </c>
      <c r="C110" s="0" t="s">
        <v>72</v>
      </c>
      <c r="D110" s="0" t="s">
        <v>80</v>
      </c>
      <c r="E110" s="0" t="s">
        <v>81</v>
      </c>
      <c r="F110" s="0" t="s">
        <v>242</v>
      </c>
      <c r="G110" s="0" t="s">
        <v>216</v>
      </c>
      <c r="I110" s="0" t="s">
        <v>82</v>
      </c>
    </row>
    <row r="111" customFormat="false" ht="15" hidden="false" customHeight="false" outlineLevel="0" collapsed="false">
      <c r="A111" s="0" t="n">
        <v>110</v>
      </c>
      <c r="B111" s="0" t="s">
        <v>79</v>
      </c>
      <c r="C111" s="0" t="s">
        <v>72</v>
      </c>
      <c r="D111" s="0" t="s">
        <v>80</v>
      </c>
      <c r="E111" s="0" t="s">
        <v>81</v>
      </c>
      <c r="F111" s="0" t="s">
        <v>222</v>
      </c>
      <c r="G111" s="0" t="s">
        <v>216</v>
      </c>
      <c r="I111" s="0" t="s">
        <v>82</v>
      </c>
    </row>
    <row r="112" customFormat="false" ht="15" hidden="false" customHeight="false" outlineLevel="0" collapsed="false">
      <c r="A112" s="0" t="n">
        <v>111</v>
      </c>
      <c r="B112" s="0" t="s">
        <v>79</v>
      </c>
      <c r="C112" s="0" t="s">
        <v>72</v>
      </c>
      <c r="D112" s="0" t="s">
        <v>80</v>
      </c>
      <c r="E112" s="0" t="s">
        <v>81</v>
      </c>
      <c r="F112" s="0" t="s">
        <v>221</v>
      </c>
      <c r="G112" s="0" t="s">
        <v>216</v>
      </c>
      <c r="I112" s="0" t="s">
        <v>82</v>
      </c>
    </row>
    <row r="113" customFormat="false" ht="15" hidden="false" customHeight="false" outlineLevel="0" collapsed="false">
      <c r="A113" s="0" t="n">
        <v>112</v>
      </c>
      <c r="B113" s="0" t="s">
        <v>79</v>
      </c>
      <c r="C113" s="0" t="s">
        <v>72</v>
      </c>
      <c r="D113" s="0" t="s">
        <v>80</v>
      </c>
      <c r="E113" s="0" t="s">
        <v>81</v>
      </c>
      <c r="F113" s="0" t="s">
        <v>289</v>
      </c>
      <c r="G113" s="0" t="s">
        <v>216</v>
      </c>
      <c r="I113" s="0" t="s">
        <v>82</v>
      </c>
    </row>
    <row r="114" customFormat="false" ht="15" hidden="false" customHeight="false" outlineLevel="0" collapsed="false">
      <c r="A114" s="0" t="n">
        <v>113</v>
      </c>
      <c r="B114" s="0" t="s">
        <v>79</v>
      </c>
      <c r="C114" s="0" t="s">
        <v>72</v>
      </c>
      <c r="D114" s="0" t="s">
        <v>80</v>
      </c>
      <c r="E114" s="0" t="s">
        <v>81</v>
      </c>
      <c r="F114" s="0" t="s">
        <v>290</v>
      </c>
      <c r="G114" s="0" t="s">
        <v>216</v>
      </c>
      <c r="I114" s="0" t="s">
        <v>82</v>
      </c>
    </row>
    <row r="115" customFormat="false" ht="15" hidden="false" customHeight="false" outlineLevel="0" collapsed="false">
      <c r="A115" s="0" t="n">
        <v>114</v>
      </c>
      <c r="B115" s="0" t="s">
        <v>79</v>
      </c>
      <c r="C115" s="0" t="s">
        <v>72</v>
      </c>
      <c r="D115" s="0" t="s">
        <v>80</v>
      </c>
      <c r="E115" s="0" t="s">
        <v>81</v>
      </c>
      <c r="F115" s="0" t="s">
        <v>225</v>
      </c>
      <c r="G115" s="0" t="s">
        <v>216</v>
      </c>
      <c r="I115" s="0" t="s">
        <v>82</v>
      </c>
    </row>
    <row r="116" customFormat="false" ht="15" hidden="false" customHeight="false" outlineLevel="0" collapsed="false">
      <c r="A116" s="0" t="n">
        <v>115</v>
      </c>
      <c r="B116" s="0" t="s">
        <v>79</v>
      </c>
      <c r="C116" s="0" t="s">
        <v>72</v>
      </c>
      <c r="D116" s="0" t="s">
        <v>80</v>
      </c>
      <c r="E116" s="0" t="s">
        <v>81</v>
      </c>
      <c r="F116" s="0" t="s">
        <v>291</v>
      </c>
      <c r="G116" s="0" t="s">
        <v>216</v>
      </c>
      <c r="I116" s="0" t="s">
        <v>82</v>
      </c>
    </row>
    <row r="117" customFormat="false" ht="15" hidden="false" customHeight="false" outlineLevel="0" collapsed="false">
      <c r="A117" s="0" t="n">
        <v>116</v>
      </c>
      <c r="B117" s="0" t="s">
        <v>79</v>
      </c>
      <c r="C117" s="0" t="s">
        <v>72</v>
      </c>
      <c r="D117" s="0" t="s">
        <v>80</v>
      </c>
      <c r="E117" s="0" t="s">
        <v>81</v>
      </c>
      <c r="F117" s="0" t="s">
        <v>236</v>
      </c>
      <c r="G117" s="0" t="s">
        <v>216</v>
      </c>
      <c r="I117" s="0" t="s">
        <v>82</v>
      </c>
    </row>
    <row r="118" customFormat="false" ht="15" hidden="false" customHeight="false" outlineLevel="0" collapsed="false">
      <c r="A118" s="0" t="n">
        <v>117</v>
      </c>
      <c r="B118" s="0" t="s">
        <v>79</v>
      </c>
      <c r="C118" s="0" t="s">
        <v>72</v>
      </c>
      <c r="D118" s="0" t="s">
        <v>80</v>
      </c>
      <c r="E118" s="0" t="s">
        <v>81</v>
      </c>
      <c r="F118" s="0" t="s">
        <v>292</v>
      </c>
      <c r="G118" s="0" t="s">
        <v>216</v>
      </c>
      <c r="I118" s="0" t="s">
        <v>82</v>
      </c>
    </row>
    <row r="119" customFormat="false" ht="15" hidden="false" customHeight="false" outlineLevel="0" collapsed="false">
      <c r="A119" s="0" t="n">
        <v>118</v>
      </c>
      <c r="B119" s="0" t="s">
        <v>79</v>
      </c>
      <c r="C119" s="0" t="s">
        <v>72</v>
      </c>
      <c r="D119" s="0" t="s">
        <v>80</v>
      </c>
      <c r="E119" s="0" t="s">
        <v>81</v>
      </c>
      <c r="F119" s="0" t="s">
        <v>293</v>
      </c>
      <c r="G119" s="0" t="s">
        <v>216</v>
      </c>
      <c r="I119" s="0" t="s">
        <v>82</v>
      </c>
    </row>
    <row r="120" customFormat="false" ht="15" hidden="false" customHeight="false" outlineLevel="0" collapsed="false">
      <c r="A120" s="0" t="n">
        <v>119</v>
      </c>
      <c r="B120" s="0" t="s">
        <v>79</v>
      </c>
      <c r="C120" s="0" t="s">
        <v>72</v>
      </c>
      <c r="D120" s="0" t="s">
        <v>80</v>
      </c>
      <c r="E120" s="0" t="s">
        <v>81</v>
      </c>
      <c r="F120" s="0" t="s">
        <v>294</v>
      </c>
      <c r="G120" s="0" t="s">
        <v>216</v>
      </c>
      <c r="I120" s="0" t="s">
        <v>82</v>
      </c>
    </row>
    <row r="121" customFormat="false" ht="15" hidden="false" customHeight="false" outlineLevel="0" collapsed="false">
      <c r="A121" s="0" t="n">
        <v>120</v>
      </c>
      <c r="B121" s="0" t="s">
        <v>79</v>
      </c>
      <c r="C121" s="0" t="s">
        <v>72</v>
      </c>
      <c r="D121" s="0" t="s">
        <v>80</v>
      </c>
      <c r="E121" s="0" t="s">
        <v>81</v>
      </c>
      <c r="F121" s="0" t="s">
        <v>223</v>
      </c>
      <c r="G121" s="0" t="s">
        <v>216</v>
      </c>
      <c r="I121" s="0" t="s">
        <v>82</v>
      </c>
    </row>
    <row r="122" customFormat="false" ht="15" hidden="false" customHeight="false" outlineLevel="0" collapsed="false">
      <c r="A122" s="0" t="n">
        <v>121</v>
      </c>
      <c r="B122" s="0" t="s">
        <v>83</v>
      </c>
      <c r="C122" s="0" t="s">
        <v>72</v>
      </c>
      <c r="D122" s="0" t="s">
        <v>84</v>
      </c>
      <c r="E122" s="0" t="s">
        <v>85</v>
      </c>
      <c r="F122" s="0" t="s">
        <v>295</v>
      </c>
      <c r="G122" s="0" t="s">
        <v>216</v>
      </c>
      <c r="I122" s="0" t="s">
        <v>70</v>
      </c>
    </row>
    <row r="123" customFormat="false" ht="15" hidden="false" customHeight="false" outlineLevel="0" collapsed="false">
      <c r="A123" s="0" t="n">
        <v>122</v>
      </c>
      <c r="B123" s="0" t="s">
        <v>83</v>
      </c>
      <c r="C123" s="0" t="s">
        <v>72</v>
      </c>
      <c r="D123" s="0" t="s">
        <v>84</v>
      </c>
      <c r="E123" s="0" t="s">
        <v>85</v>
      </c>
      <c r="F123" s="0" t="s">
        <v>296</v>
      </c>
      <c r="G123" s="0" t="s">
        <v>216</v>
      </c>
      <c r="I123" s="0" t="s">
        <v>70</v>
      </c>
    </row>
    <row r="124" customFormat="false" ht="15" hidden="false" customHeight="false" outlineLevel="0" collapsed="false">
      <c r="A124" s="0" t="n">
        <v>123</v>
      </c>
      <c r="B124" s="0" t="s">
        <v>83</v>
      </c>
      <c r="C124" s="0" t="s">
        <v>72</v>
      </c>
      <c r="D124" s="0" t="s">
        <v>84</v>
      </c>
      <c r="E124" s="0" t="s">
        <v>85</v>
      </c>
      <c r="F124" s="0" t="s">
        <v>242</v>
      </c>
      <c r="G124" s="0" t="s">
        <v>216</v>
      </c>
      <c r="I124" s="0" t="s">
        <v>70</v>
      </c>
    </row>
    <row r="125" customFormat="false" ht="15" hidden="false" customHeight="false" outlineLevel="0" collapsed="false">
      <c r="A125" s="0" t="n">
        <v>124</v>
      </c>
      <c r="B125" s="0" t="s">
        <v>83</v>
      </c>
      <c r="C125" s="0" t="s">
        <v>72</v>
      </c>
      <c r="D125" s="0" t="s">
        <v>84</v>
      </c>
      <c r="E125" s="0" t="s">
        <v>85</v>
      </c>
      <c r="F125" s="0" t="s">
        <v>297</v>
      </c>
      <c r="G125" s="0" t="s">
        <v>216</v>
      </c>
      <c r="I125" s="0" t="s">
        <v>70</v>
      </c>
    </row>
    <row r="126" customFormat="false" ht="15" hidden="false" customHeight="false" outlineLevel="0" collapsed="false">
      <c r="A126" s="0" t="n">
        <v>125</v>
      </c>
      <c r="B126" s="0" t="s">
        <v>83</v>
      </c>
      <c r="C126" s="0" t="s">
        <v>72</v>
      </c>
      <c r="D126" s="0" t="s">
        <v>84</v>
      </c>
      <c r="E126" s="0" t="s">
        <v>85</v>
      </c>
      <c r="F126" s="0" t="s">
        <v>298</v>
      </c>
      <c r="G126" s="0" t="s">
        <v>216</v>
      </c>
      <c r="I126" s="0" t="s">
        <v>70</v>
      </c>
    </row>
    <row r="127" customFormat="false" ht="15" hidden="false" customHeight="false" outlineLevel="0" collapsed="false">
      <c r="A127" s="0" t="n">
        <v>126</v>
      </c>
      <c r="B127" s="0" t="s">
        <v>83</v>
      </c>
      <c r="C127" s="0" t="s">
        <v>72</v>
      </c>
      <c r="D127" s="0" t="s">
        <v>84</v>
      </c>
      <c r="E127" s="0" t="s">
        <v>85</v>
      </c>
      <c r="F127" s="0" t="s">
        <v>285</v>
      </c>
      <c r="G127" s="0" t="s">
        <v>216</v>
      </c>
      <c r="I127" s="0" t="s">
        <v>70</v>
      </c>
    </row>
    <row r="128" customFormat="false" ht="15" hidden="false" customHeight="false" outlineLevel="0" collapsed="false">
      <c r="A128" s="0" t="n">
        <v>127</v>
      </c>
      <c r="B128" s="0" t="s">
        <v>86</v>
      </c>
      <c r="C128" s="0" t="s">
        <v>72</v>
      </c>
      <c r="D128" s="0" t="s">
        <v>87</v>
      </c>
      <c r="E128" s="0" t="s">
        <v>88</v>
      </c>
      <c r="F128" s="0" t="s">
        <v>299</v>
      </c>
      <c r="G128" s="0" t="s">
        <v>216</v>
      </c>
      <c r="I128" s="0" t="s">
        <v>89</v>
      </c>
    </row>
    <row r="129" customFormat="false" ht="15" hidden="false" customHeight="false" outlineLevel="0" collapsed="false">
      <c r="A129" s="0" t="n">
        <v>128</v>
      </c>
      <c r="B129" s="0" t="s">
        <v>86</v>
      </c>
      <c r="C129" s="0" t="s">
        <v>72</v>
      </c>
      <c r="D129" s="0" t="s">
        <v>87</v>
      </c>
      <c r="E129" s="0" t="s">
        <v>88</v>
      </c>
      <c r="F129" s="0" t="s">
        <v>222</v>
      </c>
      <c r="G129" s="0" t="s">
        <v>216</v>
      </c>
      <c r="I129" s="0" t="s">
        <v>89</v>
      </c>
    </row>
    <row r="130" customFormat="false" ht="15" hidden="false" customHeight="false" outlineLevel="0" collapsed="false">
      <c r="A130" s="0" t="n">
        <v>129</v>
      </c>
      <c r="B130" s="0" t="s">
        <v>86</v>
      </c>
      <c r="C130" s="0" t="s">
        <v>72</v>
      </c>
      <c r="D130" s="0" t="s">
        <v>87</v>
      </c>
      <c r="E130" s="0" t="s">
        <v>88</v>
      </c>
      <c r="F130" s="0" t="s">
        <v>258</v>
      </c>
      <c r="G130" s="0" t="s">
        <v>216</v>
      </c>
      <c r="I130" s="0" t="s">
        <v>89</v>
      </c>
    </row>
    <row r="131" customFormat="false" ht="15" hidden="false" customHeight="false" outlineLevel="0" collapsed="false">
      <c r="A131" s="0" t="n">
        <v>130</v>
      </c>
      <c r="B131" s="0" t="s">
        <v>86</v>
      </c>
      <c r="C131" s="0" t="s">
        <v>72</v>
      </c>
      <c r="D131" s="0" t="s">
        <v>87</v>
      </c>
      <c r="E131" s="0" t="s">
        <v>88</v>
      </c>
      <c r="F131" s="0" t="s">
        <v>300</v>
      </c>
      <c r="G131" s="0" t="s">
        <v>216</v>
      </c>
      <c r="I131" s="0" t="s">
        <v>89</v>
      </c>
    </row>
    <row r="132" customFormat="false" ht="15" hidden="false" customHeight="false" outlineLevel="0" collapsed="false">
      <c r="A132" s="0" t="n">
        <v>131</v>
      </c>
      <c r="B132" s="0" t="s">
        <v>86</v>
      </c>
      <c r="C132" s="0" t="s">
        <v>72</v>
      </c>
      <c r="D132" s="0" t="s">
        <v>87</v>
      </c>
      <c r="E132" s="0" t="s">
        <v>88</v>
      </c>
      <c r="F132" s="0" t="s">
        <v>221</v>
      </c>
      <c r="G132" s="0" t="s">
        <v>216</v>
      </c>
      <c r="I132" s="0" t="s">
        <v>89</v>
      </c>
    </row>
    <row r="133" customFormat="false" ht="15" hidden="false" customHeight="false" outlineLevel="0" collapsed="false">
      <c r="A133" s="0" t="n">
        <v>132</v>
      </c>
      <c r="B133" s="0" t="s">
        <v>86</v>
      </c>
      <c r="C133" s="0" t="s">
        <v>72</v>
      </c>
      <c r="D133" s="0" t="s">
        <v>87</v>
      </c>
      <c r="E133" s="0" t="s">
        <v>88</v>
      </c>
      <c r="F133" s="0" t="s">
        <v>276</v>
      </c>
      <c r="G133" s="0" t="s">
        <v>216</v>
      </c>
      <c r="I133" s="0" t="s">
        <v>89</v>
      </c>
    </row>
    <row r="134" customFormat="false" ht="15" hidden="false" customHeight="false" outlineLevel="0" collapsed="false">
      <c r="A134" s="0" t="n">
        <v>133</v>
      </c>
      <c r="B134" s="0" t="s">
        <v>90</v>
      </c>
      <c r="C134" s="0" t="s">
        <v>91</v>
      </c>
      <c r="D134" s="0" t="s">
        <v>92</v>
      </c>
      <c r="E134" s="0" t="s">
        <v>93</v>
      </c>
      <c r="F134" s="0" t="s">
        <v>301</v>
      </c>
      <c r="G134" s="0" t="s">
        <v>216</v>
      </c>
      <c r="I134" s="0" t="s">
        <v>94</v>
      </c>
    </row>
    <row r="135" customFormat="false" ht="15" hidden="false" customHeight="false" outlineLevel="0" collapsed="false">
      <c r="A135" s="0" t="n">
        <v>134</v>
      </c>
      <c r="B135" s="0" t="s">
        <v>90</v>
      </c>
      <c r="C135" s="0" t="s">
        <v>91</v>
      </c>
      <c r="D135" s="0" t="s">
        <v>92</v>
      </c>
      <c r="E135" s="0" t="s">
        <v>93</v>
      </c>
      <c r="F135" s="0" t="s">
        <v>302</v>
      </c>
      <c r="G135" s="0" t="s">
        <v>216</v>
      </c>
      <c r="I135" s="0" t="s">
        <v>94</v>
      </c>
    </row>
    <row r="136" customFormat="false" ht="15" hidden="false" customHeight="false" outlineLevel="0" collapsed="false">
      <c r="A136" s="0" t="n">
        <v>135</v>
      </c>
      <c r="B136" s="0" t="s">
        <v>90</v>
      </c>
      <c r="C136" s="0" t="s">
        <v>91</v>
      </c>
      <c r="D136" s="0" t="s">
        <v>92</v>
      </c>
      <c r="E136" s="0" t="s">
        <v>93</v>
      </c>
      <c r="F136" s="0" t="s">
        <v>303</v>
      </c>
      <c r="G136" s="0" t="s">
        <v>216</v>
      </c>
      <c r="I136" s="0" t="s">
        <v>94</v>
      </c>
    </row>
    <row r="137" customFormat="false" ht="15" hidden="false" customHeight="false" outlineLevel="0" collapsed="false">
      <c r="A137" s="0" t="n">
        <v>136</v>
      </c>
      <c r="B137" s="0" t="s">
        <v>90</v>
      </c>
      <c r="C137" s="0" t="s">
        <v>91</v>
      </c>
      <c r="D137" s="0" t="s">
        <v>92</v>
      </c>
      <c r="E137" s="0" t="s">
        <v>93</v>
      </c>
      <c r="F137" s="0" t="s">
        <v>304</v>
      </c>
      <c r="G137" s="0" t="s">
        <v>216</v>
      </c>
      <c r="I137" s="0" t="s">
        <v>94</v>
      </c>
    </row>
    <row r="138" customFormat="false" ht="15" hidden="false" customHeight="false" outlineLevel="0" collapsed="false">
      <c r="A138" s="0" t="n">
        <v>137</v>
      </c>
      <c r="B138" s="0" t="s">
        <v>90</v>
      </c>
      <c r="C138" s="0" t="s">
        <v>91</v>
      </c>
      <c r="D138" s="0" t="s">
        <v>92</v>
      </c>
      <c r="E138" s="0" t="s">
        <v>93</v>
      </c>
      <c r="F138" s="0" t="s">
        <v>305</v>
      </c>
      <c r="G138" s="0" t="s">
        <v>216</v>
      </c>
      <c r="I138" s="0" t="s">
        <v>94</v>
      </c>
    </row>
    <row r="139" customFormat="false" ht="15" hidden="false" customHeight="false" outlineLevel="0" collapsed="false">
      <c r="A139" s="0" t="n">
        <v>138</v>
      </c>
      <c r="B139" s="0" t="s">
        <v>95</v>
      </c>
      <c r="C139" s="0" t="s">
        <v>91</v>
      </c>
      <c r="D139" s="0" t="s">
        <v>96</v>
      </c>
      <c r="E139" s="0" t="s">
        <v>97</v>
      </c>
      <c r="F139" s="0" t="s">
        <v>306</v>
      </c>
      <c r="G139" s="0" t="s">
        <v>216</v>
      </c>
      <c r="I139" s="0" t="s">
        <v>98</v>
      </c>
    </row>
    <row r="140" customFormat="false" ht="15" hidden="false" customHeight="false" outlineLevel="0" collapsed="false">
      <c r="A140" s="0" t="n">
        <v>139</v>
      </c>
      <c r="B140" s="0" t="s">
        <v>95</v>
      </c>
      <c r="C140" s="0" t="s">
        <v>91</v>
      </c>
      <c r="D140" s="0" t="s">
        <v>96</v>
      </c>
      <c r="E140" s="0" t="s">
        <v>97</v>
      </c>
      <c r="F140" s="0" t="s">
        <v>307</v>
      </c>
      <c r="G140" s="0" t="s">
        <v>216</v>
      </c>
      <c r="I140" s="0" t="s">
        <v>98</v>
      </c>
    </row>
    <row r="141" customFormat="false" ht="15" hidden="false" customHeight="false" outlineLevel="0" collapsed="false">
      <c r="A141" s="0" t="n">
        <v>140</v>
      </c>
      <c r="B141" s="0" t="s">
        <v>95</v>
      </c>
      <c r="C141" s="0" t="s">
        <v>91</v>
      </c>
      <c r="D141" s="0" t="s">
        <v>96</v>
      </c>
      <c r="E141" s="0" t="s">
        <v>97</v>
      </c>
      <c r="F141" s="0" t="s">
        <v>308</v>
      </c>
      <c r="G141" s="0" t="s">
        <v>216</v>
      </c>
      <c r="I141" s="0" t="s">
        <v>98</v>
      </c>
    </row>
    <row r="142" customFormat="false" ht="15" hidden="false" customHeight="false" outlineLevel="0" collapsed="false">
      <c r="A142" s="0" t="n">
        <v>141</v>
      </c>
      <c r="B142" s="0" t="s">
        <v>95</v>
      </c>
      <c r="C142" s="0" t="s">
        <v>91</v>
      </c>
      <c r="D142" s="0" t="s">
        <v>96</v>
      </c>
      <c r="E142" s="0" t="s">
        <v>97</v>
      </c>
      <c r="F142" s="0" t="s">
        <v>309</v>
      </c>
      <c r="G142" s="0" t="s">
        <v>216</v>
      </c>
      <c r="I142" s="0" t="s">
        <v>98</v>
      </c>
    </row>
    <row r="143" customFormat="false" ht="15" hidden="false" customHeight="false" outlineLevel="0" collapsed="false">
      <c r="A143" s="0" t="n">
        <v>142</v>
      </c>
      <c r="B143" s="0" t="s">
        <v>95</v>
      </c>
      <c r="C143" s="0" t="s">
        <v>91</v>
      </c>
      <c r="D143" s="0" t="s">
        <v>96</v>
      </c>
      <c r="E143" s="0" t="s">
        <v>97</v>
      </c>
      <c r="F143" s="0" t="s">
        <v>310</v>
      </c>
      <c r="G143" s="0" t="s">
        <v>216</v>
      </c>
      <c r="I143" s="0" t="s">
        <v>98</v>
      </c>
    </row>
    <row r="144" customFormat="false" ht="15" hidden="false" customHeight="false" outlineLevel="0" collapsed="false">
      <c r="A144" s="0" t="n">
        <v>143</v>
      </c>
      <c r="B144" s="0" t="s">
        <v>95</v>
      </c>
      <c r="C144" s="0" t="s">
        <v>91</v>
      </c>
      <c r="D144" s="0" t="s">
        <v>96</v>
      </c>
      <c r="E144" s="0" t="s">
        <v>97</v>
      </c>
      <c r="F144" s="0" t="s">
        <v>311</v>
      </c>
      <c r="G144" s="0" t="s">
        <v>312</v>
      </c>
      <c r="I144" s="0" t="s">
        <v>98</v>
      </c>
    </row>
    <row r="145" customFormat="false" ht="15" hidden="false" customHeight="false" outlineLevel="0" collapsed="false">
      <c r="A145" s="0" t="n">
        <v>144</v>
      </c>
      <c r="B145" s="0" t="s">
        <v>99</v>
      </c>
      <c r="C145" s="0" t="s">
        <v>100</v>
      </c>
      <c r="D145" s="0" t="s">
        <v>101</v>
      </c>
      <c r="E145" s="0" t="s">
        <v>102</v>
      </c>
      <c r="F145" s="0" t="s">
        <v>306</v>
      </c>
      <c r="G145" s="0" t="s">
        <v>216</v>
      </c>
      <c r="I145" s="0" t="s">
        <v>70</v>
      </c>
    </row>
    <row r="146" customFormat="false" ht="15" hidden="false" customHeight="false" outlineLevel="0" collapsed="false">
      <c r="A146" s="0" t="n">
        <v>145</v>
      </c>
      <c r="B146" s="0" t="s">
        <v>99</v>
      </c>
      <c r="C146" s="0" t="s">
        <v>100</v>
      </c>
      <c r="D146" s="0" t="s">
        <v>101</v>
      </c>
      <c r="E146" s="0" t="s">
        <v>102</v>
      </c>
      <c r="F146" s="0" t="s">
        <v>307</v>
      </c>
      <c r="G146" s="0" t="s">
        <v>216</v>
      </c>
      <c r="I146" s="0" t="s">
        <v>70</v>
      </c>
    </row>
    <row r="147" customFormat="false" ht="15" hidden="false" customHeight="false" outlineLevel="0" collapsed="false">
      <c r="A147" s="0" t="n">
        <v>146</v>
      </c>
      <c r="B147" s="0" t="s">
        <v>99</v>
      </c>
      <c r="C147" s="0" t="s">
        <v>100</v>
      </c>
      <c r="D147" s="0" t="s">
        <v>101</v>
      </c>
      <c r="E147" s="0" t="s">
        <v>102</v>
      </c>
      <c r="F147" s="0" t="s">
        <v>308</v>
      </c>
      <c r="G147" s="0" t="s">
        <v>216</v>
      </c>
      <c r="I147" s="0" t="s">
        <v>70</v>
      </c>
    </row>
    <row r="148" customFormat="false" ht="15" hidden="false" customHeight="false" outlineLevel="0" collapsed="false">
      <c r="A148" s="0" t="n">
        <v>147</v>
      </c>
      <c r="B148" s="0" t="s">
        <v>99</v>
      </c>
      <c r="C148" s="0" t="s">
        <v>100</v>
      </c>
      <c r="D148" s="0" t="s">
        <v>101</v>
      </c>
      <c r="E148" s="0" t="s">
        <v>102</v>
      </c>
      <c r="F148" s="0" t="s">
        <v>313</v>
      </c>
      <c r="G148" s="0" t="s">
        <v>216</v>
      </c>
      <c r="I148" s="0" t="s">
        <v>70</v>
      </c>
    </row>
    <row r="149" customFormat="false" ht="15" hidden="false" customHeight="false" outlineLevel="0" collapsed="false">
      <c r="A149" s="0" t="n">
        <v>148</v>
      </c>
      <c r="B149" s="0" t="s">
        <v>99</v>
      </c>
      <c r="C149" s="0" t="s">
        <v>100</v>
      </c>
      <c r="D149" s="0" t="s">
        <v>101</v>
      </c>
      <c r="E149" s="0" t="s">
        <v>102</v>
      </c>
      <c r="F149" s="0" t="s">
        <v>314</v>
      </c>
      <c r="G149" s="0" t="s">
        <v>315</v>
      </c>
      <c r="I149" s="0" t="s">
        <v>70</v>
      </c>
    </row>
    <row r="150" customFormat="false" ht="15" hidden="false" customHeight="false" outlineLevel="0" collapsed="false">
      <c r="A150" s="0" t="n">
        <v>149</v>
      </c>
      <c r="B150" s="0" t="s">
        <v>103</v>
      </c>
      <c r="C150" s="0" t="s">
        <v>100</v>
      </c>
      <c r="D150" s="0" t="s">
        <v>104</v>
      </c>
      <c r="E150" s="0" t="s">
        <v>105</v>
      </c>
      <c r="F150" s="0" t="s">
        <v>316</v>
      </c>
      <c r="G150" s="0" t="s">
        <v>317</v>
      </c>
      <c r="I150" s="0" t="s">
        <v>107</v>
      </c>
    </row>
    <row r="151" customFormat="false" ht="15" hidden="false" customHeight="false" outlineLevel="0" collapsed="false">
      <c r="A151" s="0" t="n">
        <v>150</v>
      </c>
      <c r="B151" s="0" t="s">
        <v>103</v>
      </c>
      <c r="C151" s="0" t="s">
        <v>100</v>
      </c>
      <c r="D151" s="0" t="s">
        <v>104</v>
      </c>
      <c r="E151" s="0" t="s">
        <v>105</v>
      </c>
      <c r="F151" s="0" t="s">
        <v>318</v>
      </c>
      <c r="G151" s="0" t="s">
        <v>319</v>
      </c>
      <c r="I151" s="0" t="s">
        <v>107</v>
      </c>
    </row>
    <row r="152" customFormat="false" ht="15" hidden="false" customHeight="false" outlineLevel="0" collapsed="false">
      <c r="A152" s="0" t="n">
        <v>151</v>
      </c>
      <c r="B152" s="0" t="s">
        <v>103</v>
      </c>
      <c r="C152" s="0" t="s">
        <v>100</v>
      </c>
      <c r="D152" s="0" t="s">
        <v>104</v>
      </c>
      <c r="E152" s="0" t="s">
        <v>105</v>
      </c>
      <c r="F152" s="0" t="s">
        <v>320</v>
      </c>
      <c r="G152" s="0" t="s">
        <v>321</v>
      </c>
      <c r="I152" s="0" t="s">
        <v>107</v>
      </c>
    </row>
    <row r="153" customFormat="false" ht="15" hidden="false" customHeight="false" outlineLevel="0" collapsed="false">
      <c r="A153" s="0" t="n">
        <v>152</v>
      </c>
      <c r="B153" s="0" t="s">
        <v>103</v>
      </c>
      <c r="C153" s="0" t="s">
        <v>100</v>
      </c>
      <c r="D153" s="0" t="s">
        <v>104</v>
      </c>
      <c r="E153" s="0" t="s">
        <v>105</v>
      </c>
      <c r="F153" s="0" t="s">
        <v>322</v>
      </c>
      <c r="G153" s="0" t="s">
        <v>323</v>
      </c>
      <c r="I153" s="0" t="s">
        <v>107</v>
      </c>
    </row>
    <row r="154" customFormat="false" ht="15" hidden="false" customHeight="false" outlineLevel="0" collapsed="false">
      <c r="A154" s="0" t="n">
        <v>153</v>
      </c>
      <c r="B154" s="0" t="s">
        <v>103</v>
      </c>
      <c r="C154" s="0" t="s">
        <v>100</v>
      </c>
      <c r="D154" s="0" t="s">
        <v>104</v>
      </c>
      <c r="E154" s="0" t="s">
        <v>105</v>
      </c>
      <c r="F154" s="0" t="s">
        <v>236</v>
      </c>
      <c r="G154" s="0" t="s">
        <v>324</v>
      </c>
      <c r="I154" s="0" t="s">
        <v>107</v>
      </c>
    </row>
    <row r="155" customFormat="false" ht="15" hidden="false" customHeight="false" outlineLevel="0" collapsed="false">
      <c r="A155" s="0" t="n">
        <v>154</v>
      </c>
      <c r="B155" s="0" t="s">
        <v>103</v>
      </c>
      <c r="C155" s="0" t="s">
        <v>100</v>
      </c>
      <c r="D155" s="0" t="s">
        <v>104</v>
      </c>
      <c r="E155" s="0" t="s">
        <v>105</v>
      </c>
      <c r="F155" s="0" t="s">
        <v>233</v>
      </c>
      <c r="G155" s="0" t="s">
        <v>325</v>
      </c>
      <c r="I155" s="0" t="s">
        <v>107</v>
      </c>
    </row>
    <row r="156" customFormat="false" ht="15" hidden="false" customHeight="false" outlineLevel="0" collapsed="false">
      <c r="A156" s="0" t="n">
        <v>155</v>
      </c>
      <c r="B156" s="0" t="s">
        <v>103</v>
      </c>
      <c r="C156" s="0" t="s">
        <v>100</v>
      </c>
      <c r="D156" s="0" t="s">
        <v>104</v>
      </c>
      <c r="E156" s="0" t="s">
        <v>105</v>
      </c>
      <c r="F156" s="0" t="s">
        <v>326</v>
      </c>
      <c r="G156" s="0" t="s">
        <v>327</v>
      </c>
      <c r="I156" s="0" t="s">
        <v>107</v>
      </c>
    </row>
    <row r="157" customFormat="false" ht="15" hidden="false" customHeight="false" outlineLevel="0" collapsed="false">
      <c r="A157" s="0" t="n">
        <v>156</v>
      </c>
      <c r="B157" s="0" t="s">
        <v>103</v>
      </c>
      <c r="C157" s="0" t="s">
        <v>100</v>
      </c>
      <c r="D157" s="0" t="s">
        <v>104</v>
      </c>
      <c r="E157" s="0" t="s">
        <v>105</v>
      </c>
      <c r="F157" s="0" t="s">
        <v>328</v>
      </c>
      <c r="G157" s="0" t="s">
        <v>329</v>
      </c>
      <c r="I157" s="0" t="s">
        <v>107</v>
      </c>
    </row>
    <row r="158" customFormat="false" ht="15" hidden="false" customHeight="false" outlineLevel="0" collapsed="false">
      <c r="A158" s="0" t="n">
        <v>157</v>
      </c>
      <c r="B158" s="0" t="s">
        <v>103</v>
      </c>
      <c r="C158" s="0" t="s">
        <v>100</v>
      </c>
      <c r="D158" s="0" t="s">
        <v>104</v>
      </c>
      <c r="E158" s="0" t="s">
        <v>105</v>
      </c>
      <c r="F158" s="0" t="s">
        <v>330</v>
      </c>
      <c r="G158" s="0" t="s">
        <v>331</v>
      </c>
      <c r="I158" s="0" t="s">
        <v>107</v>
      </c>
    </row>
    <row r="159" customFormat="false" ht="15" hidden="false" customHeight="false" outlineLevel="0" collapsed="false">
      <c r="A159" s="0" t="n">
        <v>158</v>
      </c>
      <c r="B159" s="0" t="s">
        <v>103</v>
      </c>
      <c r="C159" s="0" t="s">
        <v>100</v>
      </c>
      <c r="D159" s="0" t="s">
        <v>104</v>
      </c>
      <c r="E159" s="0" t="s">
        <v>105</v>
      </c>
      <c r="F159" s="0" t="s">
        <v>229</v>
      </c>
      <c r="G159" s="0" t="s">
        <v>332</v>
      </c>
      <c r="I159" s="0" t="s">
        <v>107</v>
      </c>
    </row>
    <row r="160" customFormat="false" ht="15" hidden="false" customHeight="false" outlineLevel="0" collapsed="false">
      <c r="A160" s="0" t="n">
        <v>159</v>
      </c>
      <c r="B160" s="0" t="s">
        <v>108</v>
      </c>
      <c r="C160" s="0" t="s">
        <v>100</v>
      </c>
      <c r="D160" s="0" t="s">
        <v>109</v>
      </c>
      <c r="E160" s="0" t="s">
        <v>110</v>
      </c>
      <c r="F160" s="0" t="s">
        <v>278</v>
      </c>
      <c r="G160" s="0" t="s">
        <v>333</v>
      </c>
      <c r="I160" s="0" t="s">
        <v>111</v>
      </c>
    </row>
    <row r="161" customFormat="false" ht="15" hidden="false" customHeight="false" outlineLevel="0" collapsed="false">
      <c r="A161" s="0" t="n">
        <v>160</v>
      </c>
      <c r="B161" s="0" t="s">
        <v>108</v>
      </c>
      <c r="C161" s="0" t="s">
        <v>100</v>
      </c>
      <c r="D161" s="0" t="s">
        <v>109</v>
      </c>
      <c r="E161" s="0" t="s">
        <v>110</v>
      </c>
      <c r="F161" s="0" t="s">
        <v>334</v>
      </c>
      <c r="G161" s="0" t="s">
        <v>333</v>
      </c>
      <c r="I161" s="0" t="s">
        <v>111</v>
      </c>
    </row>
    <row r="162" customFormat="false" ht="15" hidden="false" customHeight="false" outlineLevel="0" collapsed="false">
      <c r="A162" s="0" t="n">
        <v>161</v>
      </c>
      <c r="B162" s="0" t="s">
        <v>108</v>
      </c>
      <c r="C162" s="0" t="s">
        <v>100</v>
      </c>
      <c r="D162" s="0" t="s">
        <v>109</v>
      </c>
      <c r="E162" s="0" t="s">
        <v>110</v>
      </c>
      <c r="F162" s="0" t="s">
        <v>240</v>
      </c>
      <c r="G162" s="0" t="s">
        <v>333</v>
      </c>
      <c r="I162" s="0" t="s">
        <v>111</v>
      </c>
    </row>
    <row r="163" customFormat="false" ht="15" hidden="false" customHeight="false" outlineLevel="0" collapsed="false">
      <c r="A163" s="0" t="n">
        <v>162</v>
      </c>
      <c r="B163" s="0" t="s">
        <v>108</v>
      </c>
      <c r="C163" s="0" t="s">
        <v>100</v>
      </c>
      <c r="D163" s="0" t="s">
        <v>109</v>
      </c>
      <c r="E163" s="0" t="s">
        <v>110</v>
      </c>
      <c r="F163" s="0" t="s">
        <v>223</v>
      </c>
      <c r="G163" s="0" t="s">
        <v>333</v>
      </c>
      <c r="I163" s="0" t="s">
        <v>111</v>
      </c>
    </row>
    <row r="164" customFormat="false" ht="15" hidden="false" customHeight="false" outlineLevel="0" collapsed="false">
      <c r="A164" s="0" t="n">
        <v>163</v>
      </c>
      <c r="B164" s="0" t="s">
        <v>108</v>
      </c>
      <c r="C164" s="0" t="s">
        <v>100</v>
      </c>
      <c r="D164" s="0" t="s">
        <v>109</v>
      </c>
      <c r="E164" s="0" t="s">
        <v>110</v>
      </c>
      <c r="F164" s="0" t="s">
        <v>222</v>
      </c>
      <c r="G164" s="0" t="s">
        <v>333</v>
      </c>
      <c r="I164" s="0" t="s">
        <v>111</v>
      </c>
    </row>
    <row r="165" customFormat="false" ht="15" hidden="false" customHeight="false" outlineLevel="0" collapsed="false">
      <c r="A165" s="0" t="n">
        <v>164</v>
      </c>
      <c r="B165" s="0" t="s">
        <v>108</v>
      </c>
      <c r="C165" s="0" t="s">
        <v>100</v>
      </c>
      <c r="D165" s="0" t="s">
        <v>109</v>
      </c>
      <c r="E165" s="0" t="s">
        <v>110</v>
      </c>
      <c r="F165" s="0" t="s">
        <v>335</v>
      </c>
      <c r="G165" s="0" t="s">
        <v>333</v>
      </c>
      <c r="I165" s="0" t="s">
        <v>111</v>
      </c>
    </row>
    <row r="166" customFormat="false" ht="15" hidden="false" customHeight="false" outlineLevel="0" collapsed="false">
      <c r="A166" s="0" t="n">
        <v>165</v>
      </c>
      <c r="B166" s="0" t="s">
        <v>108</v>
      </c>
      <c r="C166" s="0" t="s">
        <v>100</v>
      </c>
      <c r="D166" s="0" t="s">
        <v>109</v>
      </c>
      <c r="E166" s="0" t="s">
        <v>110</v>
      </c>
      <c r="F166" s="0" t="s">
        <v>226</v>
      </c>
      <c r="G166" s="0" t="s">
        <v>333</v>
      </c>
      <c r="I166" s="0" t="s">
        <v>111</v>
      </c>
    </row>
    <row r="167" customFormat="false" ht="15" hidden="false" customHeight="false" outlineLevel="0" collapsed="false">
      <c r="A167" s="0" t="n">
        <v>166</v>
      </c>
      <c r="B167" s="0" t="s">
        <v>108</v>
      </c>
      <c r="C167" s="0" t="s">
        <v>100</v>
      </c>
      <c r="D167" s="0" t="s">
        <v>109</v>
      </c>
      <c r="E167" s="0" t="s">
        <v>110</v>
      </c>
      <c r="F167" s="0" t="s">
        <v>336</v>
      </c>
      <c r="G167" s="0" t="s">
        <v>333</v>
      </c>
      <c r="I167" s="0" t="s">
        <v>111</v>
      </c>
    </row>
    <row r="168" customFormat="false" ht="15" hidden="false" customHeight="false" outlineLevel="0" collapsed="false">
      <c r="A168" s="0" t="n">
        <v>167</v>
      </c>
      <c r="B168" s="0" t="s">
        <v>112</v>
      </c>
      <c r="C168" s="0" t="s">
        <v>100</v>
      </c>
      <c r="D168" s="0" t="s">
        <v>113</v>
      </c>
      <c r="E168" s="0" t="s">
        <v>114</v>
      </c>
      <c r="F168" s="0" t="s">
        <v>236</v>
      </c>
      <c r="G168" s="0" t="s">
        <v>216</v>
      </c>
      <c r="I168" s="0" t="s">
        <v>115</v>
      </c>
    </row>
    <row r="169" customFormat="false" ht="15" hidden="false" customHeight="false" outlineLevel="0" collapsed="false">
      <c r="A169" s="0" t="n">
        <v>168</v>
      </c>
      <c r="B169" s="0" t="s">
        <v>112</v>
      </c>
      <c r="C169" s="0" t="s">
        <v>100</v>
      </c>
      <c r="D169" s="0" t="s">
        <v>113</v>
      </c>
      <c r="E169" s="0" t="s">
        <v>114</v>
      </c>
      <c r="F169" s="0" t="s">
        <v>267</v>
      </c>
      <c r="G169" s="0" t="s">
        <v>216</v>
      </c>
      <c r="I169" s="0" t="s">
        <v>115</v>
      </c>
    </row>
    <row r="170" customFormat="false" ht="15" hidden="false" customHeight="false" outlineLevel="0" collapsed="false">
      <c r="A170" s="0" t="n">
        <v>169</v>
      </c>
      <c r="B170" s="0" t="s">
        <v>112</v>
      </c>
      <c r="C170" s="0" t="s">
        <v>100</v>
      </c>
      <c r="D170" s="0" t="s">
        <v>113</v>
      </c>
      <c r="E170" s="0" t="s">
        <v>114</v>
      </c>
      <c r="F170" s="0" t="s">
        <v>306</v>
      </c>
      <c r="G170" s="0" t="s">
        <v>216</v>
      </c>
      <c r="I170" s="0" t="s">
        <v>115</v>
      </c>
    </row>
    <row r="171" customFormat="false" ht="15" hidden="false" customHeight="false" outlineLevel="0" collapsed="false">
      <c r="A171" s="0" t="n">
        <v>170</v>
      </c>
      <c r="B171" s="0" t="s">
        <v>112</v>
      </c>
      <c r="C171" s="0" t="s">
        <v>100</v>
      </c>
      <c r="D171" s="0" t="s">
        <v>113</v>
      </c>
      <c r="E171" s="0" t="s">
        <v>114</v>
      </c>
      <c r="F171" s="0" t="s">
        <v>337</v>
      </c>
      <c r="G171" s="0" t="s">
        <v>216</v>
      </c>
      <c r="I171" s="0" t="s">
        <v>115</v>
      </c>
    </row>
    <row r="172" customFormat="false" ht="15" hidden="false" customHeight="false" outlineLevel="0" collapsed="false">
      <c r="A172" s="0" t="n">
        <v>171</v>
      </c>
      <c r="B172" s="0" t="s">
        <v>112</v>
      </c>
      <c r="C172" s="0" t="s">
        <v>100</v>
      </c>
      <c r="D172" s="0" t="s">
        <v>113</v>
      </c>
      <c r="E172" s="0" t="s">
        <v>114</v>
      </c>
      <c r="F172" s="0" t="s">
        <v>221</v>
      </c>
      <c r="G172" s="0" t="s">
        <v>216</v>
      </c>
      <c r="I172" s="0" t="s">
        <v>115</v>
      </c>
    </row>
    <row r="173" customFormat="false" ht="15" hidden="false" customHeight="false" outlineLevel="0" collapsed="false">
      <c r="A173" s="0" t="n">
        <v>172</v>
      </c>
      <c r="B173" s="0" t="s">
        <v>116</v>
      </c>
      <c r="C173" s="0" t="s">
        <v>100</v>
      </c>
      <c r="D173" s="0" t="s">
        <v>117</v>
      </c>
      <c r="E173" s="0" t="s">
        <v>118</v>
      </c>
      <c r="F173" s="0" t="s">
        <v>338</v>
      </c>
      <c r="G173" s="0" t="s">
        <v>216</v>
      </c>
      <c r="I173" s="0" t="s">
        <v>119</v>
      </c>
    </row>
    <row r="174" customFormat="false" ht="15" hidden="false" customHeight="false" outlineLevel="0" collapsed="false">
      <c r="A174" s="0" t="n">
        <v>173</v>
      </c>
      <c r="B174" s="0" t="s">
        <v>116</v>
      </c>
      <c r="C174" s="0" t="s">
        <v>100</v>
      </c>
      <c r="D174" s="0" t="s">
        <v>117</v>
      </c>
      <c r="E174" s="0" t="s">
        <v>118</v>
      </c>
      <c r="F174" s="0" t="s">
        <v>223</v>
      </c>
      <c r="G174" s="0" t="s">
        <v>216</v>
      </c>
      <c r="I174" s="0" t="s">
        <v>119</v>
      </c>
    </row>
    <row r="175" customFormat="false" ht="15" hidden="false" customHeight="false" outlineLevel="0" collapsed="false">
      <c r="A175" s="0" t="n">
        <v>174</v>
      </c>
      <c r="B175" s="0" t="s">
        <v>116</v>
      </c>
      <c r="C175" s="0" t="s">
        <v>100</v>
      </c>
      <c r="D175" s="0" t="s">
        <v>117</v>
      </c>
      <c r="E175" s="0" t="s">
        <v>118</v>
      </c>
      <c r="F175" s="0" t="s">
        <v>339</v>
      </c>
      <c r="G175" s="0" t="s">
        <v>216</v>
      </c>
      <c r="I175" s="0" t="s">
        <v>119</v>
      </c>
    </row>
    <row r="176" customFormat="false" ht="15" hidden="false" customHeight="false" outlineLevel="0" collapsed="false">
      <c r="A176" s="0" t="n">
        <v>175</v>
      </c>
      <c r="B176" s="0" t="s">
        <v>120</v>
      </c>
      <c r="C176" s="0" t="s">
        <v>121</v>
      </c>
      <c r="D176" s="0" t="s">
        <v>122</v>
      </c>
      <c r="E176" s="0" t="s">
        <v>123</v>
      </c>
      <c r="F176" s="0" t="s">
        <v>340</v>
      </c>
      <c r="G176" s="0" t="s">
        <v>216</v>
      </c>
      <c r="I176" s="0" t="s">
        <v>124</v>
      </c>
    </row>
    <row r="177" customFormat="false" ht="15" hidden="false" customHeight="false" outlineLevel="0" collapsed="false">
      <c r="A177" s="0" t="n">
        <v>176</v>
      </c>
      <c r="B177" s="0" t="s">
        <v>120</v>
      </c>
      <c r="C177" s="0" t="s">
        <v>121</v>
      </c>
      <c r="D177" s="0" t="s">
        <v>122</v>
      </c>
      <c r="E177" s="0" t="s">
        <v>123</v>
      </c>
      <c r="F177" s="0" t="s">
        <v>341</v>
      </c>
      <c r="G177" s="0" t="s">
        <v>216</v>
      </c>
      <c r="I177" s="0" t="s">
        <v>124</v>
      </c>
    </row>
    <row r="178" customFormat="false" ht="15" hidden="false" customHeight="false" outlineLevel="0" collapsed="false">
      <c r="A178" s="0" t="n">
        <v>177</v>
      </c>
      <c r="B178" s="0" t="s">
        <v>125</v>
      </c>
      <c r="C178" s="0" t="s">
        <v>121</v>
      </c>
      <c r="D178" s="0" t="s">
        <v>126</v>
      </c>
      <c r="E178" s="0" t="s">
        <v>127</v>
      </c>
      <c r="F178" s="0" t="s">
        <v>342</v>
      </c>
      <c r="G178" s="0" t="s">
        <v>216</v>
      </c>
      <c r="I178" s="0" t="s">
        <v>70</v>
      </c>
    </row>
    <row r="179" customFormat="false" ht="15" hidden="false" customHeight="false" outlineLevel="0" collapsed="false">
      <c r="A179" s="0" t="n">
        <v>178</v>
      </c>
      <c r="B179" s="0" t="s">
        <v>125</v>
      </c>
      <c r="C179" s="0" t="s">
        <v>121</v>
      </c>
      <c r="D179" s="0" t="s">
        <v>126</v>
      </c>
      <c r="E179" s="0" t="s">
        <v>127</v>
      </c>
      <c r="F179" s="0" t="s">
        <v>343</v>
      </c>
      <c r="G179" s="0" t="s">
        <v>216</v>
      </c>
      <c r="I179" s="0" t="s">
        <v>70</v>
      </c>
    </row>
    <row r="180" customFormat="false" ht="15" hidden="false" customHeight="false" outlineLevel="0" collapsed="false">
      <c r="A180" s="0" t="n">
        <v>179</v>
      </c>
      <c r="B180" s="0" t="s">
        <v>125</v>
      </c>
      <c r="C180" s="0" t="s">
        <v>121</v>
      </c>
      <c r="D180" s="0" t="s">
        <v>126</v>
      </c>
      <c r="E180" s="0" t="s">
        <v>127</v>
      </c>
      <c r="F180" s="0" t="s">
        <v>344</v>
      </c>
      <c r="G180" s="0" t="s">
        <v>345</v>
      </c>
      <c r="I180" s="0" t="s">
        <v>70</v>
      </c>
    </row>
    <row r="181" customFormat="false" ht="15" hidden="false" customHeight="false" outlineLevel="0" collapsed="false">
      <c r="A181" s="0" t="n">
        <v>180</v>
      </c>
      <c r="B181" s="0" t="s">
        <v>125</v>
      </c>
      <c r="C181" s="0" t="s">
        <v>121</v>
      </c>
      <c r="D181" s="0" t="s">
        <v>126</v>
      </c>
      <c r="E181" s="0" t="s">
        <v>127</v>
      </c>
      <c r="F181" s="0" t="s">
        <v>346</v>
      </c>
      <c r="G181" s="0" t="s">
        <v>216</v>
      </c>
      <c r="I181" s="0" t="s">
        <v>70</v>
      </c>
    </row>
    <row r="182" customFormat="false" ht="15" hidden="false" customHeight="false" outlineLevel="0" collapsed="false">
      <c r="A182" s="0" t="n">
        <v>181</v>
      </c>
      <c r="B182" s="0" t="s">
        <v>125</v>
      </c>
      <c r="C182" s="0" t="s">
        <v>121</v>
      </c>
      <c r="D182" s="0" t="s">
        <v>126</v>
      </c>
      <c r="E182" s="0" t="s">
        <v>127</v>
      </c>
      <c r="F182" s="0" t="s">
        <v>236</v>
      </c>
      <c r="G182" s="0" t="s">
        <v>216</v>
      </c>
      <c r="I182" s="0" t="s">
        <v>70</v>
      </c>
    </row>
    <row r="183" customFormat="false" ht="15" hidden="false" customHeight="false" outlineLevel="0" collapsed="false">
      <c r="A183" s="0" t="n">
        <v>182</v>
      </c>
      <c r="B183" s="0" t="s">
        <v>125</v>
      </c>
      <c r="C183" s="0" t="s">
        <v>121</v>
      </c>
      <c r="D183" s="0" t="s">
        <v>126</v>
      </c>
      <c r="E183" s="0" t="s">
        <v>127</v>
      </c>
      <c r="F183" s="0" t="s">
        <v>347</v>
      </c>
      <c r="G183" s="0" t="s">
        <v>216</v>
      </c>
      <c r="I183" s="0" t="s">
        <v>70</v>
      </c>
    </row>
    <row r="184" customFormat="false" ht="15" hidden="false" customHeight="false" outlineLevel="0" collapsed="false">
      <c r="A184" s="0" t="n">
        <v>183</v>
      </c>
      <c r="B184" s="0" t="s">
        <v>125</v>
      </c>
      <c r="C184" s="0" t="s">
        <v>121</v>
      </c>
      <c r="D184" s="0" t="s">
        <v>126</v>
      </c>
      <c r="E184" s="0" t="s">
        <v>127</v>
      </c>
      <c r="F184" s="0" t="s">
        <v>242</v>
      </c>
      <c r="G184" s="0" t="s">
        <v>216</v>
      </c>
      <c r="I184" s="0" t="s">
        <v>70</v>
      </c>
    </row>
    <row r="185" customFormat="false" ht="15" hidden="false" customHeight="false" outlineLevel="0" collapsed="false">
      <c r="A185" s="0" t="n">
        <v>184</v>
      </c>
      <c r="B185" s="0" t="s">
        <v>125</v>
      </c>
      <c r="C185" s="0" t="s">
        <v>121</v>
      </c>
      <c r="D185" s="0" t="s">
        <v>126</v>
      </c>
      <c r="E185" s="0" t="s">
        <v>127</v>
      </c>
      <c r="F185" s="0" t="s">
        <v>348</v>
      </c>
      <c r="G185" s="0" t="s">
        <v>216</v>
      </c>
      <c r="I185" s="0" t="s">
        <v>70</v>
      </c>
    </row>
    <row r="186" customFormat="false" ht="15" hidden="false" customHeight="false" outlineLevel="0" collapsed="false">
      <c r="A186" s="0" t="n">
        <v>185</v>
      </c>
      <c r="B186" s="0" t="s">
        <v>128</v>
      </c>
      <c r="C186" s="0" t="s">
        <v>121</v>
      </c>
      <c r="D186" s="0" t="s">
        <v>129</v>
      </c>
      <c r="E186" s="0" t="s">
        <v>130</v>
      </c>
      <c r="F186" s="0" t="s">
        <v>349</v>
      </c>
      <c r="G186" s="0" t="s">
        <v>350</v>
      </c>
      <c r="I186" s="0" t="s">
        <v>131</v>
      </c>
    </row>
    <row r="187" customFormat="false" ht="15" hidden="false" customHeight="false" outlineLevel="0" collapsed="false">
      <c r="A187" s="0" t="n">
        <v>186</v>
      </c>
      <c r="B187" s="0" t="s">
        <v>128</v>
      </c>
      <c r="C187" s="0" t="s">
        <v>121</v>
      </c>
      <c r="D187" s="0" t="s">
        <v>129</v>
      </c>
      <c r="E187" s="0" t="s">
        <v>130</v>
      </c>
      <c r="F187" s="0" t="s">
        <v>242</v>
      </c>
      <c r="G187" s="0" t="s">
        <v>351</v>
      </c>
      <c r="I187" s="0" t="s">
        <v>131</v>
      </c>
    </row>
    <row r="188" customFormat="false" ht="15" hidden="false" customHeight="false" outlineLevel="0" collapsed="false">
      <c r="A188" s="0" t="n">
        <v>187</v>
      </c>
      <c r="B188" s="0" t="s">
        <v>128</v>
      </c>
      <c r="C188" s="0" t="s">
        <v>121</v>
      </c>
      <c r="D188" s="0" t="s">
        <v>129</v>
      </c>
      <c r="E188" s="0" t="s">
        <v>130</v>
      </c>
      <c r="F188" s="0" t="s">
        <v>223</v>
      </c>
      <c r="G188" s="0" t="s">
        <v>216</v>
      </c>
      <c r="I188" s="0" t="s">
        <v>131</v>
      </c>
    </row>
    <row r="189" customFormat="false" ht="15" hidden="false" customHeight="false" outlineLevel="0" collapsed="false">
      <c r="A189" s="0" t="n">
        <v>188</v>
      </c>
      <c r="B189" s="0" t="s">
        <v>128</v>
      </c>
      <c r="C189" s="0" t="s">
        <v>121</v>
      </c>
      <c r="D189" s="0" t="s">
        <v>129</v>
      </c>
      <c r="E189" s="0" t="s">
        <v>130</v>
      </c>
      <c r="F189" s="0" t="s">
        <v>298</v>
      </c>
      <c r="G189" s="0" t="s">
        <v>216</v>
      </c>
      <c r="I189" s="0" t="s">
        <v>131</v>
      </c>
    </row>
    <row r="190" customFormat="false" ht="15" hidden="false" customHeight="false" outlineLevel="0" collapsed="false">
      <c r="A190" s="0" t="n">
        <v>189</v>
      </c>
      <c r="B190" s="0" t="s">
        <v>128</v>
      </c>
      <c r="C190" s="0" t="s">
        <v>121</v>
      </c>
      <c r="D190" s="0" t="s">
        <v>129</v>
      </c>
      <c r="E190" s="0" t="s">
        <v>130</v>
      </c>
      <c r="F190" s="0" t="s">
        <v>352</v>
      </c>
      <c r="G190" s="0" t="s">
        <v>216</v>
      </c>
      <c r="I190" s="0" t="s">
        <v>131</v>
      </c>
    </row>
    <row r="191" customFormat="false" ht="15" hidden="false" customHeight="false" outlineLevel="0" collapsed="false">
      <c r="A191" s="0" t="n">
        <v>190</v>
      </c>
      <c r="B191" s="0" t="s">
        <v>128</v>
      </c>
      <c r="C191" s="0" t="s">
        <v>121</v>
      </c>
      <c r="D191" s="0" t="s">
        <v>129</v>
      </c>
      <c r="E191" s="0" t="s">
        <v>130</v>
      </c>
      <c r="F191" s="0" t="s">
        <v>353</v>
      </c>
      <c r="G191" s="0" t="s">
        <v>216</v>
      </c>
      <c r="I191" s="0" t="s">
        <v>131</v>
      </c>
    </row>
    <row r="192" customFormat="false" ht="15" hidden="false" customHeight="false" outlineLevel="0" collapsed="false">
      <c r="A192" s="0" t="n">
        <v>191</v>
      </c>
      <c r="B192" s="0" t="s">
        <v>128</v>
      </c>
      <c r="C192" s="0" t="s">
        <v>121</v>
      </c>
      <c r="D192" s="0" t="s">
        <v>129</v>
      </c>
      <c r="E192" s="0" t="s">
        <v>130</v>
      </c>
      <c r="F192" s="0" t="s">
        <v>354</v>
      </c>
      <c r="G192" s="0" t="s">
        <v>216</v>
      </c>
      <c r="I192" s="0" t="s">
        <v>131</v>
      </c>
    </row>
    <row r="193" customFormat="false" ht="15" hidden="false" customHeight="false" outlineLevel="0" collapsed="false">
      <c r="A193" s="0" t="n">
        <v>192</v>
      </c>
      <c r="B193" s="0" t="s">
        <v>132</v>
      </c>
      <c r="C193" s="0" t="s">
        <v>121</v>
      </c>
      <c r="D193" s="0" t="s">
        <v>133</v>
      </c>
      <c r="E193" s="0" t="s">
        <v>134</v>
      </c>
      <c r="F193" s="0" t="s">
        <v>355</v>
      </c>
      <c r="G193" s="0" t="s">
        <v>356</v>
      </c>
      <c r="I193" s="0" t="s">
        <v>135</v>
      </c>
    </row>
    <row r="194" customFormat="false" ht="15" hidden="false" customHeight="false" outlineLevel="0" collapsed="false">
      <c r="A194" s="0" t="n">
        <v>193</v>
      </c>
      <c r="B194" s="0" t="s">
        <v>132</v>
      </c>
      <c r="C194" s="0" t="s">
        <v>121</v>
      </c>
      <c r="D194" s="0" t="s">
        <v>133</v>
      </c>
      <c r="E194" s="0" t="s">
        <v>134</v>
      </c>
      <c r="F194" s="0" t="s">
        <v>357</v>
      </c>
      <c r="G194" s="0" t="s">
        <v>358</v>
      </c>
      <c r="I194" s="0" t="s">
        <v>135</v>
      </c>
    </row>
    <row r="195" customFormat="false" ht="15" hidden="false" customHeight="false" outlineLevel="0" collapsed="false">
      <c r="A195" s="0" t="n">
        <v>194</v>
      </c>
      <c r="B195" s="0" t="s">
        <v>132</v>
      </c>
      <c r="C195" s="0" t="s">
        <v>121</v>
      </c>
      <c r="D195" s="0" t="s">
        <v>133</v>
      </c>
      <c r="E195" s="0" t="s">
        <v>134</v>
      </c>
      <c r="F195" s="0" t="s">
        <v>359</v>
      </c>
      <c r="G195" s="0" t="s">
        <v>360</v>
      </c>
      <c r="I195" s="0" t="s">
        <v>135</v>
      </c>
    </row>
    <row r="196" customFormat="false" ht="15" hidden="false" customHeight="false" outlineLevel="0" collapsed="false">
      <c r="A196" s="0" t="n">
        <v>195</v>
      </c>
      <c r="B196" s="0" t="s">
        <v>132</v>
      </c>
      <c r="C196" s="0" t="s">
        <v>121</v>
      </c>
      <c r="D196" s="0" t="s">
        <v>133</v>
      </c>
      <c r="E196" s="0" t="s">
        <v>134</v>
      </c>
      <c r="F196" s="0" t="s">
        <v>361</v>
      </c>
      <c r="G196" s="0" t="s">
        <v>362</v>
      </c>
      <c r="I196" s="0" t="s">
        <v>135</v>
      </c>
    </row>
    <row r="197" customFormat="false" ht="15" hidden="false" customHeight="false" outlineLevel="0" collapsed="false">
      <c r="A197" s="0" t="n">
        <v>196</v>
      </c>
      <c r="B197" s="0" t="s">
        <v>132</v>
      </c>
      <c r="C197" s="0" t="s">
        <v>121</v>
      </c>
      <c r="D197" s="0" t="s">
        <v>133</v>
      </c>
      <c r="E197" s="0" t="s">
        <v>134</v>
      </c>
      <c r="F197" s="0" t="s">
        <v>363</v>
      </c>
      <c r="G197" s="0" t="s">
        <v>364</v>
      </c>
      <c r="I197" s="0" t="s">
        <v>135</v>
      </c>
    </row>
    <row r="198" customFormat="false" ht="15" hidden="false" customHeight="false" outlineLevel="0" collapsed="false">
      <c r="A198" s="0" t="n">
        <v>197</v>
      </c>
      <c r="B198" s="0" t="s">
        <v>132</v>
      </c>
      <c r="C198" s="0" t="s">
        <v>121</v>
      </c>
      <c r="D198" s="0" t="s">
        <v>133</v>
      </c>
      <c r="E198" s="0" t="s">
        <v>134</v>
      </c>
      <c r="F198" s="0" t="s">
        <v>365</v>
      </c>
      <c r="G198" s="0" t="s">
        <v>366</v>
      </c>
      <c r="I198" s="0" t="s">
        <v>135</v>
      </c>
    </row>
    <row r="199" customFormat="false" ht="15" hidden="false" customHeight="false" outlineLevel="0" collapsed="false">
      <c r="A199" s="0" t="n">
        <v>198</v>
      </c>
      <c r="B199" s="0" t="s">
        <v>132</v>
      </c>
      <c r="C199" s="0" t="s">
        <v>121</v>
      </c>
      <c r="D199" s="0" t="s">
        <v>133</v>
      </c>
      <c r="E199" s="0" t="s">
        <v>134</v>
      </c>
      <c r="F199" s="0" t="s">
        <v>367</v>
      </c>
      <c r="G199" s="0" t="s">
        <v>368</v>
      </c>
      <c r="I199" s="0" t="s">
        <v>135</v>
      </c>
    </row>
    <row r="200" customFormat="false" ht="15" hidden="false" customHeight="false" outlineLevel="0" collapsed="false">
      <c r="A200" s="0" t="n">
        <v>199</v>
      </c>
      <c r="B200" s="0" t="s">
        <v>132</v>
      </c>
      <c r="C200" s="0" t="s">
        <v>121</v>
      </c>
      <c r="D200" s="0" t="s">
        <v>133</v>
      </c>
      <c r="E200" s="0" t="s">
        <v>134</v>
      </c>
      <c r="F200" s="0" t="s">
        <v>369</v>
      </c>
      <c r="G200" s="0" t="s">
        <v>362</v>
      </c>
      <c r="I200" s="0" t="s">
        <v>135</v>
      </c>
    </row>
    <row r="201" customFormat="false" ht="15" hidden="false" customHeight="false" outlineLevel="0" collapsed="false">
      <c r="A201" s="0" t="n">
        <v>200</v>
      </c>
      <c r="B201" s="0" t="s">
        <v>132</v>
      </c>
      <c r="C201" s="0" t="s">
        <v>121</v>
      </c>
      <c r="D201" s="0" t="s">
        <v>133</v>
      </c>
      <c r="E201" s="0" t="s">
        <v>134</v>
      </c>
      <c r="F201" s="0" t="s">
        <v>225</v>
      </c>
      <c r="G201" s="0" t="s">
        <v>370</v>
      </c>
      <c r="I201" s="0" t="s">
        <v>135</v>
      </c>
    </row>
    <row r="202" customFormat="false" ht="15" hidden="false" customHeight="false" outlineLevel="0" collapsed="false">
      <c r="A202" s="0" t="n">
        <v>201</v>
      </c>
      <c r="B202" s="0" t="s">
        <v>132</v>
      </c>
      <c r="C202" s="0" t="s">
        <v>121</v>
      </c>
      <c r="D202" s="0" t="s">
        <v>133</v>
      </c>
      <c r="E202" s="0" t="s">
        <v>134</v>
      </c>
      <c r="F202" s="0" t="s">
        <v>371</v>
      </c>
      <c r="G202" s="0" t="s">
        <v>372</v>
      </c>
      <c r="I202" s="0" t="s">
        <v>135</v>
      </c>
    </row>
    <row r="203" customFormat="false" ht="15" hidden="false" customHeight="false" outlineLevel="0" collapsed="false">
      <c r="A203" s="0" t="n">
        <v>202</v>
      </c>
      <c r="B203" s="0" t="s">
        <v>132</v>
      </c>
      <c r="C203" s="0" t="s">
        <v>121</v>
      </c>
      <c r="D203" s="0" t="s">
        <v>133</v>
      </c>
      <c r="E203" s="0" t="s">
        <v>134</v>
      </c>
      <c r="F203" s="0" t="s">
        <v>373</v>
      </c>
      <c r="G203" s="0" t="s">
        <v>374</v>
      </c>
      <c r="I203" s="0" t="s">
        <v>135</v>
      </c>
    </row>
    <row r="204" customFormat="false" ht="15" hidden="false" customHeight="false" outlineLevel="0" collapsed="false">
      <c r="A204" s="0" t="n">
        <v>203</v>
      </c>
      <c r="B204" s="0" t="s">
        <v>132</v>
      </c>
      <c r="C204" s="0" t="s">
        <v>121</v>
      </c>
      <c r="D204" s="0" t="s">
        <v>133</v>
      </c>
      <c r="E204" s="0" t="s">
        <v>134</v>
      </c>
      <c r="F204" s="0" t="s">
        <v>375</v>
      </c>
      <c r="G204" s="0" t="s">
        <v>376</v>
      </c>
      <c r="I204" s="0" t="s">
        <v>135</v>
      </c>
    </row>
    <row r="205" customFormat="false" ht="15" hidden="false" customHeight="false" outlineLevel="0" collapsed="false">
      <c r="A205" s="0" t="n">
        <v>204</v>
      </c>
      <c r="B205" s="0" t="s">
        <v>132</v>
      </c>
      <c r="C205" s="0" t="s">
        <v>121</v>
      </c>
      <c r="D205" s="0" t="s">
        <v>133</v>
      </c>
      <c r="E205" s="0" t="s">
        <v>134</v>
      </c>
      <c r="F205" s="0" t="s">
        <v>377</v>
      </c>
      <c r="G205" s="0" t="s">
        <v>378</v>
      </c>
      <c r="I205" s="0" t="s">
        <v>135</v>
      </c>
    </row>
    <row r="206" customFormat="false" ht="15" hidden="false" customHeight="false" outlineLevel="0" collapsed="false">
      <c r="A206" s="0" t="n">
        <v>205</v>
      </c>
      <c r="B206" s="0" t="s">
        <v>132</v>
      </c>
      <c r="C206" s="0" t="s">
        <v>121</v>
      </c>
      <c r="D206" s="0" t="s">
        <v>133</v>
      </c>
      <c r="E206" s="0" t="s">
        <v>134</v>
      </c>
      <c r="F206" s="0" t="s">
        <v>379</v>
      </c>
      <c r="G206" s="0" t="s">
        <v>380</v>
      </c>
      <c r="I206" s="0" t="s">
        <v>135</v>
      </c>
    </row>
    <row r="207" customFormat="false" ht="15" hidden="false" customHeight="false" outlineLevel="0" collapsed="false">
      <c r="A207" s="0" t="n">
        <v>206</v>
      </c>
      <c r="B207" s="0" t="s">
        <v>132</v>
      </c>
      <c r="C207" s="0" t="s">
        <v>121</v>
      </c>
      <c r="D207" s="0" t="s">
        <v>133</v>
      </c>
      <c r="E207" s="0" t="s">
        <v>134</v>
      </c>
      <c r="F207" s="0" t="s">
        <v>381</v>
      </c>
      <c r="G207" s="0" t="s">
        <v>382</v>
      </c>
      <c r="I207" s="0" t="s">
        <v>135</v>
      </c>
    </row>
    <row r="208" customFormat="false" ht="15" hidden="false" customHeight="false" outlineLevel="0" collapsed="false">
      <c r="A208" s="0" t="n">
        <v>207</v>
      </c>
      <c r="B208" s="0" t="s">
        <v>132</v>
      </c>
      <c r="C208" s="0" t="s">
        <v>121</v>
      </c>
      <c r="D208" s="0" t="s">
        <v>133</v>
      </c>
      <c r="E208" s="0" t="s">
        <v>134</v>
      </c>
      <c r="F208" s="0" t="s">
        <v>227</v>
      </c>
      <c r="G208" s="0" t="s">
        <v>383</v>
      </c>
      <c r="I208" s="0" t="s">
        <v>135</v>
      </c>
    </row>
    <row r="209" customFormat="false" ht="15" hidden="false" customHeight="false" outlineLevel="0" collapsed="false">
      <c r="A209" s="0" t="n">
        <v>208</v>
      </c>
      <c r="B209" s="0" t="s">
        <v>132</v>
      </c>
      <c r="C209" s="0" t="s">
        <v>121</v>
      </c>
      <c r="D209" s="0" t="s">
        <v>133</v>
      </c>
      <c r="E209" s="0" t="s">
        <v>134</v>
      </c>
      <c r="F209" s="0" t="s">
        <v>228</v>
      </c>
      <c r="G209" s="0" t="s">
        <v>384</v>
      </c>
      <c r="I209" s="0" t="s">
        <v>135</v>
      </c>
    </row>
    <row r="210" customFormat="false" ht="15" hidden="false" customHeight="false" outlineLevel="0" collapsed="false">
      <c r="A210" s="0" t="n">
        <v>209</v>
      </c>
      <c r="B210" s="0" t="s">
        <v>132</v>
      </c>
      <c r="C210" s="0" t="s">
        <v>121</v>
      </c>
      <c r="D210" s="0" t="s">
        <v>133</v>
      </c>
      <c r="E210" s="0" t="s">
        <v>134</v>
      </c>
      <c r="F210" s="0" t="s">
        <v>385</v>
      </c>
      <c r="G210" s="0" t="s">
        <v>386</v>
      </c>
      <c r="I210" s="0" t="s">
        <v>135</v>
      </c>
    </row>
    <row r="211" customFormat="false" ht="15" hidden="false" customHeight="false" outlineLevel="0" collapsed="false">
      <c r="A211" s="0" t="n">
        <v>210</v>
      </c>
      <c r="B211" s="0" t="s">
        <v>132</v>
      </c>
      <c r="C211" s="0" t="s">
        <v>121</v>
      </c>
      <c r="D211" s="0" t="s">
        <v>133</v>
      </c>
      <c r="E211" s="0" t="s">
        <v>134</v>
      </c>
      <c r="F211" s="0" t="s">
        <v>387</v>
      </c>
      <c r="G211" s="0" t="s">
        <v>388</v>
      </c>
      <c r="I211" s="0" t="s">
        <v>135</v>
      </c>
    </row>
    <row r="212" customFormat="false" ht="15" hidden="false" customHeight="false" outlineLevel="0" collapsed="false">
      <c r="A212" s="0" t="n">
        <v>211</v>
      </c>
      <c r="B212" s="0" t="s">
        <v>132</v>
      </c>
      <c r="C212" s="0" t="s">
        <v>121</v>
      </c>
      <c r="D212" s="0" t="s">
        <v>133</v>
      </c>
      <c r="E212" s="0" t="s">
        <v>134</v>
      </c>
      <c r="F212" s="0" t="s">
        <v>389</v>
      </c>
      <c r="G212" s="0" t="s">
        <v>388</v>
      </c>
      <c r="I212" s="0" t="s">
        <v>135</v>
      </c>
    </row>
    <row r="213" customFormat="false" ht="15" hidden="false" customHeight="false" outlineLevel="0" collapsed="false">
      <c r="A213" s="0" t="n">
        <v>212</v>
      </c>
      <c r="B213" s="0" t="s">
        <v>132</v>
      </c>
      <c r="C213" s="0" t="s">
        <v>121</v>
      </c>
      <c r="D213" s="0" t="s">
        <v>133</v>
      </c>
      <c r="E213" s="0" t="s">
        <v>134</v>
      </c>
      <c r="F213" s="0" t="s">
        <v>390</v>
      </c>
      <c r="G213" s="0" t="s">
        <v>391</v>
      </c>
      <c r="I213" s="0" t="s">
        <v>135</v>
      </c>
    </row>
    <row r="214" customFormat="false" ht="15" hidden="false" customHeight="false" outlineLevel="0" collapsed="false">
      <c r="A214" s="0" t="n">
        <v>213</v>
      </c>
      <c r="B214" s="0" t="s">
        <v>132</v>
      </c>
      <c r="C214" s="0" t="s">
        <v>121</v>
      </c>
      <c r="D214" s="0" t="s">
        <v>133</v>
      </c>
      <c r="E214" s="0" t="s">
        <v>134</v>
      </c>
      <c r="F214" s="0" t="s">
        <v>392</v>
      </c>
      <c r="G214" s="0" t="s">
        <v>393</v>
      </c>
      <c r="I214" s="0" t="s">
        <v>135</v>
      </c>
    </row>
    <row r="215" customFormat="false" ht="15" hidden="false" customHeight="false" outlineLevel="0" collapsed="false">
      <c r="A215" s="0" t="n">
        <v>214</v>
      </c>
      <c r="B215" s="0" t="s">
        <v>132</v>
      </c>
      <c r="C215" s="0" t="s">
        <v>121</v>
      </c>
      <c r="D215" s="0" t="s">
        <v>133</v>
      </c>
      <c r="E215" s="0" t="s">
        <v>134</v>
      </c>
      <c r="F215" s="0" t="s">
        <v>394</v>
      </c>
      <c r="G215" s="0" t="s">
        <v>395</v>
      </c>
      <c r="I215" s="0" t="s">
        <v>135</v>
      </c>
    </row>
    <row r="216" customFormat="false" ht="15" hidden="false" customHeight="false" outlineLevel="0" collapsed="false">
      <c r="A216" s="0" t="n">
        <v>215</v>
      </c>
      <c r="B216" s="0" t="s">
        <v>132</v>
      </c>
      <c r="C216" s="0" t="s">
        <v>121</v>
      </c>
      <c r="D216" s="0" t="s">
        <v>133</v>
      </c>
      <c r="E216" s="0" t="s">
        <v>134</v>
      </c>
      <c r="F216" s="0" t="s">
        <v>396</v>
      </c>
      <c r="G216" s="0" t="s">
        <v>397</v>
      </c>
      <c r="I216" s="0" t="s">
        <v>135</v>
      </c>
    </row>
    <row r="217" customFormat="false" ht="15" hidden="false" customHeight="false" outlineLevel="0" collapsed="false">
      <c r="A217" s="0" t="n">
        <v>216</v>
      </c>
      <c r="B217" s="0" t="s">
        <v>132</v>
      </c>
      <c r="C217" s="0" t="s">
        <v>121</v>
      </c>
      <c r="D217" s="0" t="s">
        <v>133</v>
      </c>
      <c r="E217" s="0" t="s">
        <v>134</v>
      </c>
      <c r="F217" s="0" t="s">
        <v>398</v>
      </c>
      <c r="G217" s="0" t="s">
        <v>399</v>
      </c>
      <c r="I217" s="0" t="s">
        <v>135</v>
      </c>
    </row>
    <row r="218" customFormat="false" ht="15" hidden="false" customHeight="false" outlineLevel="0" collapsed="false">
      <c r="A218" s="0" t="n">
        <v>217</v>
      </c>
      <c r="B218" s="0" t="s">
        <v>132</v>
      </c>
      <c r="C218" s="0" t="s">
        <v>121</v>
      </c>
      <c r="D218" s="0" t="s">
        <v>133</v>
      </c>
      <c r="E218" s="0" t="s">
        <v>134</v>
      </c>
      <c r="F218" s="0" t="s">
        <v>400</v>
      </c>
      <c r="G218" s="0" t="s">
        <v>401</v>
      </c>
      <c r="I218" s="0" t="s">
        <v>135</v>
      </c>
    </row>
    <row r="219" customFormat="false" ht="15" hidden="false" customHeight="false" outlineLevel="0" collapsed="false">
      <c r="A219" s="0" t="n">
        <v>218</v>
      </c>
      <c r="B219" s="0" t="s">
        <v>132</v>
      </c>
      <c r="C219" s="0" t="s">
        <v>121</v>
      </c>
      <c r="D219" s="0" t="s">
        <v>133</v>
      </c>
      <c r="E219" s="0" t="s">
        <v>134</v>
      </c>
      <c r="F219" s="0" t="s">
        <v>402</v>
      </c>
      <c r="G219" s="0" t="s">
        <v>403</v>
      </c>
      <c r="I219" s="0" t="s">
        <v>135</v>
      </c>
    </row>
    <row r="220" customFormat="false" ht="15" hidden="false" customHeight="false" outlineLevel="0" collapsed="false">
      <c r="A220" s="0" t="n">
        <v>219</v>
      </c>
      <c r="B220" s="0" t="s">
        <v>132</v>
      </c>
      <c r="C220" s="0" t="s">
        <v>121</v>
      </c>
      <c r="D220" s="0" t="s">
        <v>133</v>
      </c>
      <c r="E220" s="0" t="s">
        <v>134</v>
      </c>
      <c r="F220" s="0" t="s">
        <v>404</v>
      </c>
      <c r="G220" s="0" t="s">
        <v>405</v>
      </c>
      <c r="I220" s="0" t="s">
        <v>135</v>
      </c>
    </row>
    <row r="221" customFormat="false" ht="15" hidden="false" customHeight="false" outlineLevel="0" collapsed="false">
      <c r="A221" s="0" t="n">
        <v>220</v>
      </c>
      <c r="B221" s="0" t="s">
        <v>132</v>
      </c>
      <c r="C221" s="0" t="s">
        <v>121</v>
      </c>
      <c r="D221" s="0" t="s">
        <v>133</v>
      </c>
      <c r="E221" s="0" t="s">
        <v>134</v>
      </c>
      <c r="F221" s="0" t="s">
        <v>406</v>
      </c>
      <c r="G221" s="0" t="s">
        <v>407</v>
      </c>
      <c r="I221" s="0" t="s">
        <v>135</v>
      </c>
    </row>
    <row r="222" customFormat="false" ht="15" hidden="false" customHeight="false" outlineLevel="0" collapsed="false">
      <c r="A222" s="0" t="n">
        <v>221</v>
      </c>
      <c r="B222" s="0" t="s">
        <v>132</v>
      </c>
      <c r="C222" s="0" t="s">
        <v>121</v>
      </c>
      <c r="D222" s="0" t="s">
        <v>133</v>
      </c>
      <c r="E222" s="0" t="s">
        <v>134</v>
      </c>
      <c r="F222" s="0" t="s">
        <v>408</v>
      </c>
      <c r="G222" s="0" t="s">
        <v>388</v>
      </c>
      <c r="I222" s="0" t="s">
        <v>135</v>
      </c>
    </row>
    <row r="223" customFormat="false" ht="15" hidden="false" customHeight="false" outlineLevel="0" collapsed="false">
      <c r="A223" s="0" t="n">
        <v>222</v>
      </c>
      <c r="B223" s="0" t="s">
        <v>132</v>
      </c>
      <c r="C223" s="0" t="s">
        <v>121</v>
      </c>
      <c r="D223" s="0" t="s">
        <v>133</v>
      </c>
      <c r="E223" s="0" t="s">
        <v>134</v>
      </c>
      <c r="F223" s="0" t="s">
        <v>409</v>
      </c>
      <c r="G223" s="0" t="s">
        <v>410</v>
      </c>
      <c r="I223" s="0" t="s">
        <v>135</v>
      </c>
    </row>
    <row r="224" customFormat="false" ht="15" hidden="false" customHeight="false" outlineLevel="0" collapsed="false">
      <c r="A224" s="0" t="n">
        <v>223</v>
      </c>
      <c r="B224" s="0" t="s">
        <v>132</v>
      </c>
      <c r="C224" s="0" t="s">
        <v>121</v>
      </c>
      <c r="D224" s="0" t="s">
        <v>133</v>
      </c>
      <c r="E224" s="0" t="s">
        <v>134</v>
      </c>
      <c r="F224" s="0" t="s">
        <v>411</v>
      </c>
      <c r="G224" s="0" t="s">
        <v>412</v>
      </c>
      <c r="I224" s="0" t="s">
        <v>135</v>
      </c>
    </row>
    <row r="225" customFormat="false" ht="15" hidden="false" customHeight="false" outlineLevel="0" collapsed="false">
      <c r="A225" s="0" t="n">
        <v>224</v>
      </c>
      <c r="B225" s="0" t="s">
        <v>132</v>
      </c>
      <c r="C225" s="0" t="s">
        <v>121</v>
      </c>
      <c r="D225" s="0" t="s">
        <v>133</v>
      </c>
      <c r="E225" s="0" t="s">
        <v>134</v>
      </c>
      <c r="F225" s="0" t="s">
        <v>413</v>
      </c>
      <c r="G225" s="0" t="s">
        <v>414</v>
      </c>
      <c r="I225" s="0" t="s">
        <v>135</v>
      </c>
    </row>
    <row r="226" customFormat="false" ht="15" hidden="false" customHeight="false" outlineLevel="0" collapsed="false">
      <c r="A226" s="0" t="n">
        <v>225</v>
      </c>
      <c r="B226" s="0" t="s">
        <v>132</v>
      </c>
      <c r="C226" s="0" t="s">
        <v>121</v>
      </c>
      <c r="D226" s="0" t="s">
        <v>133</v>
      </c>
      <c r="E226" s="0" t="s">
        <v>134</v>
      </c>
      <c r="F226" s="0" t="s">
        <v>415</v>
      </c>
      <c r="G226" s="0" t="s">
        <v>416</v>
      </c>
      <c r="I226" s="0" t="s">
        <v>135</v>
      </c>
    </row>
    <row r="227" customFormat="false" ht="15" hidden="false" customHeight="false" outlineLevel="0" collapsed="false">
      <c r="A227" s="0" t="n">
        <v>226</v>
      </c>
      <c r="B227" s="0" t="s">
        <v>132</v>
      </c>
      <c r="C227" s="0" t="s">
        <v>121</v>
      </c>
      <c r="D227" s="0" t="s">
        <v>133</v>
      </c>
      <c r="E227" s="0" t="s">
        <v>134</v>
      </c>
      <c r="F227" s="0" t="s">
        <v>417</v>
      </c>
      <c r="G227" s="0" t="s">
        <v>418</v>
      </c>
      <c r="I227" s="0" t="s">
        <v>135</v>
      </c>
    </row>
    <row r="228" customFormat="false" ht="15" hidden="false" customHeight="false" outlineLevel="0" collapsed="false">
      <c r="A228" s="0" t="n">
        <v>227</v>
      </c>
      <c r="B228" s="0" t="s">
        <v>132</v>
      </c>
      <c r="C228" s="0" t="s">
        <v>121</v>
      </c>
      <c r="D228" s="0" t="s">
        <v>133</v>
      </c>
      <c r="E228" s="0" t="s">
        <v>134</v>
      </c>
      <c r="F228" s="0" t="s">
        <v>419</v>
      </c>
      <c r="G228" s="0" t="s">
        <v>420</v>
      </c>
      <c r="I228" s="0" t="s">
        <v>135</v>
      </c>
    </row>
    <row r="229" customFormat="false" ht="15" hidden="false" customHeight="false" outlineLevel="0" collapsed="false">
      <c r="A229" s="0" t="n">
        <v>228</v>
      </c>
      <c r="B229" s="0" t="s">
        <v>132</v>
      </c>
      <c r="C229" s="0" t="s">
        <v>121</v>
      </c>
      <c r="D229" s="0" t="s">
        <v>133</v>
      </c>
      <c r="E229" s="0" t="s">
        <v>134</v>
      </c>
      <c r="F229" s="0" t="s">
        <v>421</v>
      </c>
      <c r="G229" s="0" t="s">
        <v>422</v>
      </c>
      <c r="I229" s="0" t="s">
        <v>135</v>
      </c>
    </row>
    <row r="230" customFormat="false" ht="15" hidden="false" customHeight="false" outlineLevel="0" collapsed="false">
      <c r="A230" s="0" t="n">
        <v>229</v>
      </c>
      <c r="B230" s="0" t="s">
        <v>132</v>
      </c>
      <c r="C230" s="0" t="s">
        <v>121</v>
      </c>
      <c r="D230" s="0" t="s">
        <v>133</v>
      </c>
      <c r="E230" s="0" t="s">
        <v>134</v>
      </c>
      <c r="F230" s="0" t="s">
        <v>423</v>
      </c>
      <c r="G230" s="0" t="s">
        <v>424</v>
      </c>
      <c r="I230" s="0" t="s">
        <v>135</v>
      </c>
    </row>
    <row r="231" customFormat="false" ht="15" hidden="false" customHeight="false" outlineLevel="0" collapsed="false">
      <c r="A231" s="0" t="n">
        <v>230</v>
      </c>
      <c r="B231" s="0" t="s">
        <v>132</v>
      </c>
      <c r="C231" s="0" t="s">
        <v>121</v>
      </c>
      <c r="D231" s="0" t="s">
        <v>133</v>
      </c>
      <c r="E231" s="0" t="s">
        <v>134</v>
      </c>
      <c r="F231" s="0" t="s">
        <v>425</v>
      </c>
      <c r="G231" s="0" t="s">
        <v>426</v>
      </c>
      <c r="I231" s="0" t="s">
        <v>135</v>
      </c>
    </row>
    <row r="232" customFormat="false" ht="15" hidden="false" customHeight="false" outlineLevel="0" collapsed="false">
      <c r="A232" s="0" t="n">
        <v>231</v>
      </c>
      <c r="B232" s="0" t="s">
        <v>132</v>
      </c>
      <c r="C232" s="0" t="s">
        <v>121</v>
      </c>
      <c r="D232" s="0" t="s">
        <v>133</v>
      </c>
      <c r="E232" s="0" t="s">
        <v>134</v>
      </c>
      <c r="F232" s="0" t="s">
        <v>427</v>
      </c>
      <c r="G232" s="0" t="s">
        <v>428</v>
      </c>
      <c r="I232" s="0" t="s">
        <v>135</v>
      </c>
    </row>
    <row r="233" customFormat="false" ht="15" hidden="false" customHeight="false" outlineLevel="0" collapsed="false">
      <c r="A233" s="0" t="n">
        <v>232</v>
      </c>
      <c r="B233" s="0" t="s">
        <v>132</v>
      </c>
      <c r="C233" s="0" t="s">
        <v>121</v>
      </c>
      <c r="D233" s="0" t="s">
        <v>133</v>
      </c>
      <c r="E233" s="0" t="s">
        <v>134</v>
      </c>
      <c r="F233" s="0" t="s">
        <v>429</v>
      </c>
      <c r="G233" s="0" t="s">
        <v>430</v>
      </c>
      <c r="I233" s="0" t="s">
        <v>135</v>
      </c>
    </row>
    <row r="234" customFormat="false" ht="15" hidden="false" customHeight="false" outlineLevel="0" collapsed="false">
      <c r="A234" s="0" t="n">
        <v>233</v>
      </c>
      <c r="B234" s="0" t="s">
        <v>132</v>
      </c>
      <c r="C234" s="0" t="s">
        <v>121</v>
      </c>
      <c r="D234" s="0" t="s">
        <v>133</v>
      </c>
      <c r="E234" s="0" t="s">
        <v>134</v>
      </c>
      <c r="F234" s="0" t="s">
        <v>431</v>
      </c>
      <c r="G234" s="0" t="s">
        <v>432</v>
      </c>
      <c r="I234" s="0" t="s">
        <v>135</v>
      </c>
    </row>
    <row r="235" customFormat="false" ht="15" hidden="false" customHeight="false" outlineLevel="0" collapsed="false">
      <c r="A235" s="0" t="n">
        <v>234</v>
      </c>
      <c r="B235" s="0" t="s">
        <v>132</v>
      </c>
      <c r="C235" s="0" t="s">
        <v>121</v>
      </c>
      <c r="D235" s="0" t="s">
        <v>133</v>
      </c>
      <c r="E235" s="0" t="s">
        <v>134</v>
      </c>
      <c r="F235" s="0" t="s">
        <v>433</v>
      </c>
      <c r="G235" s="0" t="s">
        <v>420</v>
      </c>
      <c r="I235" s="0" t="s">
        <v>135</v>
      </c>
    </row>
    <row r="236" customFormat="false" ht="15" hidden="false" customHeight="false" outlineLevel="0" collapsed="false">
      <c r="A236" s="0" t="n">
        <v>235</v>
      </c>
      <c r="B236" s="0" t="s">
        <v>132</v>
      </c>
      <c r="C236" s="0" t="s">
        <v>121</v>
      </c>
      <c r="D236" s="0" t="s">
        <v>133</v>
      </c>
      <c r="E236" s="0" t="s">
        <v>134</v>
      </c>
      <c r="F236" s="0" t="s">
        <v>434</v>
      </c>
      <c r="G236" s="0" t="s">
        <v>435</v>
      </c>
      <c r="I236" s="0" t="s">
        <v>135</v>
      </c>
    </row>
    <row r="237" customFormat="false" ht="15" hidden="false" customHeight="false" outlineLevel="0" collapsed="false">
      <c r="A237" s="0" t="n">
        <v>236</v>
      </c>
      <c r="B237" s="0" t="s">
        <v>132</v>
      </c>
      <c r="C237" s="0" t="s">
        <v>121</v>
      </c>
      <c r="D237" s="0" t="s">
        <v>133</v>
      </c>
      <c r="E237" s="0" t="s">
        <v>134</v>
      </c>
      <c r="F237" s="0" t="s">
        <v>436</v>
      </c>
      <c r="G237" s="0" t="s">
        <v>424</v>
      </c>
      <c r="I237" s="0" t="s">
        <v>135</v>
      </c>
    </row>
    <row r="238" customFormat="false" ht="15" hidden="false" customHeight="false" outlineLevel="0" collapsed="false">
      <c r="A238" s="0" t="n">
        <v>237</v>
      </c>
      <c r="B238" s="0" t="s">
        <v>132</v>
      </c>
      <c r="C238" s="0" t="s">
        <v>121</v>
      </c>
      <c r="D238" s="0" t="s">
        <v>133</v>
      </c>
      <c r="E238" s="0" t="s">
        <v>134</v>
      </c>
      <c r="F238" s="0" t="s">
        <v>437</v>
      </c>
      <c r="G238" s="0" t="s">
        <v>438</v>
      </c>
      <c r="I238" s="0" t="s">
        <v>135</v>
      </c>
    </row>
    <row r="239" customFormat="false" ht="15" hidden="false" customHeight="false" outlineLevel="0" collapsed="false">
      <c r="A239" s="0" t="n">
        <v>238</v>
      </c>
      <c r="B239" s="0" t="s">
        <v>132</v>
      </c>
      <c r="C239" s="0" t="s">
        <v>121</v>
      </c>
      <c r="D239" s="0" t="s">
        <v>133</v>
      </c>
      <c r="E239" s="0" t="s">
        <v>134</v>
      </c>
      <c r="F239" s="0" t="s">
        <v>439</v>
      </c>
      <c r="G239" s="0" t="s">
        <v>440</v>
      </c>
      <c r="I239" s="0" t="s">
        <v>135</v>
      </c>
    </row>
    <row r="240" customFormat="false" ht="15" hidden="false" customHeight="false" outlineLevel="0" collapsed="false">
      <c r="A240" s="0" t="n">
        <v>239</v>
      </c>
      <c r="B240" s="0" t="s">
        <v>132</v>
      </c>
      <c r="C240" s="0" t="s">
        <v>121</v>
      </c>
      <c r="D240" s="0" t="s">
        <v>133</v>
      </c>
      <c r="E240" s="0" t="s">
        <v>134</v>
      </c>
      <c r="F240" s="0" t="s">
        <v>441</v>
      </c>
      <c r="G240" s="0" t="s">
        <v>442</v>
      </c>
      <c r="I240" s="0" t="s">
        <v>135</v>
      </c>
    </row>
    <row r="241" customFormat="false" ht="15" hidden="false" customHeight="false" outlineLevel="0" collapsed="false">
      <c r="A241" s="0" t="n">
        <v>240</v>
      </c>
      <c r="B241" s="0" t="s">
        <v>132</v>
      </c>
      <c r="C241" s="0" t="s">
        <v>121</v>
      </c>
      <c r="D241" s="0" t="s">
        <v>133</v>
      </c>
      <c r="E241" s="0" t="s">
        <v>134</v>
      </c>
      <c r="F241" s="0" t="s">
        <v>443</v>
      </c>
      <c r="G241" s="0" t="s">
        <v>444</v>
      </c>
      <c r="I241" s="0" t="s">
        <v>135</v>
      </c>
    </row>
    <row r="242" customFormat="false" ht="15" hidden="false" customHeight="false" outlineLevel="0" collapsed="false">
      <c r="A242" s="0" t="n">
        <v>241</v>
      </c>
      <c r="B242" s="0" t="s">
        <v>132</v>
      </c>
      <c r="C242" s="0" t="s">
        <v>121</v>
      </c>
      <c r="D242" s="0" t="s">
        <v>133</v>
      </c>
      <c r="E242" s="0" t="s">
        <v>134</v>
      </c>
      <c r="F242" s="0" t="s">
        <v>445</v>
      </c>
      <c r="G242" s="0" t="s">
        <v>446</v>
      </c>
      <c r="I242" s="0" t="s">
        <v>135</v>
      </c>
    </row>
    <row r="243" customFormat="false" ht="15" hidden="false" customHeight="false" outlineLevel="0" collapsed="false">
      <c r="A243" s="0" t="n">
        <v>242</v>
      </c>
      <c r="B243" s="0" t="s">
        <v>136</v>
      </c>
      <c r="C243" s="0" t="s">
        <v>137</v>
      </c>
      <c r="D243" s="0" t="s">
        <v>138</v>
      </c>
      <c r="E243" s="0" t="s">
        <v>139</v>
      </c>
      <c r="F243" s="0" t="s">
        <v>447</v>
      </c>
      <c r="G243" s="0" t="s">
        <v>216</v>
      </c>
      <c r="I243" s="0" t="s">
        <v>70</v>
      </c>
    </row>
    <row r="244" customFormat="false" ht="15" hidden="false" customHeight="false" outlineLevel="0" collapsed="false">
      <c r="A244" s="0" t="n">
        <v>243</v>
      </c>
      <c r="B244" s="0" t="s">
        <v>136</v>
      </c>
      <c r="C244" s="0" t="s">
        <v>137</v>
      </c>
      <c r="D244" s="0" t="s">
        <v>138</v>
      </c>
      <c r="E244" s="0" t="s">
        <v>139</v>
      </c>
      <c r="F244" s="0" t="s">
        <v>221</v>
      </c>
      <c r="G244" s="0" t="s">
        <v>216</v>
      </c>
      <c r="I244" s="0" t="s">
        <v>70</v>
      </c>
    </row>
    <row r="245" customFormat="false" ht="15" hidden="false" customHeight="false" outlineLevel="0" collapsed="false">
      <c r="A245" s="0" t="n">
        <v>244</v>
      </c>
      <c r="B245" s="0" t="s">
        <v>136</v>
      </c>
      <c r="C245" s="0" t="s">
        <v>137</v>
      </c>
      <c r="D245" s="0" t="s">
        <v>138</v>
      </c>
      <c r="E245" s="0" t="s">
        <v>139</v>
      </c>
      <c r="F245" s="0" t="s">
        <v>298</v>
      </c>
      <c r="G245" s="0" t="s">
        <v>216</v>
      </c>
      <c r="I245" s="0" t="s">
        <v>70</v>
      </c>
    </row>
    <row r="246" customFormat="false" ht="15" hidden="false" customHeight="false" outlineLevel="0" collapsed="false">
      <c r="A246" s="0" t="n">
        <v>245</v>
      </c>
      <c r="B246" s="0" t="s">
        <v>136</v>
      </c>
      <c r="C246" s="0" t="s">
        <v>137</v>
      </c>
      <c r="D246" s="0" t="s">
        <v>138</v>
      </c>
      <c r="E246" s="0" t="s">
        <v>139</v>
      </c>
      <c r="F246" s="0" t="s">
        <v>448</v>
      </c>
      <c r="G246" s="0" t="s">
        <v>216</v>
      </c>
      <c r="I246" s="0" t="s">
        <v>70</v>
      </c>
    </row>
    <row r="247" customFormat="false" ht="15" hidden="false" customHeight="false" outlineLevel="0" collapsed="false">
      <c r="A247" s="0" t="n">
        <v>246</v>
      </c>
      <c r="B247" s="0" t="s">
        <v>140</v>
      </c>
      <c r="C247" s="0" t="s">
        <v>137</v>
      </c>
      <c r="D247" s="0" t="s">
        <v>141</v>
      </c>
      <c r="E247" s="0" t="s">
        <v>142</v>
      </c>
      <c r="F247" s="0" t="s">
        <v>328</v>
      </c>
      <c r="G247" s="0" t="s">
        <v>329</v>
      </c>
      <c r="I247" s="0" t="s">
        <v>143</v>
      </c>
    </row>
    <row r="248" customFormat="false" ht="15" hidden="false" customHeight="false" outlineLevel="0" collapsed="false">
      <c r="A248" s="0" t="n">
        <v>247</v>
      </c>
      <c r="B248" s="0" t="s">
        <v>140</v>
      </c>
      <c r="C248" s="0" t="s">
        <v>137</v>
      </c>
      <c r="D248" s="0" t="s">
        <v>141</v>
      </c>
      <c r="E248" s="0" t="s">
        <v>142</v>
      </c>
      <c r="F248" s="0" t="s">
        <v>229</v>
      </c>
      <c r="G248" s="0" t="s">
        <v>216</v>
      </c>
      <c r="I248" s="0" t="s">
        <v>143</v>
      </c>
    </row>
    <row r="249" customFormat="false" ht="15" hidden="false" customHeight="false" outlineLevel="0" collapsed="false">
      <c r="A249" s="0" t="n">
        <v>248</v>
      </c>
      <c r="B249" s="0" t="s">
        <v>140</v>
      </c>
      <c r="C249" s="0" t="s">
        <v>137</v>
      </c>
      <c r="D249" s="0" t="s">
        <v>141</v>
      </c>
      <c r="E249" s="0" t="s">
        <v>142</v>
      </c>
      <c r="F249" s="0" t="s">
        <v>316</v>
      </c>
      <c r="G249" s="0" t="s">
        <v>317</v>
      </c>
      <c r="I249" s="0" t="s">
        <v>143</v>
      </c>
    </row>
    <row r="250" customFormat="false" ht="15" hidden="false" customHeight="false" outlineLevel="0" collapsed="false">
      <c r="A250" s="0" t="n">
        <v>249</v>
      </c>
      <c r="B250" s="0" t="s">
        <v>140</v>
      </c>
      <c r="C250" s="0" t="s">
        <v>137</v>
      </c>
      <c r="D250" s="0" t="s">
        <v>141</v>
      </c>
      <c r="E250" s="0" t="s">
        <v>142</v>
      </c>
      <c r="F250" s="0" t="s">
        <v>449</v>
      </c>
      <c r="G250" s="0" t="s">
        <v>450</v>
      </c>
      <c r="I250" s="0" t="s">
        <v>143</v>
      </c>
    </row>
    <row r="251" customFormat="false" ht="15" hidden="false" customHeight="false" outlineLevel="0" collapsed="false">
      <c r="A251" s="0" t="n">
        <v>250</v>
      </c>
      <c r="B251" s="0" t="s">
        <v>140</v>
      </c>
      <c r="C251" s="0" t="s">
        <v>137</v>
      </c>
      <c r="D251" s="0" t="s">
        <v>141</v>
      </c>
      <c r="E251" s="0" t="s">
        <v>142</v>
      </c>
      <c r="F251" s="0" t="s">
        <v>267</v>
      </c>
      <c r="G251" s="0" t="s">
        <v>216</v>
      </c>
      <c r="I251" s="0" t="s">
        <v>143</v>
      </c>
    </row>
    <row r="252" customFormat="false" ht="15" hidden="false" customHeight="false" outlineLevel="0" collapsed="false">
      <c r="A252" s="0" t="n">
        <v>251</v>
      </c>
      <c r="B252" s="0" t="s">
        <v>140</v>
      </c>
      <c r="C252" s="0" t="s">
        <v>137</v>
      </c>
      <c r="D252" s="0" t="s">
        <v>141</v>
      </c>
      <c r="E252" s="0" t="s">
        <v>142</v>
      </c>
      <c r="F252" s="0" t="s">
        <v>278</v>
      </c>
      <c r="G252" s="0" t="s">
        <v>216</v>
      </c>
      <c r="I252" s="0" t="s">
        <v>143</v>
      </c>
    </row>
    <row r="253" customFormat="false" ht="15" hidden="false" customHeight="false" outlineLevel="0" collapsed="false">
      <c r="A253" s="0" t="n">
        <v>252</v>
      </c>
      <c r="B253" s="0" t="s">
        <v>144</v>
      </c>
      <c r="C253" s="0" t="s">
        <v>121</v>
      </c>
      <c r="D253" s="0" t="s">
        <v>145</v>
      </c>
      <c r="E253" s="0" t="s">
        <v>52</v>
      </c>
      <c r="F253" s="0" t="s">
        <v>451</v>
      </c>
      <c r="G253" s="0" t="s">
        <v>216</v>
      </c>
      <c r="I253" s="0" t="s">
        <v>146</v>
      </c>
    </row>
    <row r="254" customFormat="false" ht="15" hidden="false" customHeight="false" outlineLevel="0" collapsed="false">
      <c r="A254" s="0" t="n">
        <v>253</v>
      </c>
      <c r="B254" s="0" t="s">
        <v>144</v>
      </c>
      <c r="C254" s="0" t="s">
        <v>121</v>
      </c>
      <c r="D254" s="0" t="s">
        <v>145</v>
      </c>
      <c r="E254" s="0" t="s">
        <v>52</v>
      </c>
      <c r="F254" s="0" t="s">
        <v>452</v>
      </c>
      <c r="G254" s="0" t="s">
        <v>216</v>
      </c>
      <c r="I254" s="0" t="s">
        <v>146</v>
      </c>
    </row>
    <row r="255" customFormat="false" ht="15" hidden="false" customHeight="false" outlineLevel="0" collapsed="false">
      <c r="A255" s="0" t="n">
        <v>254</v>
      </c>
      <c r="B255" s="0" t="s">
        <v>144</v>
      </c>
      <c r="C255" s="0" t="s">
        <v>121</v>
      </c>
      <c r="D255" s="0" t="s">
        <v>145</v>
      </c>
      <c r="E255" s="0" t="s">
        <v>52</v>
      </c>
      <c r="F255" s="0" t="s">
        <v>221</v>
      </c>
      <c r="G255" s="0" t="s">
        <v>216</v>
      </c>
      <c r="I255" s="0" t="s">
        <v>146</v>
      </c>
    </row>
    <row r="256" customFormat="false" ht="15" hidden="false" customHeight="false" outlineLevel="0" collapsed="false">
      <c r="A256" s="0" t="n">
        <v>255</v>
      </c>
      <c r="B256" s="0" t="s">
        <v>144</v>
      </c>
      <c r="C256" s="0" t="s">
        <v>121</v>
      </c>
      <c r="D256" s="0" t="s">
        <v>145</v>
      </c>
      <c r="E256" s="0" t="s">
        <v>52</v>
      </c>
      <c r="F256" s="0" t="s">
        <v>453</v>
      </c>
      <c r="G256" s="0" t="s">
        <v>216</v>
      </c>
      <c r="I256" s="0" t="s">
        <v>146</v>
      </c>
    </row>
    <row r="257" customFormat="false" ht="15" hidden="false" customHeight="false" outlineLevel="0" collapsed="false">
      <c r="A257" s="0" t="n">
        <v>256</v>
      </c>
      <c r="B257" s="0" t="s">
        <v>144</v>
      </c>
      <c r="C257" s="0" t="s">
        <v>121</v>
      </c>
      <c r="D257" s="0" t="s">
        <v>145</v>
      </c>
      <c r="E257" s="0" t="s">
        <v>52</v>
      </c>
      <c r="F257" s="0" t="s">
        <v>454</v>
      </c>
      <c r="G257" s="0" t="s">
        <v>216</v>
      </c>
      <c r="I257" s="0" t="s">
        <v>146</v>
      </c>
    </row>
    <row r="258" customFormat="false" ht="15" hidden="false" customHeight="false" outlineLevel="0" collapsed="false">
      <c r="A258" s="0" t="n">
        <v>257</v>
      </c>
      <c r="B258" s="0" t="s">
        <v>147</v>
      </c>
      <c r="C258" s="0" t="s">
        <v>148</v>
      </c>
      <c r="D258" s="0" t="s">
        <v>149</v>
      </c>
      <c r="E258" s="0" t="s">
        <v>150</v>
      </c>
      <c r="F258" s="0" t="s">
        <v>242</v>
      </c>
      <c r="G258" s="0" t="s">
        <v>455</v>
      </c>
      <c r="I258" s="0" t="s">
        <v>151</v>
      </c>
    </row>
    <row r="259" customFormat="false" ht="15" hidden="false" customHeight="false" outlineLevel="0" collapsed="false">
      <c r="A259" s="0" t="n">
        <v>258</v>
      </c>
      <c r="B259" s="0" t="s">
        <v>147</v>
      </c>
      <c r="C259" s="0" t="s">
        <v>148</v>
      </c>
      <c r="D259" s="0" t="s">
        <v>149</v>
      </c>
      <c r="E259" s="0" t="s">
        <v>150</v>
      </c>
      <c r="F259" s="0" t="s">
        <v>227</v>
      </c>
      <c r="G259" s="0" t="s">
        <v>455</v>
      </c>
      <c r="I259" s="0" t="s">
        <v>151</v>
      </c>
    </row>
    <row r="260" customFormat="false" ht="15" hidden="false" customHeight="false" outlineLevel="0" collapsed="false">
      <c r="A260" s="0" t="n">
        <v>259</v>
      </c>
      <c r="B260" s="0" t="s">
        <v>147</v>
      </c>
      <c r="C260" s="0" t="s">
        <v>148</v>
      </c>
      <c r="D260" s="0" t="s">
        <v>149</v>
      </c>
      <c r="E260" s="0" t="s">
        <v>150</v>
      </c>
      <c r="F260" s="0" t="s">
        <v>456</v>
      </c>
      <c r="G260" s="0" t="s">
        <v>455</v>
      </c>
      <c r="I260" s="0" t="s">
        <v>151</v>
      </c>
    </row>
    <row r="261" customFormat="false" ht="15" hidden="false" customHeight="false" outlineLevel="0" collapsed="false">
      <c r="A261" s="0" t="n">
        <v>260</v>
      </c>
      <c r="B261" s="0" t="s">
        <v>147</v>
      </c>
      <c r="C261" s="0" t="s">
        <v>148</v>
      </c>
      <c r="D261" s="0" t="s">
        <v>149</v>
      </c>
      <c r="E261" s="0" t="s">
        <v>150</v>
      </c>
      <c r="F261" s="0" t="s">
        <v>457</v>
      </c>
      <c r="G261" s="0" t="s">
        <v>455</v>
      </c>
      <c r="I261" s="0" t="s">
        <v>151</v>
      </c>
    </row>
    <row r="262" customFormat="false" ht="15" hidden="false" customHeight="false" outlineLevel="0" collapsed="false">
      <c r="A262" s="0" t="n">
        <v>261</v>
      </c>
      <c r="B262" s="0" t="s">
        <v>152</v>
      </c>
      <c r="C262" s="0" t="s">
        <v>148</v>
      </c>
      <c r="D262" s="0" t="s">
        <v>153</v>
      </c>
      <c r="E262" s="0" t="s">
        <v>154</v>
      </c>
      <c r="F262" s="0" t="s">
        <v>328</v>
      </c>
      <c r="G262" s="0" t="s">
        <v>329</v>
      </c>
      <c r="I262" s="0" t="s">
        <v>70</v>
      </c>
    </row>
    <row r="263" customFormat="false" ht="15" hidden="false" customHeight="false" outlineLevel="0" collapsed="false">
      <c r="A263" s="0" t="n">
        <v>262</v>
      </c>
      <c r="B263" s="0" t="s">
        <v>152</v>
      </c>
      <c r="C263" s="0" t="s">
        <v>148</v>
      </c>
      <c r="D263" s="0" t="s">
        <v>153</v>
      </c>
      <c r="E263" s="0" t="s">
        <v>154</v>
      </c>
      <c r="F263" s="0" t="s">
        <v>229</v>
      </c>
      <c r="G263" s="0" t="s">
        <v>458</v>
      </c>
      <c r="I263" s="0" t="s">
        <v>70</v>
      </c>
    </row>
    <row r="264" customFormat="false" ht="15" hidden="false" customHeight="false" outlineLevel="0" collapsed="false">
      <c r="A264" s="0" t="n">
        <v>263</v>
      </c>
      <c r="B264" s="0" t="s">
        <v>152</v>
      </c>
      <c r="C264" s="0" t="s">
        <v>148</v>
      </c>
      <c r="D264" s="0" t="s">
        <v>153</v>
      </c>
      <c r="E264" s="0" t="s">
        <v>154</v>
      </c>
      <c r="F264" s="0" t="s">
        <v>459</v>
      </c>
      <c r="G264" s="0" t="s">
        <v>460</v>
      </c>
      <c r="I264" s="0" t="s">
        <v>70</v>
      </c>
    </row>
    <row r="265" customFormat="false" ht="15" hidden="false" customHeight="false" outlineLevel="0" collapsed="false">
      <c r="A265" s="0" t="n">
        <v>264</v>
      </c>
      <c r="B265" s="0" t="s">
        <v>152</v>
      </c>
      <c r="C265" s="0" t="s">
        <v>148</v>
      </c>
      <c r="D265" s="0" t="s">
        <v>153</v>
      </c>
      <c r="E265" s="0" t="s">
        <v>154</v>
      </c>
      <c r="F265" s="0" t="s">
        <v>330</v>
      </c>
      <c r="G265" s="0" t="s">
        <v>331</v>
      </c>
      <c r="I265" s="0" t="s">
        <v>70</v>
      </c>
    </row>
    <row r="266" customFormat="false" ht="15" hidden="false" customHeight="false" outlineLevel="0" collapsed="false">
      <c r="A266" s="0" t="n">
        <v>265</v>
      </c>
      <c r="B266" s="0" t="s">
        <v>152</v>
      </c>
      <c r="C266" s="0" t="s">
        <v>148</v>
      </c>
      <c r="D266" s="0" t="s">
        <v>153</v>
      </c>
      <c r="E266" s="0" t="s">
        <v>154</v>
      </c>
      <c r="F266" s="0" t="s">
        <v>236</v>
      </c>
      <c r="G266" s="0" t="s">
        <v>216</v>
      </c>
      <c r="I266" s="0" t="s">
        <v>70</v>
      </c>
    </row>
    <row r="267" customFormat="false" ht="15" hidden="false" customHeight="false" outlineLevel="0" collapsed="false">
      <c r="A267" s="0" t="n">
        <v>266</v>
      </c>
      <c r="B267" s="0" t="s">
        <v>152</v>
      </c>
      <c r="C267" s="0" t="s">
        <v>148</v>
      </c>
      <c r="D267" s="0" t="s">
        <v>153</v>
      </c>
      <c r="E267" s="0" t="s">
        <v>154</v>
      </c>
      <c r="F267" s="0" t="s">
        <v>461</v>
      </c>
      <c r="G267" s="0" t="s">
        <v>216</v>
      </c>
      <c r="I267" s="0" t="s">
        <v>70</v>
      </c>
    </row>
    <row r="268" customFormat="false" ht="15" hidden="false" customHeight="false" outlineLevel="0" collapsed="false">
      <c r="A268" s="0" t="n">
        <v>267</v>
      </c>
      <c r="B268" s="0" t="s">
        <v>155</v>
      </c>
      <c r="C268" s="0" t="s">
        <v>148</v>
      </c>
      <c r="D268" s="0" t="s">
        <v>156</v>
      </c>
      <c r="E268" s="0" t="s">
        <v>157</v>
      </c>
      <c r="F268" s="0" t="s">
        <v>227</v>
      </c>
      <c r="G268" s="0" t="s">
        <v>216</v>
      </c>
      <c r="I268" s="0" t="s">
        <v>70</v>
      </c>
    </row>
    <row r="269" customFormat="false" ht="15" hidden="false" customHeight="false" outlineLevel="0" collapsed="false">
      <c r="A269" s="0" t="n">
        <v>268</v>
      </c>
      <c r="B269" s="0" t="s">
        <v>155</v>
      </c>
      <c r="C269" s="0" t="s">
        <v>148</v>
      </c>
      <c r="D269" s="0" t="s">
        <v>156</v>
      </c>
      <c r="E269" s="0" t="s">
        <v>157</v>
      </c>
      <c r="F269" s="0" t="s">
        <v>220</v>
      </c>
      <c r="G269" s="0" t="s">
        <v>216</v>
      </c>
      <c r="I269" s="0" t="s">
        <v>70</v>
      </c>
    </row>
    <row r="270" customFormat="false" ht="15" hidden="false" customHeight="false" outlineLevel="0" collapsed="false">
      <c r="A270" s="0" t="n">
        <v>269</v>
      </c>
      <c r="B270" s="0" t="s">
        <v>155</v>
      </c>
      <c r="C270" s="0" t="s">
        <v>148</v>
      </c>
      <c r="D270" s="0" t="s">
        <v>156</v>
      </c>
      <c r="E270" s="0" t="s">
        <v>157</v>
      </c>
      <c r="F270" s="0" t="s">
        <v>221</v>
      </c>
      <c r="G270" s="0" t="s">
        <v>216</v>
      </c>
      <c r="I270" s="0" t="s">
        <v>70</v>
      </c>
    </row>
    <row r="271" customFormat="false" ht="15" hidden="false" customHeight="false" outlineLevel="0" collapsed="false">
      <c r="A271" s="0" t="n">
        <v>270</v>
      </c>
      <c r="B271" s="0" t="s">
        <v>155</v>
      </c>
      <c r="C271" s="0" t="s">
        <v>148</v>
      </c>
      <c r="D271" s="0" t="s">
        <v>156</v>
      </c>
      <c r="E271" s="0" t="s">
        <v>157</v>
      </c>
      <c r="F271" s="0" t="s">
        <v>222</v>
      </c>
      <c r="G271" s="0" t="s">
        <v>216</v>
      </c>
      <c r="I271" s="0" t="s">
        <v>70</v>
      </c>
    </row>
    <row r="272" customFormat="false" ht="15" hidden="false" customHeight="false" outlineLevel="0" collapsed="false">
      <c r="A272" s="0" t="n">
        <v>271</v>
      </c>
      <c r="B272" s="0" t="s">
        <v>155</v>
      </c>
      <c r="C272" s="0" t="s">
        <v>148</v>
      </c>
      <c r="D272" s="0" t="s">
        <v>156</v>
      </c>
      <c r="E272" s="0" t="s">
        <v>157</v>
      </c>
      <c r="F272" s="0" t="s">
        <v>462</v>
      </c>
      <c r="G272" s="0" t="s">
        <v>216</v>
      </c>
      <c r="I272" s="0" t="s">
        <v>70</v>
      </c>
    </row>
    <row r="273" customFormat="false" ht="15" hidden="false" customHeight="false" outlineLevel="0" collapsed="false">
      <c r="A273" s="0" t="n">
        <v>272</v>
      </c>
      <c r="B273" s="0" t="s">
        <v>155</v>
      </c>
      <c r="C273" s="0" t="s">
        <v>148</v>
      </c>
      <c r="D273" s="0" t="s">
        <v>156</v>
      </c>
      <c r="E273" s="0" t="s">
        <v>157</v>
      </c>
      <c r="F273" s="0" t="s">
        <v>334</v>
      </c>
      <c r="G273" s="0" t="s">
        <v>216</v>
      </c>
      <c r="I273" s="0" t="s">
        <v>70</v>
      </c>
    </row>
    <row r="274" customFormat="false" ht="15" hidden="false" customHeight="false" outlineLevel="0" collapsed="false">
      <c r="A274" s="0" t="n">
        <v>273</v>
      </c>
      <c r="B274" s="0" t="s">
        <v>155</v>
      </c>
      <c r="C274" s="0" t="s">
        <v>148</v>
      </c>
      <c r="D274" s="0" t="s">
        <v>156</v>
      </c>
      <c r="E274" s="0" t="s">
        <v>157</v>
      </c>
      <c r="F274" s="0" t="s">
        <v>242</v>
      </c>
      <c r="G274" s="0" t="s">
        <v>216</v>
      </c>
      <c r="I274" s="0" t="s">
        <v>70</v>
      </c>
    </row>
    <row r="275" customFormat="false" ht="15" hidden="false" customHeight="false" outlineLevel="0" collapsed="false">
      <c r="A275" s="0" t="n">
        <v>274</v>
      </c>
      <c r="B275" s="0" t="s">
        <v>158</v>
      </c>
      <c r="C275" s="0" t="s">
        <v>148</v>
      </c>
      <c r="D275" s="0" t="s">
        <v>159</v>
      </c>
      <c r="E275" s="0" t="s">
        <v>160</v>
      </c>
      <c r="F275" s="0" t="s">
        <v>227</v>
      </c>
      <c r="G275" s="0" t="s">
        <v>350</v>
      </c>
      <c r="I275" s="0" t="s">
        <v>161</v>
      </c>
    </row>
    <row r="276" customFormat="false" ht="15" hidden="false" customHeight="false" outlineLevel="0" collapsed="false">
      <c r="A276" s="0" t="n">
        <v>275</v>
      </c>
      <c r="B276" s="0" t="s">
        <v>158</v>
      </c>
      <c r="C276" s="0" t="s">
        <v>148</v>
      </c>
      <c r="D276" s="0" t="s">
        <v>159</v>
      </c>
      <c r="E276" s="0" t="s">
        <v>160</v>
      </c>
      <c r="F276" s="0" t="s">
        <v>463</v>
      </c>
      <c r="G276" s="0" t="s">
        <v>351</v>
      </c>
      <c r="I276" s="0" t="s">
        <v>161</v>
      </c>
    </row>
    <row r="277" customFormat="false" ht="15" hidden="false" customHeight="false" outlineLevel="0" collapsed="false">
      <c r="A277" s="0" t="n">
        <v>276</v>
      </c>
      <c r="B277" s="0" t="s">
        <v>158</v>
      </c>
      <c r="C277" s="0" t="s">
        <v>148</v>
      </c>
      <c r="D277" s="0" t="s">
        <v>159</v>
      </c>
      <c r="E277" s="0" t="s">
        <v>160</v>
      </c>
      <c r="F277" s="0" t="s">
        <v>225</v>
      </c>
      <c r="G277" s="0" t="s">
        <v>216</v>
      </c>
      <c r="I277" s="0" t="s">
        <v>161</v>
      </c>
    </row>
    <row r="278" customFormat="false" ht="15" hidden="false" customHeight="false" outlineLevel="0" collapsed="false">
      <c r="A278" s="0" t="n">
        <v>277</v>
      </c>
      <c r="B278" s="0" t="s">
        <v>158</v>
      </c>
      <c r="C278" s="0" t="s">
        <v>148</v>
      </c>
      <c r="D278" s="0" t="s">
        <v>159</v>
      </c>
      <c r="E278" s="0" t="s">
        <v>160</v>
      </c>
      <c r="F278" s="0" t="s">
        <v>464</v>
      </c>
      <c r="G278" s="0" t="s">
        <v>216</v>
      </c>
      <c r="I278" s="0" t="s">
        <v>161</v>
      </c>
    </row>
    <row r="279" customFormat="false" ht="15" hidden="false" customHeight="false" outlineLevel="0" collapsed="false">
      <c r="A279" s="0" t="n">
        <v>278</v>
      </c>
      <c r="B279" s="0" t="s">
        <v>158</v>
      </c>
      <c r="C279" s="0" t="s">
        <v>148</v>
      </c>
      <c r="D279" s="0" t="s">
        <v>159</v>
      </c>
      <c r="E279" s="0" t="s">
        <v>160</v>
      </c>
      <c r="F279" s="0" t="s">
        <v>465</v>
      </c>
      <c r="G279" s="0" t="s">
        <v>216</v>
      </c>
      <c r="I279" s="0" t="s">
        <v>161</v>
      </c>
    </row>
    <row r="280" customFormat="false" ht="15" hidden="false" customHeight="false" outlineLevel="0" collapsed="false">
      <c r="A280" s="0" t="n">
        <v>279</v>
      </c>
      <c r="B280" s="0" t="s">
        <v>158</v>
      </c>
      <c r="C280" s="0" t="s">
        <v>148</v>
      </c>
      <c r="D280" s="0" t="s">
        <v>159</v>
      </c>
      <c r="E280" s="0" t="s">
        <v>160</v>
      </c>
      <c r="F280" s="0" t="s">
        <v>221</v>
      </c>
      <c r="G280" s="0" t="s">
        <v>216</v>
      </c>
      <c r="I280" s="0" t="s">
        <v>161</v>
      </c>
    </row>
    <row r="281" customFormat="false" ht="15" hidden="false" customHeight="false" outlineLevel="0" collapsed="false">
      <c r="A281" s="0" t="n">
        <v>280</v>
      </c>
      <c r="B281" s="0" t="s">
        <v>158</v>
      </c>
      <c r="C281" s="0" t="s">
        <v>148</v>
      </c>
      <c r="D281" s="0" t="s">
        <v>159</v>
      </c>
      <c r="E281" s="0" t="s">
        <v>160</v>
      </c>
      <c r="F281" s="0" t="s">
        <v>466</v>
      </c>
      <c r="G281" s="0" t="s">
        <v>216</v>
      </c>
      <c r="I281" s="0" t="s">
        <v>161</v>
      </c>
    </row>
    <row r="282" customFormat="false" ht="15" hidden="false" customHeight="false" outlineLevel="0" collapsed="false">
      <c r="A282" s="0" t="n">
        <v>281</v>
      </c>
      <c r="B282" s="0" t="s">
        <v>162</v>
      </c>
      <c r="C282" s="0" t="s">
        <v>148</v>
      </c>
      <c r="D282" s="0" t="s">
        <v>163</v>
      </c>
      <c r="E282" s="0" t="s">
        <v>164</v>
      </c>
      <c r="F282" s="0" t="s">
        <v>467</v>
      </c>
      <c r="G282" s="0" t="s">
        <v>468</v>
      </c>
      <c r="I282" s="0" t="s">
        <v>165</v>
      </c>
    </row>
    <row r="283" customFormat="false" ht="15" hidden="false" customHeight="false" outlineLevel="0" collapsed="false">
      <c r="A283" s="0" t="n">
        <v>282</v>
      </c>
      <c r="B283" s="0" t="s">
        <v>162</v>
      </c>
      <c r="C283" s="0" t="s">
        <v>148</v>
      </c>
      <c r="D283" s="0" t="s">
        <v>163</v>
      </c>
      <c r="E283" s="0" t="s">
        <v>164</v>
      </c>
      <c r="F283" s="0" t="s">
        <v>469</v>
      </c>
      <c r="G283" s="0" t="s">
        <v>468</v>
      </c>
      <c r="I283" s="0" t="s">
        <v>165</v>
      </c>
    </row>
    <row r="284" customFormat="false" ht="15" hidden="false" customHeight="false" outlineLevel="0" collapsed="false">
      <c r="A284" s="0" t="n">
        <v>283</v>
      </c>
      <c r="B284" s="0" t="s">
        <v>162</v>
      </c>
      <c r="C284" s="0" t="s">
        <v>148</v>
      </c>
      <c r="D284" s="0" t="s">
        <v>163</v>
      </c>
      <c r="E284" s="0" t="s">
        <v>164</v>
      </c>
      <c r="F284" s="0" t="s">
        <v>221</v>
      </c>
      <c r="G284" s="0" t="s">
        <v>468</v>
      </c>
      <c r="I284" s="0" t="s">
        <v>165</v>
      </c>
    </row>
    <row r="285" customFormat="false" ht="15" hidden="false" customHeight="false" outlineLevel="0" collapsed="false">
      <c r="A285" s="0" t="n">
        <v>284</v>
      </c>
      <c r="B285" s="0" t="s">
        <v>162</v>
      </c>
      <c r="C285" s="0" t="s">
        <v>148</v>
      </c>
      <c r="D285" s="0" t="s">
        <v>163</v>
      </c>
      <c r="E285" s="0" t="s">
        <v>164</v>
      </c>
      <c r="F285" s="0" t="s">
        <v>222</v>
      </c>
      <c r="G285" s="0" t="s">
        <v>468</v>
      </c>
      <c r="I285" s="0" t="s">
        <v>165</v>
      </c>
    </row>
    <row r="286" customFormat="false" ht="15" hidden="false" customHeight="false" outlineLevel="0" collapsed="false">
      <c r="A286" s="0" t="n">
        <v>285</v>
      </c>
      <c r="B286" s="0" t="s">
        <v>162</v>
      </c>
      <c r="C286" s="0" t="s">
        <v>148</v>
      </c>
      <c r="D286" s="0" t="s">
        <v>163</v>
      </c>
      <c r="E286" s="0" t="s">
        <v>164</v>
      </c>
      <c r="F286" s="0" t="s">
        <v>246</v>
      </c>
      <c r="G286" s="0" t="s">
        <v>468</v>
      </c>
      <c r="I286" s="0" t="s">
        <v>165</v>
      </c>
    </row>
    <row r="287" customFormat="false" ht="15" hidden="false" customHeight="false" outlineLevel="0" collapsed="false">
      <c r="A287" s="0" t="n">
        <v>286</v>
      </c>
      <c r="B287" s="0" t="s">
        <v>162</v>
      </c>
      <c r="C287" s="0" t="s">
        <v>148</v>
      </c>
      <c r="D287" s="0" t="s">
        <v>163</v>
      </c>
      <c r="E287" s="0" t="s">
        <v>164</v>
      </c>
      <c r="F287" s="0" t="s">
        <v>470</v>
      </c>
      <c r="G287" s="0" t="s">
        <v>471</v>
      </c>
      <c r="I287" s="0" t="s">
        <v>165</v>
      </c>
    </row>
    <row r="288" customFormat="false" ht="15" hidden="false" customHeight="false" outlineLevel="0" collapsed="false">
      <c r="A288" s="0" t="n">
        <v>287</v>
      </c>
      <c r="B288" s="0" t="s">
        <v>166</v>
      </c>
      <c r="C288" s="0" t="s">
        <v>167</v>
      </c>
      <c r="D288" s="0" t="s">
        <v>168</v>
      </c>
      <c r="E288" s="0" t="s">
        <v>169</v>
      </c>
      <c r="F288" s="0" t="s">
        <v>227</v>
      </c>
      <c r="G288" s="0" t="s">
        <v>216</v>
      </c>
      <c r="I288" s="0" t="s">
        <v>170</v>
      </c>
    </row>
    <row r="289" customFormat="false" ht="15" hidden="false" customHeight="false" outlineLevel="0" collapsed="false">
      <c r="A289" s="0" t="n">
        <v>288</v>
      </c>
      <c r="B289" s="0" t="s">
        <v>166</v>
      </c>
      <c r="C289" s="0" t="s">
        <v>167</v>
      </c>
      <c r="D289" s="0" t="s">
        <v>168</v>
      </c>
      <c r="E289" s="0" t="s">
        <v>169</v>
      </c>
      <c r="F289" s="0" t="s">
        <v>472</v>
      </c>
      <c r="G289" s="0" t="s">
        <v>216</v>
      </c>
      <c r="I289" s="0" t="s">
        <v>170</v>
      </c>
    </row>
    <row r="290" customFormat="false" ht="15" hidden="false" customHeight="false" outlineLevel="0" collapsed="false">
      <c r="A290" s="0" t="n">
        <v>289</v>
      </c>
      <c r="B290" s="0" t="s">
        <v>166</v>
      </c>
      <c r="C290" s="0" t="s">
        <v>167</v>
      </c>
      <c r="D290" s="0" t="s">
        <v>168</v>
      </c>
      <c r="E290" s="0" t="s">
        <v>169</v>
      </c>
      <c r="F290" s="0" t="s">
        <v>242</v>
      </c>
      <c r="G290" s="0" t="s">
        <v>216</v>
      </c>
      <c r="I290" s="0" t="s">
        <v>170</v>
      </c>
    </row>
    <row r="291" customFormat="false" ht="15" hidden="false" customHeight="false" outlineLevel="0" collapsed="false">
      <c r="A291" s="0" t="n">
        <v>290</v>
      </c>
      <c r="B291" s="0" t="s">
        <v>166</v>
      </c>
      <c r="C291" s="0" t="s">
        <v>167</v>
      </c>
      <c r="D291" s="0" t="s">
        <v>168</v>
      </c>
      <c r="E291" s="0" t="s">
        <v>169</v>
      </c>
      <c r="F291" s="0" t="s">
        <v>334</v>
      </c>
      <c r="G291" s="0" t="s">
        <v>216</v>
      </c>
      <c r="I291" s="0" t="s">
        <v>170</v>
      </c>
    </row>
    <row r="292" customFormat="false" ht="15" hidden="false" customHeight="false" outlineLevel="0" collapsed="false">
      <c r="A292" s="0" t="n">
        <v>291</v>
      </c>
      <c r="B292" s="0" t="s">
        <v>166</v>
      </c>
      <c r="C292" s="0" t="s">
        <v>167</v>
      </c>
      <c r="D292" s="0" t="s">
        <v>168</v>
      </c>
      <c r="E292" s="0" t="s">
        <v>169</v>
      </c>
      <c r="F292" s="0" t="s">
        <v>336</v>
      </c>
      <c r="G292" s="0" t="s">
        <v>216</v>
      </c>
      <c r="I292" s="0" t="s">
        <v>170</v>
      </c>
    </row>
    <row r="293" customFormat="false" ht="15" hidden="false" customHeight="false" outlineLevel="0" collapsed="false">
      <c r="A293" s="0" t="n">
        <v>292</v>
      </c>
      <c r="B293" s="0" t="s">
        <v>166</v>
      </c>
      <c r="C293" s="0" t="s">
        <v>167</v>
      </c>
      <c r="D293" s="0" t="s">
        <v>168</v>
      </c>
      <c r="E293" s="0" t="s">
        <v>169</v>
      </c>
      <c r="F293" s="0" t="s">
        <v>473</v>
      </c>
      <c r="G293" s="0" t="s">
        <v>216</v>
      </c>
      <c r="I293" s="0" t="s">
        <v>170</v>
      </c>
    </row>
    <row r="294" customFormat="false" ht="15" hidden="false" customHeight="false" outlineLevel="0" collapsed="false">
      <c r="A294" s="0" t="n">
        <v>293</v>
      </c>
      <c r="B294" s="0" t="s">
        <v>171</v>
      </c>
      <c r="C294" s="0" t="s">
        <v>167</v>
      </c>
      <c r="D294" s="0" t="s">
        <v>172</v>
      </c>
      <c r="E294" s="0" t="s">
        <v>173</v>
      </c>
      <c r="F294" s="0" t="s">
        <v>227</v>
      </c>
      <c r="G294" s="0" t="s">
        <v>350</v>
      </c>
      <c r="I294" s="0" t="s">
        <v>174</v>
      </c>
    </row>
    <row r="295" customFormat="false" ht="15" hidden="false" customHeight="false" outlineLevel="0" collapsed="false">
      <c r="A295" s="0" t="n">
        <v>294</v>
      </c>
      <c r="B295" s="0" t="s">
        <v>171</v>
      </c>
      <c r="C295" s="0" t="s">
        <v>167</v>
      </c>
      <c r="D295" s="0" t="s">
        <v>172</v>
      </c>
      <c r="E295" s="0" t="s">
        <v>173</v>
      </c>
      <c r="F295" s="0" t="s">
        <v>242</v>
      </c>
      <c r="G295" s="0" t="s">
        <v>351</v>
      </c>
      <c r="I295" s="0" t="s">
        <v>174</v>
      </c>
    </row>
    <row r="296" customFormat="false" ht="15" hidden="false" customHeight="false" outlineLevel="0" collapsed="false">
      <c r="A296" s="0" t="n">
        <v>295</v>
      </c>
      <c r="B296" s="0" t="s">
        <v>171</v>
      </c>
      <c r="C296" s="0" t="s">
        <v>167</v>
      </c>
      <c r="D296" s="0" t="s">
        <v>172</v>
      </c>
      <c r="E296" s="0" t="s">
        <v>173</v>
      </c>
      <c r="F296" s="0" t="s">
        <v>474</v>
      </c>
      <c r="G296" s="0" t="s">
        <v>216</v>
      </c>
      <c r="I296" s="0" t="s">
        <v>174</v>
      </c>
    </row>
    <row r="297" customFormat="false" ht="15" hidden="false" customHeight="false" outlineLevel="0" collapsed="false">
      <c r="A297" s="0" t="n">
        <v>296</v>
      </c>
      <c r="B297" s="0" t="s">
        <v>171</v>
      </c>
      <c r="C297" s="0" t="s">
        <v>167</v>
      </c>
      <c r="D297" s="0" t="s">
        <v>172</v>
      </c>
      <c r="E297" s="0" t="s">
        <v>173</v>
      </c>
      <c r="F297" s="0" t="s">
        <v>280</v>
      </c>
      <c r="G297" s="0" t="s">
        <v>216</v>
      </c>
      <c r="I297" s="0" t="s">
        <v>174</v>
      </c>
    </row>
    <row r="298" customFormat="false" ht="15" hidden="false" customHeight="false" outlineLevel="0" collapsed="false">
      <c r="A298" s="0" t="n">
        <v>297</v>
      </c>
      <c r="B298" s="0" t="s">
        <v>171</v>
      </c>
      <c r="C298" s="0" t="s">
        <v>167</v>
      </c>
      <c r="D298" s="0" t="s">
        <v>172</v>
      </c>
      <c r="E298" s="0" t="s">
        <v>173</v>
      </c>
      <c r="F298" s="0" t="s">
        <v>222</v>
      </c>
      <c r="G298" s="0" t="s">
        <v>216</v>
      </c>
      <c r="I298" s="0" t="s">
        <v>174</v>
      </c>
    </row>
    <row r="299" customFormat="false" ht="15" hidden="false" customHeight="false" outlineLevel="0" collapsed="false">
      <c r="A299" s="0" t="n">
        <v>298</v>
      </c>
      <c r="B299" s="0" t="s">
        <v>171</v>
      </c>
      <c r="C299" s="0" t="s">
        <v>167</v>
      </c>
      <c r="D299" s="0" t="s">
        <v>172</v>
      </c>
      <c r="E299" s="0" t="s">
        <v>173</v>
      </c>
      <c r="F299" s="0" t="s">
        <v>475</v>
      </c>
      <c r="G299" s="0" t="s">
        <v>216</v>
      </c>
      <c r="I299" s="0" t="s">
        <v>174</v>
      </c>
    </row>
    <row r="300" customFormat="false" ht="15" hidden="false" customHeight="false" outlineLevel="0" collapsed="false">
      <c r="A300" s="0" t="n">
        <v>299</v>
      </c>
      <c r="B300" s="0" t="s">
        <v>175</v>
      </c>
      <c r="C300" s="0" t="s">
        <v>176</v>
      </c>
      <c r="D300" s="0" t="s">
        <v>177</v>
      </c>
      <c r="E300" s="0" t="s">
        <v>178</v>
      </c>
      <c r="F300" s="0" t="s">
        <v>229</v>
      </c>
      <c r="G300" s="0" t="s">
        <v>458</v>
      </c>
      <c r="I300" s="0" t="s">
        <v>179</v>
      </c>
    </row>
    <row r="301" customFormat="false" ht="15" hidden="false" customHeight="false" outlineLevel="0" collapsed="false">
      <c r="A301" s="0" t="n">
        <v>300</v>
      </c>
      <c r="B301" s="0" t="s">
        <v>175</v>
      </c>
      <c r="C301" s="0" t="s">
        <v>176</v>
      </c>
      <c r="D301" s="0" t="s">
        <v>177</v>
      </c>
      <c r="E301" s="0" t="s">
        <v>178</v>
      </c>
      <c r="F301" s="0" t="s">
        <v>423</v>
      </c>
      <c r="G301" s="0" t="s">
        <v>476</v>
      </c>
      <c r="I301" s="0" t="s">
        <v>179</v>
      </c>
    </row>
    <row r="302" customFormat="false" ht="15" hidden="false" customHeight="false" outlineLevel="0" collapsed="false">
      <c r="A302" s="0" t="n">
        <v>301</v>
      </c>
      <c r="B302" s="0" t="s">
        <v>175</v>
      </c>
      <c r="C302" s="0" t="s">
        <v>176</v>
      </c>
      <c r="D302" s="0" t="s">
        <v>177</v>
      </c>
      <c r="E302" s="0" t="s">
        <v>178</v>
      </c>
      <c r="F302" s="0" t="s">
        <v>477</v>
      </c>
      <c r="G302" s="0" t="s">
        <v>478</v>
      </c>
      <c r="I302" s="0" t="s">
        <v>179</v>
      </c>
    </row>
    <row r="303" customFormat="false" ht="15" hidden="false" customHeight="false" outlineLevel="0" collapsed="false">
      <c r="A303" s="0" t="n">
        <v>302</v>
      </c>
      <c r="B303" s="0" t="s">
        <v>175</v>
      </c>
      <c r="C303" s="0" t="s">
        <v>176</v>
      </c>
      <c r="D303" s="0" t="s">
        <v>177</v>
      </c>
      <c r="E303" s="0" t="s">
        <v>178</v>
      </c>
      <c r="F303" s="0" t="s">
        <v>479</v>
      </c>
      <c r="G303" s="0" t="s">
        <v>480</v>
      </c>
      <c r="I303" s="0" t="s">
        <v>179</v>
      </c>
    </row>
    <row r="304" customFormat="false" ht="15" hidden="false" customHeight="false" outlineLevel="0" collapsed="false">
      <c r="A304" s="0" t="n">
        <v>303</v>
      </c>
      <c r="B304" s="0" t="s">
        <v>175</v>
      </c>
      <c r="C304" s="0" t="s">
        <v>176</v>
      </c>
      <c r="D304" s="0" t="s">
        <v>177</v>
      </c>
      <c r="E304" s="0" t="s">
        <v>178</v>
      </c>
      <c r="F304" s="0" t="s">
        <v>481</v>
      </c>
      <c r="G304" s="0" t="s">
        <v>482</v>
      </c>
      <c r="I304" s="0" t="s">
        <v>179</v>
      </c>
    </row>
    <row r="305" customFormat="false" ht="15" hidden="false" customHeight="false" outlineLevel="0" collapsed="false">
      <c r="A305" s="0" t="n">
        <v>304</v>
      </c>
      <c r="B305" s="0" t="s">
        <v>175</v>
      </c>
      <c r="C305" s="0" t="s">
        <v>176</v>
      </c>
      <c r="D305" s="0" t="s">
        <v>177</v>
      </c>
      <c r="E305" s="0" t="s">
        <v>178</v>
      </c>
      <c r="F305" s="0" t="s">
        <v>227</v>
      </c>
      <c r="G305" s="0" t="s">
        <v>216</v>
      </c>
      <c r="I305" s="0" t="s">
        <v>179</v>
      </c>
    </row>
    <row r="306" customFormat="false" ht="15" hidden="false" customHeight="false" outlineLevel="0" collapsed="false">
      <c r="A306" s="0" t="n">
        <v>305</v>
      </c>
      <c r="B306" s="0" t="s">
        <v>175</v>
      </c>
      <c r="C306" s="0" t="s">
        <v>176</v>
      </c>
      <c r="D306" s="0" t="s">
        <v>177</v>
      </c>
      <c r="E306" s="0" t="s">
        <v>178</v>
      </c>
      <c r="F306" s="0" t="s">
        <v>483</v>
      </c>
      <c r="G306" s="0" t="s">
        <v>216</v>
      </c>
      <c r="I306" s="0" t="s">
        <v>179</v>
      </c>
    </row>
    <row r="307" customFormat="false" ht="15" hidden="false" customHeight="false" outlineLevel="0" collapsed="false">
      <c r="A307" s="0" t="n">
        <v>306</v>
      </c>
      <c r="B307" s="0" t="s">
        <v>180</v>
      </c>
      <c r="C307" s="0" t="s">
        <v>176</v>
      </c>
      <c r="D307" s="0" t="s">
        <v>181</v>
      </c>
      <c r="E307" s="0" t="s">
        <v>182</v>
      </c>
      <c r="F307" s="0" t="s">
        <v>227</v>
      </c>
      <c r="G307" s="0" t="s">
        <v>216</v>
      </c>
      <c r="I307" s="0" t="s">
        <v>183</v>
      </c>
    </row>
    <row r="308" customFormat="false" ht="15" hidden="false" customHeight="false" outlineLevel="0" collapsed="false">
      <c r="A308" s="0" t="n">
        <v>307</v>
      </c>
      <c r="B308" s="0" t="s">
        <v>180</v>
      </c>
      <c r="C308" s="0" t="s">
        <v>176</v>
      </c>
      <c r="D308" s="0" t="s">
        <v>181</v>
      </c>
      <c r="E308" s="0" t="s">
        <v>182</v>
      </c>
      <c r="F308" s="0" t="s">
        <v>228</v>
      </c>
      <c r="G308" s="0" t="s">
        <v>216</v>
      </c>
      <c r="I308" s="0" t="s">
        <v>183</v>
      </c>
    </row>
    <row r="309" customFormat="false" ht="15" hidden="false" customHeight="false" outlineLevel="0" collapsed="false">
      <c r="A309" s="0" t="n">
        <v>308</v>
      </c>
      <c r="B309" s="0" t="s">
        <v>180</v>
      </c>
      <c r="C309" s="0" t="s">
        <v>176</v>
      </c>
      <c r="D309" s="0" t="s">
        <v>181</v>
      </c>
      <c r="E309" s="0" t="s">
        <v>182</v>
      </c>
      <c r="F309" s="0" t="s">
        <v>235</v>
      </c>
      <c r="G309" s="0" t="s">
        <v>216</v>
      </c>
      <c r="I309" s="0" t="s">
        <v>183</v>
      </c>
    </row>
    <row r="310" customFormat="false" ht="15" hidden="false" customHeight="false" outlineLevel="0" collapsed="false">
      <c r="A310" s="0" t="n">
        <v>309</v>
      </c>
      <c r="B310" s="0" t="s">
        <v>180</v>
      </c>
      <c r="C310" s="0" t="s">
        <v>176</v>
      </c>
      <c r="D310" s="0" t="s">
        <v>181</v>
      </c>
      <c r="E310" s="0" t="s">
        <v>182</v>
      </c>
      <c r="F310" s="0" t="s">
        <v>242</v>
      </c>
      <c r="G310" s="0" t="s">
        <v>216</v>
      </c>
      <c r="I310" s="0" t="s">
        <v>183</v>
      </c>
    </row>
    <row r="311" customFormat="false" ht="15" hidden="false" customHeight="false" outlineLevel="0" collapsed="false">
      <c r="A311" s="0" t="n">
        <v>310</v>
      </c>
      <c r="B311" s="0" t="s">
        <v>180</v>
      </c>
      <c r="C311" s="0" t="s">
        <v>176</v>
      </c>
      <c r="D311" s="0" t="s">
        <v>181</v>
      </c>
      <c r="E311" s="0" t="s">
        <v>182</v>
      </c>
      <c r="F311" s="0" t="s">
        <v>223</v>
      </c>
      <c r="G311" s="0" t="s">
        <v>216</v>
      </c>
      <c r="I311" s="0" t="s">
        <v>183</v>
      </c>
    </row>
    <row r="312" customFormat="false" ht="15" hidden="false" customHeight="false" outlineLevel="0" collapsed="false">
      <c r="A312" s="0" t="n">
        <v>311</v>
      </c>
      <c r="B312" s="0" t="s">
        <v>180</v>
      </c>
      <c r="C312" s="0" t="s">
        <v>176</v>
      </c>
      <c r="D312" s="0" t="s">
        <v>181</v>
      </c>
      <c r="E312" s="0" t="s">
        <v>182</v>
      </c>
      <c r="F312" s="0" t="s">
        <v>254</v>
      </c>
      <c r="G312" s="0" t="s">
        <v>216</v>
      </c>
      <c r="I312" s="0" t="s">
        <v>183</v>
      </c>
    </row>
    <row r="313" customFormat="false" ht="15" hidden="false" customHeight="false" outlineLevel="0" collapsed="false">
      <c r="A313" s="0" t="n">
        <v>312</v>
      </c>
      <c r="B313" s="0" t="s">
        <v>180</v>
      </c>
      <c r="C313" s="0" t="s">
        <v>176</v>
      </c>
      <c r="D313" s="0" t="s">
        <v>181</v>
      </c>
      <c r="E313" s="0" t="s">
        <v>182</v>
      </c>
      <c r="F313" s="0" t="s">
        <v>221</v>
      </c>
      <c r="G313" s="0" t="s">
        <v>216</v>
      </c>
      <c r="I313" s="0" t="s">
        <v>183</v>
      </c>
    </row>
    <row r="314" customFormat="false" ht="15" hidden="false" customHeight="false" outlineLevel="0" collapsed="false">
      <c r="A314" s="0" t="n">
        <v>313</v>
      </c>
      <c r="B314" s="0" t="s">
        <v>180</v>
      </c>
      <c r="C314" s="0" t="s">
        <v>176</v>
      </c>
      <c r="D314" s="0" t="s">
        <v>181</v>
      </c>
      <c r="E314" s="0" t="s">
        <v>182</v>
      </c>
      <c r="F314" s="0" t="s">
        <v>222</v>
      </c>
      <c r="G314" s="0" t="s">
        <v>216</v>
      </c>
      <c r="I314" s="0" t="s">
        <v>183</v>
      </c>
    </row>
    <row r="315" customFormat="false" ht="15" hidden="false" customHeight="false" outlineLevel="0" collapsed="false">
      <c r="A315" s="0" t="n">
        <v>314</v>
      </c>
      <c r="B315" s="0" t="s">
        <v>180</v>
      </c>
      <c r="C315" s="0" t="s">
        <v>176</v>
      </c>
      <c r="D315" s="0" t="s">
        <v>181</v>
      </c>
      <c r="E315" s="0" t="s">
        <v>182</v>
      </c>
      <c r="F315" s="0" t="s">
        <v>255</v>
      </c>
      <c r="G315" s="0" t="s">
        <v>216</v>
      </c>
      <c r="I315" s="0" t="s">
        <v>183</v>
      </c>
    </row>
    <row r="316" customFormat="false" ht="15" hidden="false" customHeight="false" outlineLevel="0" collapsed="false">
      <c r="A316" s="0" t="n">
        <v>315</v>
      </c>
      <c r="B316" s="0" t="s">
        <v>184</v>
      </c>
      <c r="C316" s="0" t="s">
        <v>176</v>
      </c>
      <c r="D316" s="0" t="s">
        <v>185</v>
      </c>
      <c r="E316" s="0" t="s">
        <v>186</v>
      </c>
      <c r="F316" s="0" t="s">
        <v>227</v>
      </c>
      <c r="G316" s="0" t="s">
        <v>216</v>
      </c>
      <c r="I316" s="0" t="s">
        <v>187</v>
      </c>
    </row>
    <row r="317" customFormat="false" ht="15" hidden="false" customHeight="false" outlineLevel="0" collapsed="false">
      <c r="A317" s="0" t="n">
        <v>316</v>
      </c>
      <c r="B317" s="0" t="s">
        <v>184</v>
      </c>
      <c r="C317" s="0" t="s">
        <v>176</v>
      </c>
      <c r="D317" s="0" t="s">
        <v>185</v>
      </c>
      <c r="E317" s="0" t="s">
        <v>186</v>
      </c>
      <c r="F317" s="0" t="s">
        <v>228</v>
      </c>
      <c r="G317" s="0" t="s">
        <v>216</v>
      </c>
      <c r="I317" s="0" t="s">
        <v>187</v>
      </c>
    </row>
    <row r="318" customFormat="false" ht="15" hidden="false" customHeight="false" outlineLevel="0" collapsed="false">
      <c r="A318" s="0" t="n">
        <v>317</v>
      </c>
      <c r="B318" s="0" t="s">
        <v>184</v>
      </c>
      <c r="C318" s="0" t="s">
        <v>176</v>
      </c>
      <c r="D318" s="0" t="s">
        <v>185</v>
      </c>
      <c r="E318" s="0" t="s">
        <v>186</v>
      </c>
      <c r="F318" s="0" t="s">
        <v>242</v>
      </c>
      <c r="G318" s="0" t="s">
        <v>216</v>
      </c>
      <c r="I318" s="0" t="s">
        <v>187</v>
      </c>
    </row>
    <row r="319" customFormat="false" ht="15" hidden="false" customHeight="false" outlineLevel="0" collapsed="false">
      <c r="A319" s="0" t="n">
        <v>318</v>
      </c>
      <c r="B319" s="0" t="s">
        <v>184</v>
      </c>
      <c r="C319" s="0" t="s">
        <v>176</v>
      </c>
      <c r="D319" s="0" t="s">
        <v>185</v>
      </c>
      <c r="E319" s="0" t="s">
        <v>186</v>
      </c>
      <c r="F319" s="0" t="s">
        <v>222</v>
      </c>
      <c r="G319" s="0" t="s">
        <v>216</v>
      </c>
      <c r="I319" s="0" t="s">
        <v>187</v>
      </c>
    </row>
    <row r="320" customFormat="false" ht="15" hidden="false" customHeight="false" outlineLevel="0" collapsed="false">
      <c r="A320" s="0" t="n">
        <v>319</v>
      </c>
      <c r="B320" s="0" t="s">
        <v>184</v>
      </c>
      <c r="C320" s="0" t="s">
        <v>176</v>
      </c>
      <c r="D320" s="0" t="s">
        <v>185</v>
      </c>
      <c r="E320" s="0" t="s">
        <v>186</v>
      </c>
      <c r="F320" s="0" t="s">
        <v>221</v>
      </c>
      <c r="G320" s="0" t="s">
        <v>216</v>
      </c>
      <c r="I320" s="0" t="s">
        <v>187</v>
      </c>
    </row>
    <row r="321" customFormat="false" ht="15" hidden="false" customHeight="false" outlineLevel="0" collapsed="false">
      <c r="A321" s="0" t="n">
        <v>320</v>
      </c>
      <c r="B321" s="0" t="s">
        <v>184</v>
      </c>
      <c r="C321" s="0" t="s">
        <v>176</v>
      </c>
      <c r="D321" s="0" t="s">
        <v>185</v>
      </c>
      <c r="E321" s="0" t="s">
        <v>186</v>
      </c>
      <c r="F321" s="0" t="s">
        <v>289</v>
      </c>
      <c r="G321" s="0" t="s">
        <v>216</v>
      </c>
      <c r="I321" s="0" t="s">
        <v>187</v>
      </c>
    </row>
    <row r="322" customFormat="false" ht="15" hidden="false" customHeight="false" outlineLevel="0" collapsed="false">
      <c r="A322" s="0" t="n">
        <v>321</v>
      </c>
      <c r="B322" s="0" t="s">
        <v>184</v>
      </c>
      <c r="C322" s="0" t="s">
        <v>176</v>
      </c>
      <c r="D322" s="0" t="s">
        <v>185</v>
      </c>
      <c r="E322" s="0" t="s">
        <v>186</v>
      </c>
      <c r="F322" s="0" t="s">
        <v>290</v>
      </c>
      <c r="G322" s="0" t="s">
        <v>216</v>
      </c>
      <c r="I322" s="0" t="s">
        <v>187</v>
      </c>
    </row>
    <row r="323" customFormat="false" ht="15" hidden="false" customHeight="false" outlineLevel="0" collapsed="false">
      <c r="A323" s="0" t="n">
        <v>322</v>
      </c>
      <c r="B323" s="0" t="s">
        <v>184</v>
      </c>
      <c r="C323" s="0" t="s">
        <v>176</v>
      </c>
      <c r="D323" s="0" t="s">
        <v>185</v>
      </c>
      <c r="E323" s="0" t="s">
        <v>186</v>
      </c>
      <c r="F323" s="0" t="s">
        <v>225</v>
      </c>
      <c r="G323" s="0" t="s">
        <v>216</v>
      </c>
      <c r="I323" s="0" t="s">
        <v>187</v>
      </c>
    </row>
    <row r="324" customFormat="false" ht="15" hidden="false" customHeight="false" outlineLevel="0" collapsed="false">
      <c r="A324" s="0" t="n">
        <v>323</v>
      </c>
      <c r="B324" s="0" t="s">
        <v>184</v>
      </c>
      <c r="C324" s="0" t="s">
        <v>176</v>
      </c>
      <c r="D324" s="0" t="s">
        <v>185</v>
      </c>
      <c r="E324" s="0" t="s">
        <v>186</v>
      </c>
      <c r="F324" s="0" t="s">
        <v>291</v>
      </c>
      <c r="G324" s="0" t="s">
        <v>216</v>
      </c>
      <c r="I324" s="0" t="s">
        <v>187</v>
      </c>
    </row>
    <row r="325" customFormat="false" ht="15" hidden="false" customHeight="false" outlineLevel="0" collapsed="false">
      <c r="A325" s="0" t="n">
        <v>324</v>
      </c>
      <c r="B325" s="0" t="s">
        <v>184</v>
      </c>
      <c r="C325" s="0" t="s">
        <v>176</v>
      </c>
      <c r="D325" s="0" t="s">
        <v>185</v>
      </c>
      <c r="E325" s="0" t="s">
        <v>186</v>
      </c>
      <c r="F325" s="0" t="s">
        <v>236</v>
      </c>
      <c r="G325" s="0" t="s">
        <v>216</v>
      </c>
      <c r="I325" s="0" t="s">
        <v>187</v>
      </c>
    </row>
    <row r="326" customFormat="false" ht="15" hidden="false" customHeight="false" outlineLevel="0" collapsed="false">
      <c r="A326" s="0" t="n">
        <v>325</v>
      </c>
      <c r="B326" s="0" t="s">
        <v>184</v>
      </c>
      <c r="C326" s="0" t="s">
        <v>176</v>
      </c>
      <c r="D326" s="0" t="s">
        <v>185</v>
      </c>
      <c r="E326" s="0" t="s">
        <v>186</v>
      </c>
      <c r="F326" s="0" t="s">
        <v>292</v>
      </c>
      <c r="G326" s="0" t="s">
        <v>216</v>
      </c>
      <c r="I326" s="0" t="s">
        <v>187</v>
      </c>
    </row>
    <row r="327" customFormat="false" ht="15" hidden="false" customHeight="false" outlineLevel="0" collapsed="false">
      <c r="A327" s="0" t="n">
        <v>326</v>
      </c>
      <c r="B327" s="0" t="s">
        <v>184</v>
      </c>
      <c r="C327" s="0" t="s">
        <v>176</v>
      </c>
      <c r="D327" s="0" t="s">
        <v>185</v>
      </c>
      <c r="E327" s="0" t="s">
        <v>186</v>
      </c>
      <c r="F327" s="0" t="s">
        <v>293</v>
      </c>
      <c r="G327" s="0" t="s">
        <v>216</v>
      </c>
      <c r="I327" s="0" t="s">
        <v>187</v>
      </c>
    </row>
    <row r="328" customFormat="false" ht="15" hidden="false" customHeight="false" outlineLevel="0" collapsed="false">
      <c r="A328" s="0" t="n">
        <v>327</v>
      </c>
      <c r="B328" s="0" t="s">
        <v>184</v>
      </c>
      <c r="C328" s="0" t="s">
        <v>176</v>
      </c>
      <c r="D328" s="0" t="s">
        <v>185</v>
      </c>
      <c r="E328" s="0" t="s">
        <v>186</v>
      </c>
      <c r="F328" s="0" t="s">
        <v>294</v>
      </c>
      <c r="G328" s="0" t="s">
        <v>216</v>
      </c>
      <c r="I328" s="0" t="s">
        <v>187</v>
      </c>
    </row>
    <row r="329" customFormat="false" ht="15" hidden="false" customHeight="false" outlineLevel="0" collapsed="false">
      <c r="A329" s="0" t="n">
        <v>328</v>
      </c>
      <c r="B329" s="0" t="s">
        <v>184</v>
      </c>
      <c r="C329" s="0" t="s">
        <v>176</v>
      </c>
      <c r="D329" s="0" t="s">
        <v>185</v>
      </c>
      <c r="E329" s="0" t="s">
        <v>186</v>
      </c>
      <c r="F329" s="0" t="s">
        <v>223</v>
      </c>
      <c r="G329" s="0" t="s">
        <v>216</v>
      </c>
      <c r="I329" s="0" t="s">
        <v>187</v>
      </c>
    </row>
    <row r="330" customFormat="false" ht="15" hidden="false" customHeight="false" outlineLevel="0" collapsed="false">
      <c r="A330" s="0" t="n">
        <v>329</v>
      </c>
      <c r="B330" s="0" t="s">
        <v>188</v>
      </c>
      <c r="C330" s="0" t="s">
        <v>189</v>
      </c>
      <c r="D330" s="0" t="s">
        <v>190</v>
      </c>
      <c r="E330" s="0" t="s">
        <v>191</v>
      </c>
      <c r="F330" s="0" t="s">
        <v>459</v>
      </c>
      <c r="G330" s="0" t="s">
        <v>460</v>
      </c>
      <c r="I330" s="0" t="s">
        <v>192</v>
      </c>
    </row>
    <row r="331" customFormat="false" ht="15" hidden="false" customHeight="false" outlineLevel="0" collapsed="false">
      <c r="A331" s="0" t="n">
        <v>330</v>
      </c>
      <c r="B331" s="0" t="s">
        <v>188</v>
      </c>
      <c r="C331" s="0" t="s">
        <v>189</v>
      </c>
      <c r="D331" s="0" t="s">
        <v>190</v>
      </c>
      <c r="E331" s="0" t="s">
        <v>191</v>
      </c>
      <c r="F331" s="0" t="s">
        <v>227</v>
      </c>
      <c r="G331" s="0" t="s">
        <v>216</v>
      </c>
      <c r="I331" s="0" t="s">
        <v>192</v>
      </c>
    </row>
    <row r="332" customFormat="false" ht="15" hidden="false" customHeight="false" outlineLevel="0" collapsed="false">
      <c r="A332" s="0" t="n">
        <v>331</v>
      </c>
      <c r="B332" s="0" t="s">
        <v>188</v>
      </c>
      <c r="C332" s="0" t="s">
        <v>189</v>
      </c>
      <c r="D332" s="0" t="s">
        <v>190</v>
      </c>
      <c r="E332" s="0" t="s">
        <v>191</v>
      </c>
      <c r="F332" s="0" t="s">
        <v>229</v>
      </c>
      <c r="G332" s="0" t="s">
        <v>216</v>
      </c>
      <c r="I332" s="0" t="s">
        <v>192</v>
      </c>
    </row>
    <row r="333" customFormat="false" ht="15" hidden="false" customHeight="false" outlineLevel="0" collapsed="false">
      <c r="A333" s="0" t="n">
        <v>332</v>
      </c>
      <c r="B333" s="0" t="s">
        <v>188</v>
      </c>
      <c r="C333" s="0" t="s">
        <v>189</v>
      </c>
      <c r="D333" s="0" t="s">
        <v>190</v>
      </c>
      <c r="E333" s="0" t="s">
        <v>191</v>
      </c>
      <c r="F333" s="0" t="s">
        <v>236</v>
      </c>
      <c r="G333" s="0" t="s">
        <v>216</v>
      </c>
      <c r="I333" s="0" t="s">
        <v>192</v>
      </c>
    </row>
    <row r="334" customFormat="false" ht="15" hidden="false" customHeight="false" outlineLevel="0" collapsed="false">
      <c r="A334" s="0" t="n">
        <v>333</v>
      </c>
      <c r="B334" s="0" t="s">
        <v>188</v>
      </c>
      <c r="C334" s="0" t="s">
        <v>189</v>
      </c>
      <c r="D334" s="0" t="s">
        <v>190</v>
      </c>
      <c r="E334" s="0" t="s">
        <v>191</v>
      </c>
      <c r="F334" s="0" t="s">
        <v>484</v>
      </c>
      <c r="G334" s="0" t="s">
        <v>216</v>
      </c>
      <c r="I334" s="0" t="s">
        <v>192</v>
      </c>
    </row>
    <row r="335" customFormat="false" ht="15" hidden="false" customHeight="false" outlineLevel="0" collapsed="false">
      <c r="A335" s="0" t="n">
        <v>334</v>
      </c>
      <c r="B335" s="0" t="s">
        <v>193</v>
      </c>
      <c r="C335" s="0" t="s">
        <v>189</v>
      </c>
      <c r="D335" s="0" t="s">
        <v>194</v>
      </c>
      <c r="E335" s="0" t="s">
        <v>195</v>
      </c>
      <c r="F335" s="0" t="s">
        <v>278</v>
      </c>
      <c r="G335" s="0" t="s">
        <v>333</v>
      </c>
      <c r="I335" s="0" t="s">
        <v>196</v>
      </c>
    </row>
    <row r="336" customFormat="false" ht="15" hidden="false" customHeight="false" outlineLevel="0" collapsed="false">
      <c r="A336" s="0" t="n">
        <v>335</v>
      </c>
      <c r="B336" s="0" t="s">
        <v>193</v>
      </c>
      <c r="C336" s="0" t="s">
        <v>189</v>
      </c>
      <c r="D336" s="0" t="s">
        <v>194</v>
      </c>
      <c r="E336" s="0" t="s">
        <v>195</v>
      </c>
      <c r="F336" s="0" t="s">
        <v>240</v>
      </c>
      <c r="G336" s="0" t="s">
        <v>333</v>
      </c>
      <c r="I336" s="0" t="s">
        <v>196</v>
      </c>
    </row>
    <row r="337" customFormat="false" ht="15" hidden="false" customHeight="false" outlineLevel="0" collapsed="false">
      <c r="A337" s="0" t="n">
        <v>336</v>
      </c>
      <c r="B337" s="0" t="s">
        <v>193</v>
      </c>
      <c r="C337" s="0" t="s">
        <v>189</v>
      </c>
      <c r="D337" s="0" t="s">
        <v>194</v>
      </c>
      <c r="E337" s="0" t="s">
        <v>195</v>
      </c>
      <c r="F337" s="0" t="s">
        <v>222</v>
      </c>
      <c r="G337" s="0" t="s">
        <v>333</v>
      </c>
      <c r="I337" s="0" t="s">
        <v>196</v>
      </c>
    </row>
    <row r="338" customFormat="false" ht="15" hidden="false" customHeight="false" outlineLevel="0" collapsed="false">
      <c r="A338" s="0" t="n">
        <v>337</v>
      </c>
      <c r="B338" s="0" t="s">
        <v>193</v>
      </c>
      <c r="C338" s="0" t="s">
        <v>189</v>
      </c>
      <c r="D338" s="0" t="s">
        <v>194</v>
      </c>
      <c r="E338" s="0" t="s">
        <v>195</v>
      </c>
      <c r="F338" s="0" t="s">
        <v>485</v>
      </c>
      <c r="G338" s="0" t="s">
        <v>333</v>
      </c>
      <c r="I338" s="0" t="s">
        <v>196</v>
      </c>
    </row>
    <row r="339" customFormat="false" ht="15" hidden="false" customHeight="false" outlineLevel="0" collapsed="false">
      <c r="A339" s="0" t="n">
        <v>338</v>
      </c>
      <c r="B339" s="0" t="s">
        <v>193</v>
      </c>
      <c r="C339" s="0" t="s">
        <v>189</v>
      </c>
      <c r="D339" s="0" t="s">
        <v>194</v>
      </c>
      <c r="E339" s="0" t="s">
        <v>195</v>
      </c>
      <c r="F339" s="0" t="s">
        <v>221</v>
      </c>
      <c r="G339" s="0" t="s">
        <v>333</v>
      </c>
      <c r="I339" s="0" t="s">
        <v>196</v>
      </c>
    </row>
    <row r="340" customFormat="false" ht="15" hidden="false" customHeight="false" outlineLevel="0" collapsed="false">
      <c r="A340" s="0" t="n">
        <v>339</v>
      </c>
      <c r="B340" s="0" t="s">
        <v>193</v>
      </c>
      <c r="C340" s="0" t="s">
        <v>189</v>
      </c>
      <c r="D340" s="0" t="s">
        <v>194</v>
      </c>
      <c r="E340" s="0" t="s">
        <v>195</v>
      </c>
      <c r="F340" s="0" t="s">
        <v>334</v>
      </c>
      <c r="G340" s="0" t="s">
        <v>333</v>
      </c>
      <c r="I340" s="0" t="s">
        <v>196</v>
      </c>
    </row>
    <row r="341" customFormat="false" ht="15" hidden="false" customHeight="false" outlineLevel="0" collapsed="false">
      <c r="A341" s="0" t="n">
        <v>340</v>
      </c>
      <c r="B341" s="0" t="s">
        <v>193</v>
      </c>
      <c r="C341" s="0" t="s">
        <v>189</v>
      </c>
      <c r="D341" s="0" t="s">
        <v>194</v>
      </c>
      <c r="E341" s="0" t="s">
        <v>195</v>
      </c>
      <c r="F341" s="0" t="s">
        <v>223</v>
      </c>
      <c r="G341" s="0" t="s">
        <v>333</v>
      </c>
      <c r="I341" s="0" t="s">
        <v>196</v>
      </c>
    </row>
    <row r="342" customFormat="false" ht="15" hidden="false" customHeight="false" outlineLevel="0" collapsed="false">
      <c r="A342" s="0" t="n">
        <v>341</v>
      </c>
      <c r="B342" s="0" t="s">
        <v>193</v>
      </c>
      <c r="C342" s="0" t="s">
        <v>189</v>
      </c>
      <c r="D342" s="0" t="s">
        <v>194</v>
      </c>
      <c r="E342" s="0" t="s">
        <v>195</v>
      </c>
      <c r="F342" s="0" t="s">
        <v>229</v>
      </c>
      <c r="G342" s="0" t="s">
        <v>333</v>
      </c>
      <c r="I342" s="0" t="s">
        <v>196</v>
      </c>
    </row>
    <row r="343" customFormat="false" ht="15" hidden="false" customHeight="false" outlineLevel="0" collapsed="false">
      <c r="A343" s="0" t="n">
        <v>342</v>
      </c>
      <c r="B343" s="0" t="s">
        <v>193</v>
      </c>
      <c r="C343" s="0" t="s">
        <v>189</v>
      </c>
      <c r="D343" s="0" t="s">
        <v>194</v>
      </c>
      <c r="E343" s="0" t="s">
        <v>195</v>
      </c>
      <c r="F343" s="0" t="s">
        <v>226</v>
      </c>
      <c r="G343" s="0" t="s">
        <v>333</v>
      </c>
      <c r="I343" s="0" t="s">
        <v>196</v>
      </c>
    </row>
    <row r="344" customFormat="false" ht="15" hidden="false" customHeight="false" outlineLevel="0" collapsed="false">
      <c r="A344" s="0" t="n">
        <v>343</v>
      </c>
      <c r="B344" s="0" t="s">
        <v>193</v>
      </c>
      <c r="C344" s="0" t="s">
        <v>189</v>
      </c>
      <c r="D344" s="0" t="s">
        <v>194</v>
      </c>
      <c r="E344" s="0" t="s">
        <v>195</v>
      </c>
      <c r="F344" s="0" t="s">
        <v>336</v>
      </c>
      <c r="G344" s="0" t="s">
        <v>333</v>
      </c>
      <c r="I344" s="0" t="s">
        <v>196</v>
      </c>
    </row>
    <row r="345" customFormat="false" ht="15" hidden="false" customHeight="false" outlineLevel="0" collapsed="false">
      <c r="A345" s="0" t="n">
        <v>344</v>
      </c>
      <c r="B345" s="0" t="s">
        <v>197</v>
      </c>
      <c r="C345" s="0" t="s">
        <v>189</v>
      </c>
      <c r="D345" s="0" t="s">
        <v>198</v>
      </c>
      <c r="E345" s="0" t="s">
        <v>199</v>
      </c>
      <c r="F345" s="0" t="s">
        <v>334</v>
      </c>
      <c r="G345" s="0" t="s">
        <v>216</v>
      </c>
      <c r="I345" s="0" t="s">
        <v>200</v>
      </c>
    </row>
    <row r="346" customFormat="false" ht="15" hidden="false" customHeight="false" outlineLevel="0" collapsed="false">
      <c r="A346" s="0" t="n">
        <v>345</v>
      </c>
      <c r="B346" s="0" t="s">
        <v>197</v>
      </c>
      <c r="C346" s="0" t="s">
        <v>189</v>
      </c>
      <c r="D346" s="0" t="s">
        <v>198</v>
      </c>
      <c r="E346" s="0" t="s">
        <v>199</v>
      </c>
      <c r="F346" s="0" t="s">
        <v>245</v>
      </c>
      <c r="G346" s="0" t="s">
        <v>216</v>
      </c>
      <c r="I346" s="0" t="s">
        <v>200</v>
      </c>
    </row>
    <row r="347" customFormat="false" ht="15" hidden="false" customHeight="false" outlineLevel="0" collapsed="false">
      <c r="A347" s="0" t="n">
        <v>346</v>
      </c>
      <c r="B347" s="0" t="s">
        <v>197</v>
      </c>
      <c r="C347" s="0" t="s">
        <v>189</v>
      </c>
      <c r="D347" s="0" t="s">
        <v>198</v>
      </c>
      <c r="E347" s="0" t="s">
        <v>199</v>
      </c>
      <c r="F347" s="0" t="s">
        <v>486</v>
      </c>
      <c r="G347" s="0" t="s">
        <v>216</v>
      </c>
      <c r="I347" s="0" t="s">
        <v>200</v>
      </c>
    </row>
    <row r="348" customFormat="false" ht="15" hidden="false" customHeight="false" outlineLevel="0" collapsed="false">
      <c r="A348" s="0" t="n">
        <v>347</v>
      </c>
      <c r="B348" s="0" t="s">
        <v>197</v>
      </c>
      <c r="C348" s="0" t="s">
        <v>189</v>
      </c>
      <c r="D348" s="0" t="s">
        <v>198</v>
      </c>
      <c r="E348" s="0" t="s">
        <v>199</v>
      </c>
      <c r="F348" s="0" t="s">
        <v>227</v>
      </c>
      <c r="G348" s="0" t="s">
        <v>216</v>
      </c>
      <c r="I348" s="0" t="s">
        <v>200</v>
      </c>
    </row>
    <row r="349" customFormat="false" ht="15" hidden="false" customHeight="false" outlineLevel="0" collapsed="false">
      <c r="A349" s="0" t="n">
        <v>348</v>
      </c>
      <c r="B349" s="0" t="s">
        <v>197</v>
      </c>
      <c r="C349" s="0" t="s">
        <v>189</v>
      </c>
      <c r="D349" s="0" t="s">
        <v>198</v>
      </c>
      <c r="E349" s="0" t="s">
        <v>199</v>
      </c>
      <c r="F349" s="0" t="s">
        <v>223</v>
      </c>
      <c r="G349" s="0" t="s">
        <v>216</v>
      </c>
      <c r="I349" s="0" t="s">
        <v>200</v>
      </c>
    </row>
    <row r="350" customFormat="false" ht="15" hidden="false" customHeight="false" outlineLevel="0" collapsed="false">
      <c r="A350" s="0" t="n">
        <v>349</v>
      </c>
      <c r="B350" s="0" t="s">
        <v>197</v>
      </c>
      <c r="C350" s="0" t="s">
        <v>189</v>
      </c>
      <c r="D350" s="0" t="s">
        <v>198</v>
      </c>
      <c r="E350" s="0" t="s">
        <v>199</v>
      </c>
      <c r="F350" s="0" t="s">
        <v>222</v>
      </c>
      <c r="G350" s="0" t="s">
        <v>216</v>
      </c>
      <c r="I350" s="0" t="s">
        <v>200</v>
      </c>
    </row>
    <row r="351" customFormat="false" ht="15" hidden="false" customHeight="false" outlineLevel="0" collapsed="false">
      <c r="A351" s="0" t="n">
        <v>350</v>
      </c>
      <c r="B351" s="0" t="s">
        <v>197</v>
      </c>
      <c r="C351" s="0" t="s">
        <v>189</v>
      </c>
      <c r="D351" s="0" t="s">
        <v>198</v>
      </c>
      <c r="E351" s="0" t="s">
        <v>199</v>
      </c>
      <c r="F351" s="0" t="s">
        <v>267</v>
      </c>
      <c r="G351" s="0" t="s">
        <v>216</v>
      </c>
      <c r="I351" s="0" t="s">
        <v>200</v>
      </c>
    </row>
    <row r="352" customFormat="false" ht="15" hidden="false" customHeight="false" outlineLevel="0" collapsed="false">
      <c r="A352" s="0" t="n">
        <v>351</v>
      </c>
      <c r="B352" s="0" t="s">
        <v>201</v>
      </c>
      <c r="C352" s="0" t="s">
        <v>189</v>
      </c>
      <c r="D352" s="0" t="s">
        <v>202</v>
      </c>
      <c r="E352" s="0" t="s">
        <v>203</v>
      </c>
      <c r="F352" s="0" t="s">
        <v>487</v>
      </c>
      <c r="G352" s="0" t="s">
        <v>216</v>
      </c>
      <c r="I352" s="0" t="s">
        <v>204</v>
      </c>
    </row>
    <row r="353" customFormat="false" ht="15" hidden="false" customHeight="false" outlineLevel="0" collapsed="false">
      <c r="A353" s="0" t="n">
        <v>352</v>
      </c>
      <c r="B353" s="0" t="s">
        <v>201</v>
      </c>
      <c r="C353" s="0" t="s">
        <v>189</v>
      </c>
      <c r="D353" s="0" t="s">
        <v>202</v>
      </c>
      <c r="E353" s="0" t="s">
        <v>203</v>
      </c>
      <c r="F353" s="0" t="s">
        <v>488</v>
      </c>
      <c r="G353" s="0" t="s">
        <v>216</v>
      </c>
      <c r="I353" s="0" t="s">
        <v>204</v>
      </c>
    </row>
    <row r="354" customFormat="false" ht="15" hidden="false" customHeight="false" outlineLevel="0" collapsed="false">
      <c r="A354" s="0" t="n">
        <v>353</v>
      </c>
      <c r="B354" s="0" t="s">
        <v>201</v>
      </c>
      <c r="C354" s="0" t="s">
        <v>189</v>
      </c>
      <c r="D354" s="0" t="s">
        <v>202</v>
      </c>
      <c r="E354" s="0" t="s">
        <v>203</v>
      </c>
      <c r="F354" s="0" t="s">
        <v>489</v>
      </c>
      <c r="G354" s="0" t="s">
        <v>216</v>
      </c>
      <c r="I354" s="0" t="s">
        <v>204</v>
      </c>
    </row>
    <row r="355" customFormat="false" ht="15" hidden="false" customHeight="false" outlineLevel="0" collapsed="false">
      <c r="A355" s="0" t="n">
        <v>354</v>
      </c>
      <c r="B355" s="0" t="s">
        <v>201</v>
      </c>
      <c r="C355" s="0" t="s">
        <v>189</v>
      </c>
      <c r="D355" s="0" t="s">
        <v>202</v>
      </c>
      <c r="E355" s="0" t="s">
        <v>203</v>
      </c>
      <c r="F355" s="0" t="s">
        <v>221</v>
      </c>
      <c r="G355" s="0" t="s">
        <v>216</v>
      </c>
      <c r="I355" s="0" t="s">
        <v>204</v>
      </c>
    </row>
    <row r="356" customFormat="false" ht="15" hidden="false" customHeight="false" outlineLevel="0" collapsed="false">
      <c r="A356" s="0" t="n">
        <v>355</v>
      </c>
      <c r="B356" s="0" t="s">
        <v>201</v>
      </c>
      <c r="C356" s="0" t="s">
        <v>189</v>
      </c>
      <c r="D356" s="0" t="s">
        <v>202</v>
      </c>
      <c r="E356" s="0" t="s">
        <v>203</v>
      </c>
      <c r="F356" s="0" t="s">
        <v>490</v>
      </c>
      <c r="G356" s="0" t="s">
        <v>216</v>
      </c>
      <c r="I356" s="0" t="s">
        <v>204</v>
      </c>
    </row>
    <row r="357" customFormat="false" ht="15" hidden="false" customHeight="false" outlineLevel="0" collapsed="false">
      <c r="A357" s="0" t="n">
        <v>356</v>
      </c>
      <c r="B357" s="0" t="s">
        <v>201</v>
      </c>
      <c r="C357" s="0" t="s">
        <v>189</v>
      </c>
      <c r="D357" s="0" t="s">
        <v>202</v>
      </c>
      <c r="E357" s="0" t="s">
        <v>203</v>
      </c>
      <c r="F357" s="0" t="s">
        <v>491</v>
      </c>
      <c r="G357" s="0" t="s">
        <v>492</v>
      </c>
      <c r="I357" s="0" t="s">
        <v>204</v>
      </c>
    </row>
    <row r="358" customFormat="false" ht="15" hidden="false" customHeight="false" outlineLevel="0" collapsed="false">
      <c r="A358" s="0" t="n">
        <v>357</v>
      </c>
      <c r="B358" s="0" t="s">
        <v>201</v>
      </c>
      <c r="C358" s="0" t="s">
        <v>189</v>
      </c>
      <c r="D358" s="0" t="s">
        <v>202</v>
      </c>
      <c r="E358" s="0" t="s">
        <v>203</v>
      </c>
      <c r="F358" s="0" t="s">
        <v>493</v>
      </c>
      <c r="G358" s="0" t="s">
        <v>494</v>
      </c>
      <c r="I358" s="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2" t="s">
        <v>495</v>
      </c>
    </row>
    <row r="3" customFormat="false" ht="15" hidden="false" customHeight="false" outlineLevel="0" collapsed="false">
      <c r="B3" s="3" t="s">
        <v>496</v>
      </c>
    </row>
    <row r="5" customFormat="false" ht="15" hidden="false" customHeight="false" outlineLevel="0" collapsed="false">
      <c r="B5" s="1" t="s">
        <v>497</v>
      </c>
      <c r="D5" s="1" t="s">
        <v>498</v>
      </c>
      <c r="F5" s="1" t="s">
        <v>499</v>
      </c>
      <c r="H5" s="1" t="s">
        <v>500</v>
      </c>
    </row>
    <row r="6" customFormat="false" ht="15" hidden="false" customHeight="false" outlineLevel="0" collapsed="false">
      <c r="B6" s="0" t="n">
        <f aca="false">COUNTA('Clinics Overview'!B2:B48)</f>
        <v>47</v>
      </c>
      <c r="D6" s="0" t="n">
        <f aca="false">SUMPRODUCT(--((ISNUMBER(SEARCH("yes",'Clinics Overview'!G2:G48))+ISNUMBER(SEARCH("partial",'Clinics Overview'!G2:G48)))&gt;0))</f>
        <v>15</v>
      </c>
      <c r="F6" s="0" t="n">
        <f aca="false">B6-D6</f>
        <v>32</v>
      </c>
      <c r="H6" s="0" t="n">
        <f aca="false">COUNTA('All Procedures'!F2:F358)</f>
        <v>357</v>
      </c>
    </row>
    <row r="8" customFormat="false" ht="15" hidden="false" customHeight="false" outlineLevel="0" collapsed="false">
      <c r="B8" s="1" t="s">
        <v>501</v>
      </c>
    </row>
    <row r="9" customFormat="false" ht="15" hidden="false" customHeight="false" outlineLevel="0" collapsed="false">
      <c r="B9" s="1" t="s">
        <v>502</v>
      </c>
      <c r="C9" s="1" t="s">
        <v>503</v>
      </c>
      <c r="D9" s="1" t="s">
        <v>504</v>
      </c>
      <c r="E9" s="1" t="s">
        <v>505</v>
      </c>
      <c r="F9" s="1" t="s">
        <v>506</v>
      </c>
    </row>
    <row r="10" customFormat="false" ht="15" hidden="false" customHeight="false" outlineLevel="0" collapsed="false">
      <c r="B10" s="0" t="s">
        <v>507</v>
      </c>
      <c r="C10" s="0" t="n">
        <f aca="false">SUMPRODUCT(--((COUNTIFS('All Procedures'!B2:B358,'All Procedures'!B2:B358,'All Procedures'!F2:F358,"*botox*")+COUNTIFS('All Procedures'!B2:B358,'All Procedures'!B2:B358,'All Procedures'!F2:F358,"*dysport*")+COUNTIFS('All Procedures'!B2:B358,'All Procedures'!B2:B358,'All Procedures'!F2:F358,"*xeomin*")+COUNTIFS('All Procedures'!B2:B358,'All Procedures'!B2:B358,'All Procedures'!F2:F358,"*daxxify*")+COUNTIFS('All Procedures'!B2:B358,'All Procedures'!B2:B358,'All Procedures'!F2:F358,"*jeuveau*"))&gt;0)/COUNTIF('All Procedures'!B2:B358,'All Procedures'!B2:B358))</f>
        <v>33</v>
      </c>
      <c r="D10" s="0" t="s">
        <v>508</v>
      </c>
      <c r="E10" s="0" t="s">
        <v>509</v>
      </c>
      <c r="F10" s="0" t="s">
        <v>510</v>
      </c>
    </row>
    <row r="11" customFormat="false" ht="15" hidden="false" customHeight="false" outlineLevel="0" collapsed="false">
      <c r="B11" s="0" t="s">
        <v>511</v>
      </c>
      <c r="C11" s="0" t="n">
        <f aca="false">SUMPRODUCT(--((COUNTIFS('All Procedures'!B2:B358,'All Procedures'!B2:B358,'All Procedures'!F2:F358,"*filler*")+COUNTIFS('All Procedures'!B2:B358,'All Procedures'!B2:B358,'All Procedures'!F2:F358,"*juvederm*")+COUNTIFS('All Procedures'!B2:B358,'All Procedures'!B2:B358,'All Procedures'!F2:F358,"*restylane*")+COUNTIFS('All Procedures'!B2:B358,'All Procedures'!B2:B358,'All Procedures'!F2:F358,"*radiesse*")+COUNTIFS('All Procedures'!B2:B358,'All Procedures'!B2:B358,'All Procedures'!F2:F358,"*voluma*"))&gt;0)/COUNTIF('All Procedures'!B2:B358,'All Procedures'!B2:B358))</f>
        <v>36</v>
      </c>
      <c r="D11" s="0" t="s">
        <v>512</v>
      </c>
      <c r="E11" s="0" t="s">
        <v>513</v>
      </c>
      <c r="F11" s="0" t="s">
        <v>514</v>
      </c>
    </row>
    <row r="12" customFormat="false" ht="15" hidden="false" customHeight="false" outlineLevel="0" collapsed="false">
      <c r="B12" s="0" t="s">
        <v>515</v>
      </c>
      <c r="C12" s="0" t="n">
        <f aca="false">SUMPRODUCT(--((COUNTIFS('All Procedures'!B2:B358,'All Procedures'!B2:B358,'All Procedures'!F2:F358,"*microneedling*")+COUNTIFS('All Procedures'!B2:B358,'All Procedures'!B2:B358,'All Procedures'!F2:F358,"*morpheus8*")+COUNTIFS('All Procedures'!B2:B358,'All Procedures'!B2:B358,'All Procedures'!F2:F358,"*skinpen*"))&gt;0)/COUNTIF('All Procedures'!B2:B358,'All Procedures'!B2:B358))</f>
        <v>31</v>
      </c>
      <c r="D12" s="0" t="s">
        <v>516</v>
      </c>
      <c r="E12" s="0" t="s">
        <v>517</v>
      </c>
      <c r="F12" s="0" t="s">
        <v>518</v>
      </c>
    </row>
    <row r="13" customFormat="false" ht="15" hidden="false" customHeight="false" outlineLevel="0" collapsed="false">
      <c r="B13" s="0" t="s">
        <v>222</v>
      </c>
      <c r="C13" s="0" t="n">
        <f aca="false">SUMPRODUCT(--((COUNTIFS('All Procedures'!B2:B358,'All Procedures'!B2:B358,'All Procedures'!F2:F358,"*peel*"))&gt;0)/COUNTIF('All Procedures'!B2:B358,'All Procedures'!B2:B358))</f>
        <v>23</v>
      </c>
      <c r="D13" s="0" t="s">
        <v>519</v>
      </c>
      <c r="E13" s="0" t="s">
        <v>520</v>
      </c>
      <c r="F13" s="0" t="s">
        <v>521</v>
      </c>
    </row>
    <row r="14" customFormat="false" ht="15" hidden="false" customHeight="false" outlineLevel="0" collapsed="false">
      <c r="B14" s="0" t="s">
        <v>522</v>
      </c>
      <c r="C14" s="0" t="n">
        <f aca="false">SUMPRODUCT(--((COUNTIFS('All Procedures'!B2:B358,'All Procedures'!B2:B358,'All Procedures'!F2:F358,"*ipl*")+COUNTIFS('All Procedures'!B2:B358,'All Procedures'!B2:B358,'All Procedures'!F2:F358,"*photofacial*")+COUNTIFS('All Procedures'!B2:B358,'All Procedures'!B2:B358,'All Procedures'!F2:F358,"*bbl*")+COUNTIFS('All Procedures'!B2:B358,'All Procedures'!B2:B358,'All Procedures'!F2:F358,"*limelight*"))&gt;0)/COUNTIF('All Procedures'!B2:B358,'All Procedures'!B2:B358))</f>
        <v>17</v>
      </c>
      <c r="D14" s="0" t="s">
        <v>523</v>
      </c>
      <c r="E14" s="0" t="s">
        <v>524</v>
      </c>
      <c r="F14" s="0" t="s">
        <v>525</v>
      </c>
    </row>
    <row r="15" customFormat="false" ht="15" hidden="false" customHeight="false" outlineLevel="0" collapsed="false">
      <c r="B15" s="0" t="s">
        <v>223</v>
      </c>
      <c r="C15" s="0" t="n">
        <f aca="false">SUMPRODUCT(--((COUNTIFS('All Procedures'!B2:B358,'All Procedures'!B2:B358,'All Procedures'!F2:F358,"*laser hair*"))&gt;0)/COUNTIF('All Procedures'!B2:B358,'All Procedures'!B2:B358))</f>
        <v>21</v>
      </c>
      <c r="D15" s="0" t="s">
        <v>526</v>
      </c>
      <c r="E15" s="0" t="s">
        <v>527</v>
      </c>
      <c r="F15" s="0" t="s">
        <v>528</v>
      </c>
    </row>
    <row r="16" customFormat="false" ht="15" hidden="false" customHeight="false" outlineLevel="0" collapsed="false">
      <c r="B16" s="0" t="s">
        <v>529</v>
      </c>
      <c r="C16" s="0" t="n">
        <f aca="false">SUMPRODUCT(--((COUNTIFS('All Procedures'!B2:B358,'All Procedures'!B2:B358,'All Procedures'!F2:F358,"*sculptra*")+COUNTIFS('All Procedures'!B2:B358,'All Procedures'!B2:B358,'All Procedures'!F2:F358,"*radiesse*"))&gt;0)/COUNTIF('All Procedures'!B2:B358,'All Procedures'!B2:B358))</f>
        <v>5</v>
      </c>
      <c r="D16" s="0" t="s">
        <v>530</v>
      </c>
      <c r="E16" s="0" t="s">
        <v>531</v>
      </c>
      <c r="F16" s="0" t="s">
        <v>532</v>
      </c>
    </row>
    <row r="17" customFormat="false" ht="15" hidden="false" customHeight="false" outlineLevel="0" collapsed="false">
      <c r="B17" s="0" t="s">
        <v>236</v>
      </c>
      <c r="C17" s="0" t="n">
        <f aca="false">SUMPRODUCT(--((COUNTIFS('All Procedures'!B2:B358,'All Procedures'!B2:B358,'All Procedures'!F2:F358,"*hydrafacial*")+COUNTIFS('All Procedures'!B2:B358,'All Procedures'!B2:B358,'All Procedures'!F2:F358,"*hydra facial*"))&gt;0)/COUNTIF('All Procedures'!B2:B358,'All Procedures'!B2:B358))</f>
        <v>14</v>
      </c>
      <c r="D17" s="0" t="s">
        <v>533</v>
      </c>
      <c r="E17" s="0" t="s">
        <v>534</v>
      </c>
      <c r="F17" s="0" t="s">
        <v>535</v>
      </c>
    </row>
    <row r="18" customFormat="false" ht="15" hidden="false" customHeight="false" outlineLevel="0" collapsed="false">
      <c r="B18" s="0" t="s">
        <v>536</v>
      </c>
      <c r="C18" s="0" t="n">
        <f aca="false">SUMPRODUCT(--((COUNTIFS('All Procedures'!B2:B358,'All Procedures'!B2:B358,'All Procedures'!F2:F358,"*prp*")+COUNTIFS('All Procedures'!B2:B358,'All Procedures'!B2:B358,'All Procedures'!F2:F358,"*prf*")+COUNTIFS('All Procedures'!B2:B358,'All Procedures'!B2:B358,'All Procedures'!F2:F358,"*platelet*"))&gt;0)/COUNTIF('All Procedures'!B2:B358,'All Procedures'!B2:B358))</f>
        <v>9</v>
      </c>
      <c r="D18" s="0" t="s">
        <v>537</v>
      </c>
      <c r="E18" s="0" t="s">
        <v>538</v>
      </c>
      <c r="F18" s="0" t="s">
        <v>539</v>
      </c>
    </row>
    <row r="19" customFormat="false" ht="15" hidden="false" customHeight="false" outlineLevel="0" collapsed="false">
      <c r="B19" s="0" t="s">
        <v>540</v>
      </c>
      <c r="C19" s="0" t="n">
        <f aca="false">SUMPRODUCT(--((COUNTIFS('All Procedures'!B2:B358,'All Procedures'!B2:B358,'All Procedures'!F2:F358,"*coolsculpt*")+COUNTIFS('All Procedures'!B2:B358,'All Procedures'!B2:B358,'All Procedures'!F2:F358,"*cooltone*"))&gt;0)/COUNTIF('All Procedures'!B2:B358,'All Procedures'!B2:B358))</f>
        <v>6</v>
      </c>
      <c r="D19" s="0" t="s">
        <v>530</v>
      </c>
      <c r="E19" s="0" t="s">
        <v>531</v>
      </c>
      <c r="F19" s="0" t="s">
        <v>541</v>
      </c>
    </row>
    <row r="20" customFormat="false" ht="15" hidden="false" customHeight="false" outlineLevel="0" collapsed="false">
      <c r="B20" s="0" t="s">
        <v>542</v>
      </c>
      <c r="C20" s="0" t="n">
        <f aca="false">SUMPRODUCT(--((COUNTIFS('All Procedures'!B2:B358,'All Procedures'!B2:B358,'All Procedures'!F2:F358,"*microdermabrasion*")+COUNTIFS('All Procedures'!B2:B358,'All Procedures'!B2:B358,'All Procedures'!F2:F358,"*dermaplan*"))&gt;0)/COUNTIF('All Procedures'!B2:B358,'All Procedures'!B2:B358))</f>
        <v>8</v>
      </c>
      <c r="D20" s="0" t="s">
        <v>530</v>
      </c>
      <c r="E20" s="0" t="s">
        <v>531</v>
      </c>
      <c r="F20" s="0" t="s">
        <v>543</v>
      </c>
    </row>
    <row r="21" customFormat="false" ht="15" hidden="false" customHeight="false" outlineLevel="0" collapsed="false">
      <c r="B21" s="0" t="s">
        <v>544</v>
      </c>
      <c r="C21" s="0" t="n">
        <f aca="false">SUMPRODUCT(--((COUNTIFS('All Procedures'!B2:B358,'All Procedures'!B2:B358,'All Procedures'!F2:F358,"*emsculpt*")+COUNTIFS('All Procedures'!B2:B358,'All Procedures'!B2:B358,'All Procedures'!F2:F358,"*body contouring*")+COUNTIFS('All Procedures'!B2:B358,'All Procedures'!B2:B358,'All Procedures'!F2:F358,"*body sculpting*"))&gt;0)/COUNTIF('All Procedures'!B2:B358,'All Procedures'!B2:B358))</f>
        <v>7</v>
      </c>
      <c r="D21" s="0" t="s">
        <v>530</v>
      </c>
      <c r="E21" s="0" t="s">
        <v>531</v>
      </c>
      <c r="F21" s="0" t="s">
        <v>545</v>
      </c>
    </row>
    <row r="22" customFormat="false" ht="15" hidden="false" customHeight="false" outlineLevel="0" collapsed="false">
      <c r="B22" s="0" t="s">
        <v>225</v>
      </c>
      <c r="C22" s="0" t="n">
        <f aca="false">SUMPRODUCT(--((COUNTIFS('All Procedures'!B2:B358,'All Procedures'!B2:B358,'All Procedures'!F2:F358,"*kybella*"))&gt;0)/COUNTIF('All Procedures'!B2:B358,'All Procedures'!B2:B358))</f>
        <v>6</v>
      </c>
      <c r="D22" s="0" t="s">
        <v>546</v>
      </c>
      <c r="E22" s="0" t="s">
        <v>547</v>
      </c>
      <c r="F22" s="0" t="s">
        <v>548</v>
      </c>
    </row>
    <row r="23" customFormat="false" ht="15" hidden="false" customHeight="false" outlineLevel="0" collapsed="false">
      <c r="B23" s="0" t="s">
        <v>226</v>
      </c>
      <c r="C23" s="0" t="n">
        <f aca="false">SUMPRODUCT(--((COUNTIFS('All Procedures'!B2:B358,'All Procedures'!B2:B358,'All Procedures'!F2:F358,"*ultherapy*"))&gt;0)/COUNTIF('All Procedures'!B2:B358,'All Procedures'!B2:B358))</f>
        <v>3</v>
      </c>
      <c r="D23" s="0" t="s">
        <v>530</v>
      </c>
      <c r="E23" s="0" t="s">
        <v>531</v>
      </c>
      <c r="F23" s="0" t="s">
        <v>549</v>
      </c>
    </row>
    <row r="24" customFormat="false" ht="15" hidden="false" customHeight="false" outlineLevel="0" collapsed="false">
      <c r="B24" s="0" t="s">
        <v>550</v>
      </c>
      <c r="C24" s="0" t="n">
        <f aca="false">SUMPRODUCT(--((COUNTIFS('All Procedures'!B2:B358,'All Procedures'!B2:B358,'All Procedures'!F2:F358,"*pdo thread*")+COUNTIFS('All Procedures'!B2:B358,'All Procedures'!B2:B358,'All Procedures'!F2:F358,"*thread lift*"))&gt;0)/COUNTIF('All Procedures'!B2:B358,'All Procedures'!B2:B358))</f>
        <v>2</v>
      </c>
      <c r="D24" s="0" t="s">
        <v>551</v>
      </c>
      <c r="E24" s="0" t="s">
        <v>552</v>
      </c>
      <c r="F24" s="0" t="s">
        <v>553</v>
      </c>
    </row>
    <row r="26" customFormat="false" ht="15" hidden="false" customHeight="false" outlineLevel="0" collapsed="false">
      <c r="B26" s="0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555</v>
      </c>
    </row>
    <row r="3" customFormat="false" ht="15" hidden="false" customHeight="false" outlineLevel="0" collapsed="false">
      <c r="A3" s="0" t="s">
        <v>556</v>
      </c>
    </row>
    <row r="4" customFormat="false" ht="15" hidden="false" customHeight="false" outlineLevel="0" collapsed="false">
      <c r="A4" s="0" t="s">
        <v>557</v>
      </c>
    </row>
    <row r="5" customFormat="false" ht="15" hidden="false" customHeight="false" outlineLevel="0" collapsed="false">
      <c r="A5" s="0" t="s">
        <v>558</v>
      </c>
    </row>
    <row r="7" customFormat="false" ht="15" hidden="false" customHeight="false" outlineLevel="0" collapsed="false">
      <c r="A7" s="0" t="s">
        <v>559</v>
      </c>
    </row>
    <row r="8" customFormat="false" ht="15" hidden="false" customHeight="false" outlineLevel="0" collapsed="false">
      <c r="A8" s="0" t="s">
        <v>560</v>
      </c>
    </row>
    <row r="10" customFormat="false" ht="15" hidden="false" customHeight="false" outlineLevel="0" collapsed="false">
      <c r="A10" s="0" t="s">
        <v>561</v>
      </c>
    </row>
    <row r="11" customFormat="false" ht="15" hidden="false" customHeight="false" outlineLevel="0" collapsed="false">
      <c r="A11" s="0" t="s">
        <v>562</v>
      </c>
    </row>
    <row r="12" customFormat="false" ht="15" hidden="false" customHeight="false" outlineLevel="0" collapsed="false">
      <c r="A12" s="0" t="s">
        <v>563</v>
      </c>
    </row>
    <row r="13" customFormat="false" ht="15" hidden="false" customHeight="false" outlineLevel="0" collapsed="false">
      <c r="A13" s="0" t="s">
        <v>564</v>
      </c>
    </row>
    <row r="14" customFormat="false" ht="15" hidden="false" customHeight="false" outlineLevel="0" collapsed="false">
      <c r="A14" s="0" t="s">
        <v>565</v>
      </c>
    </row>
    <row r="15" customFormat="false" ht="15" hidden="false" customHeight="false" outlineLevel="0" collapsed="false">
      <c r="A15" s="0" t="s">
        <v>566</v>
      </c>
    </row>
    <row r="16" customFormat="false" ht="15" hidden="false" customHeight="false" outlineLevel="0" collapsed="false">
      <c r="A16" s="0" t="s">
        <v>567</v>
      </c>
    </row>
    <row r="17" customFormat="false" ht="15" hidden="false" customHeight="false" outlineLevel="0" collapsed="false">
      <c r="A17" s="0" t="s">
        <v>568</v>
      </c>
    </row>
    <row r="18" customFormat="false" ht="15" hidden="false" customHeight="false" outlineLevel="0" collapsed="false">
      <c r="A18" s="0" t="s">
        <v>569</v>
      </c>
    </row>
    <row r="19" customFormat="false" ht="15" hidden="false" customHeight="false" outlineLevel="0" collapsed="false">
      <c r="A19" s="0" t="s">
        <v>570</v>
      </c>
    </row>
    <row r="20" customFormat="false" ht="15" hidden="false" customHeight="false" outlineLevel="0" collapsed="false">
      <c r="A20" s="0" t="s">
        <v>571</v>
      </c>
    </row>
    <row r="21" customFormat="false" ht="15" hidden="false" customHeight="false" outlineLevel="0" collapsed="false">
      <c r="A21" s="0" t="s">
        <v>572</v>
      </c>
    </row>
    <row r="22" customFormat="false" ht="15" hidden="false" customHeight="false" outlineLevel="0" collapsed="false">
      <c r="A22" s="0" t="s">
        <v>573</v>
      </c>
    </row>
    <row r="24" customFormat="false" ht="15" hidden="false" customHeight="false" outlineLevel="0" collapsed="false">
      <c r="A24" s="0" t="s">
        <v>574</v>
      </c>
    </row>
    <row r="25" customFormat="false" ht="15" hidden="false" customHeight="false" outlineLevel="0" collapsed="false">
      <c r="A25" s="0" t="s">
        <v>575</v>
      </c>
    </row>
    <row r="26" customFormat="false" ht="15" hidden="false" customHeight="false" outlineLevel="0" collapsed="false">
      <c r="A26" s="0" t="s">
        <v>576</v>
      </c>
    </row>
    <row r="27" customFormat="false" ht="15" hidden="false" customHeight="false" outlineLevel="0" collapsed="false">
      <c r="A27" s="0" t="s">
        <v>577</v>
      </c>
    </row>
    <row r="28" customFormat="false" ht="15" hidden="false" customHeight="false" outlineLevel="0" collapsed="false">
      <c r="A28" s="0" t="s">
        <v>578</v>
      </c>
    </row>
    <row r="29" customFormat="false" ht="15" hidden="false" customHeight="false" outlineLevel="0" collapsed="false">
      <c r="A29" s="0" t="s">
        <v>579</v>
      </c>
    </row>
    <row r="30" customFormat="false" ht="15" hidden="false" customHeight="false" outlineLevel="0" collapsed="false">
      <c r="A30" s="0" t="s">
        <v>580</v>
      </c>
    </row>
    <row r="32" customFormat="false" ht="15" hidden="false" customHeight="false" outlineLevel="0" collapsed="false">
      <c r="A32" s="0" t="s">
        <v>581</v>
      </c>
    </row>
    <row r="33" customFormat="false" ht="15" hidden="false" customHeight="false" outlineLevel="0" collapsed="false">
      <c r="A33" s="0" t="s">
        <v>582</v>
      </c>
    </row>
    <row r="34" customFormat="false" ht="15" hidden="false" customHeight="false" outlineLevel="0" collapsed="false">
      <c r="A34" s="0" t="s">
        <v>583</v>
      </c>
    </row>
    <row r="35" customFormat="false" ht="15" hidden="false" customHeight="false" outlineLevel="0" collapsed="false">
      <c r="A35" s="0" t="s">
        <v>584</v>
      </c>
    </row>
    <row r="37" customFormat="false" ht="15" hidden="false" customHeight="false" outlineLevel="0" collapsed="false">
      <c r="A37" s="0" t="s">
        <v>585</v>
      </c>
    </row>
    <row r="38" customFormat="false" ht="15" hidden="false" customHeight="false" outlineLevel="0" collapsed="false">
      <c r="A38" s="0" t="s">
        <v>586</v>
      </c>
    </row>
    <row r="39" customFormat="false" ht="15" hidden="false" customHeight="false" outlineLevel="0" collapsed="false">
      <c r="A39" s="0" t="s">
        <v>587</v>
      </c>
    </row>
    <row r="40" customFormat="false" ht="15" hidden="false" customHeight="false" outlineLevel="0" collapsed="false">
      <c r="A40" s="0" t="s">
        <v>588</v>
      </c>
    </row>
    <row r="41" customFormat="false" ht="15" hidden="false" customHeight="false" outlineLevel="0" collapsed="false">
      <c r="A41" s="0" t="s">
        <v>589</v>
      </c>
    </row>
    <row r="43" customFormat="false" ht="15" hidden="false" customHeight="false" outlineLevel="0" collapsed="false">
      <c r="A43" s="0" t="s">
        <v>590</v>
      </c>
    </row>
    <row r="44" customFormat="false" ht="15" hidden="false" customHeight="false" outlineLevel="0" collapsed="false">
      <c r="A44" s="0" t="s">
        <v>591</v>
      </c>
    </row>
    <row r="45" customFormat="false" ht="15" hidden="false" customHeight="false" outlineLevel="0" collapsed="false">
      <c r="A45" s="0" t="s">
        <v>592</v>
      </c>
    </row>
    <row r="47" customFormat="false" ht="15" hidden="false" customHeight="false" outlineLevel="0" collapsed="false">
      <c r="A47" s="0" t="s">
        <v>593</v>
      </c>
    </row>
    <row r="48" customFormat="false" ht="15" hidden="false" customHeight="false" outlineLevel="0" collapsed="false">
      <c r="A48" s="0" t="s">
        <v>594</v>
      </c>
    </row>
    <row r="49" customFormat="false" ht="15" hidden="false" customHeight="false" outlineLevel="0" collapsed="false">
      <c r="A49" s="0" t="s">
        <v>595</v>
      </c>
    </row>
    <row r="51" customFormat="false" ht="15" hidden="false" customHeight="false" outlineLevel="0" collapsed="false">
      <c r="A51" s="0" t="s">
        <v>596</v>
      </c>
    </row>
    <row r="52" customFormat="false" ht="15" hidden="false" customHeight="false" outlineLevel="0" collapsed="false">
      <c r="A52" s="0" t="s">
        <v>597</v>
      </c>
    </row>
    <row r="53" customFormat="false" ht="15" hidden="false" customHeight="false" outlineLevel="0" collapsed="false">
      <c r="A53" s="0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2026-08-18T18:29:00Z</dcterms:created>
  <dc:creator>openpyxl</dc:creator>
  <dc:description/>
  <dc:language>en-US</dc:language>
  <cp:lastModifiedBy/>
  <dcterms:modified xsi:type="dcterms:W3CDTF">2026-08-18T18:30:46Z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