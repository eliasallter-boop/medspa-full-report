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s Overview" sheetId="1" state="visible" r:id="rId1"/>
    <sheet xmlns:r="http://schemas.openxmlformats.org/officeDocument/2006/relationships" name="All Procedure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mbria"/>
      <b val="1"/>
      <color rgb="FFFFFFFF"/>
      <sz val="1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22" customWidth="1" min="3" max="3"/>
    <col width="46" customWidth="1" min="4" max="4"/>
    <col width="34" customWidth="1" min="5" max="5"/>
    <col width="34" customWidth="1" min="6" max="6"/>
    <col width="14" customWidth="1" min="7" max="7"/>
    <col width="10" customWidth="1" min="8" max="8"/>
    <col width="60" customWidth="1" min="9" max="9"/>
  </cols>
  <sheetData>
    <row r="1">
      <c r="A1" s="1" t="inlineStr">
        <is>
          <t>#</t>
        </is>
      </c>
      <c r="B1" s="1" t="inlineStr">
        <is>
          <t>Clinic Name</t>
        </is>
      </c>
      <c r="C1" s="1" t="inlineStr">
        <is>
          <t>Neighborhood</t>
        </is>
      </c>
      <c r="D1" s="1" t="inlineStr">
        <is>
          <t>Address</t>
        </is>
      </c>
      <c r="E1" s="1" t="inlineStr">
        <is>
          <t>Website</t>
        </is>
      </c>
      <c r="F1" s="1" t="inlineStr">
        <is>
          <t>Email</t>
        </is>
      </c>
      <c r="G1" s="1" t="inlineStr">
        <is>
          <t>Pricing on File?</t>
        </is>
      </c>
      <c r="H1" s="1" t="inlineStr">
        <is>
          <t># Procedures Logged</t>
        </is>
      </c>
      <c r="I1" s="1" t="inlineStr">
        <is>
          <t>Notes</t>
        </is>
      </c>
    </row>
    <row r="2">
      <c r="A2" t="n">
        <v>1</v>
      </c>
      <c r="B2" t="inlineStr">
        <is>
          <t>Evolve Med Spa (Jersey City)</t>
        </is>
      </c>
      <c r="C2" t="inlineStr">
        <is>
          <t>Jersey City</t>
        </is>
      </c>
      <c r="D2" t="inlineStr">
        <is>
          <t>Not published (chain location page only)</t>
        </is>
      </c>
      <c r="E2" t="inlineStr">
        <is>
          <t>evolvemedspa.com/in/new-jersey/jersey-city-nj/</t>
        </is>
      </c>
      <c r="F2" t="inlineStr">
        <is>
          <t>no email found (booking form only)</t>
        </is>
      </c>
      <c r="G2" t="inlineStr">
        <is>
          <t>Yes</t>
        </is>
      </c>
      <c r="H2" t="n">
        <v>3</v>
      </c>
    </row>
    <row r="3">
      <c r="A3" t="n">
        <v>2</v>
      </c>
      <c r="B3" t="inlineStr">
        <is>
          <t>Urban Aesthetic Med Spa</t>
        </is>
      </c>
      <c r="C3" t="inlineStr">
        <is>
          <t>Jersey City</t>
        </is>
      </c>
      <c r="D3" t="inlineStr">
        <is>
          <t>100 Town Square Place, 4th Floor, Jersey City, NJ 07310</t>
        </is>
      </c>
      <c r="E3" t="inlineStr">
        <is>
          <t>urbanaestheticmedspa.com</t>
        </is>
      </c>
      <c r="F3" t="inlineStr">
        <is>
          <t>no email found (booking form only)</t>
        </is>
      </c>
      <c r="G3" t="inlineStr">
        <is>
          <t>No</t>
        </is>
      </c>
      <c r="H3" t="n">
        <v>5</v>
      </c>
    </row>
    <row r="4">
      <c r="A4" t="n">
        <v>3</v>
      </c>
      <c r="B4" t="inlineStr">
        <is>
          <t>Downtown Medspa</t>
        </is>
      </c>
      <c r="C4" t="inlineStr">
        <is>
          <t>Jersey City</t>
        </is>
      </c>
      <c r="D4" t="inlineStr">
        <is>
          <t>Not published</t>
        </is>
      </c>
      <c r="E4" t="inlineStr">
        <is>
          <t>downtownmedspa.com</t>
        </is>
      </c>
      <c r="F4" t="inlineStr">
        <is>
          <t>no email found (booking form only)</t>
        </is>
      </c>
      <c r="G4" t="inlineStr">
        <is>
          <t>No</t>
        </is>
      </c>
      <c r="H4" t="n">
        <v>2</v>
      </c>
    </row>
    <row r="5">
      <c r="A5" t="n">
        <v>4</v>
      </c>
      <c r="B5" t="inlineStr">
        <is>
          <t>Newest Beginnings Wellness Center</t>
        </is>
      </c>
      <c r="C5" t="inlineStr">
        <is>
          <t>Jersey City (Journal Square)</t>
        </is>
      </c>
      <c r="D5" t="inlineStr">
        <is>
          <t>Corner of Sip Ave &amp; Bergen Ave, Jersey City, NJ</t>
        </is>
      </c>
      <c r="E5" t="inlineStr">
        <is>
          <t>newestbeginnings.com</t>
        </is>
      </c>
      <c r="F5" t="inlineStr">
        <is>
          <t>no email found (booking form only)</t>
        </is>
      </c>
      <c r="G5" t="inlineStr">
        <is>
          <t>No</t>
        </is>
      </c>
      <c r="H5" t="n">
        <v>2</v>
      </c>
    </row>
    <row r="6">
      <c r="A6" t="n">
        <v>5</v>
      </c>
      <c r="B6" t="inlineStr">
        <is>
          <t>SNJ New Jersey Med Spa (Esthetique)</t>
        </is>
      </c>
      <c r="C6" t="inlineStr">
        <is>
          <t>Jersey City</t>
        </is>
      </c>
      <c r="D6" t="inlineStr">
        <is>
          <t>Not published</t>
        </is>
      </c>
      <c r="E6" t="inlineStr">
        <is>
          <t>instagram.com/snj__esthetique</t>
        </is>
      </c>
      <c r="F6" t="inlineStr">
        <is>
          <t>no email found (Instagram only)</t>
        </is>
      </c>
      <c r="G6" t="inlineStr">
        <is>
          <t>No</t>
        </is>
      </c>
      <c r="H6" t="n">
        <v>7</v>
      </c>
    </row>
    <row r="7">
      <c r="A7" t="n">
        <v>6</v>
      </c>
      <c r="B7" t="inlineStr">
        <is>
          <t>NJ Forever Young MD</t>
        </is>
      </c>
      <c r="C7" t="inlineStr">
        <is>
          <t>Jersey City area (multi-location)</t>
        </is>
      </c>
      <c r="D7" t="inlineStr">
        <is>
          <t>Not published (multi-location)</t>
        </is>
      </c>
      <c r="E7" t="inlineStr">
        <is>
          <t>njforeveryoungmd.com</t>
        </is>
      </c>
      <c r="F7" t="inlineStr">
        <is>
          <t>no email found (booking form only)</t>
        </is>
      </c>
      <c r="G7" t="inlineStr">
        <is>
          <t>No</t>
        </is>
      </c>
      <c r="H7" t="n">
        <v>2</v>
      </c>
    </row>
    <row r="8">
      <c r="A8" t="n">
        <v>7</v>
      </c>
      <c r="B8" t="inlineStr">
        <is>
          <t>fillir (Hoboken)</t>
        </is>
      </c>
      <c r="C8" t="inlineStr">
        <is>
          <t>Hoboken</t>
        </is>
      </c>
      <c r="D8" t="inlineStr">
        <is>
          <t>720 Washington St, Hoboken, NJ 07030</t>
        </is>
      </c>
      <c r="E8" t="inlineStr">
        <is>
          <t>fillir.com/hoboken</t>
        </is>
      </c>
      <c r="F8" t="inlineStr">
        <is>
          <t>no email found (booking form only), phone 201-710-5007</t>
        </is>
      </c>
      <c r="G8" t="inlineStr">
        <is>
          <t>Yes</t>
        </is>
      </c>
      <c r="H8" t="n">
        <v>5</v>
      </c>
    </row>
    <row r="9">
      <c r="A9" t="n">
        <v>8</v>
      </c>
      <c r="B9" t="inlineStr">
        <is>
          <t>Evolve Med Spa (Hoboken)</t>
        </is>
      </c>
      <c r="C9" t="inlineStr">
        <is>
          <t>Hoboken</t>
        </is>
      </c>
      <c r="D9" t="inlineStr">
        <is>
          <t>Not published (chain location page only)</t>
        </is>
      </c>
      <c r="E9" t="inlineStr">
        <is>
          <t>evolvemedspa.com/in/new-jersey/hoboken-nj/</t>
        </is>
      </c>
      <c r="F9" t="inlineStr">
        <is>
          <t>no email found (booking form only)</t>
        </is>
      </c>
      <c r="G9" t="inlineStr">
        <is>
          <t>Yes</t>
        </is>
      </c>
      <c r="H9" t="n">
        <v>4</v>
      </c>
    </row>
    <row r="10">
      <c r="A10" t="n">
        <v>9</v>
      </c>
      <c r="B10" t="inlineStr">
        <is>
          <t>Ethos Aesthetics + Wellness (Hoboken)</t>
        </is>
      </c>
      <c r="C10" t="inlineStr">
        <is>
          <t>Hoboken</t>
        </is>
      </c>
      <c r="D10" t="inlineStr">
        <is>
          <t>79 Hudson St, Suite 100LL, Hoboken, NJ</t>
        </is>
      </c>
      <c r="E10" t="inlineStr">
        <is>
          <t>myethosspa.com/locations/hoboken-nj/</t>
        </is>
      </c>
      <c r="F10" t="inlineStr">
        <is>
          <t>no email found (booking form only), phone 201-594-6323</t>
        </is>
      </c>
      <c r="G10" t="inlineStr">
        <is>
          <t>No</t>
        </is>
      </c>
      <c r="H10" t="n">
        <v>3</v>
      </c>
    </row>
    <row r="11">
      <c r="A11" t="n">
        <v>10</v>
      </c>
      <c r="B11" t="inlineStr">
        <is>
          <t>Honey Medspa</t>
        </is>
      </c>
      <c r="C11" t="inlineStr">
        <is>
          <t>Hoboken</t>
        </is>
      </c>
      <c r="D11" t="inlineStr">
        <is>
          <t>640 Park Ave, Hoboken, NJ</t>
        </is>
      </c>
      <c r="E11" t="inlineStr">
        <is>
          <t>honeymedicalspa.com</t>
        </is>
      </c>
      <c r="F11" t="inlineStr">
        <is>
          <t>no email found (booking form only)</t>
        </is>
      </c>
      <c r="G11" t="inlineStr">
        <is>
          <t>No</t>
        </is>
      </c>
      <c r="H11" t="n">
        <v>7</v>
      </c>
    </row>
    <row r="12">
      <c r="A12" t="n">
        <v>11</v>
      </c>
      <c r="B12" t="inlineStr">
        <is>
          <t>4Ever Young (Hoboken)</t>
        </is>
      </c>
      <c r="C12" t="inlineStr">
        <is>
          <t>Hoboken</t>
        </is>
      </c>
      <c r="D12" t="inlineStr">
        <is>
          <t>Not published</t>
        </is>
      </c>
      <c r="E12" t="inlineStr">
        <is>
          <t>4everyoungantiaging.com/hoboken/</t>
        </is>
      </c>
      <c r="F12" t="inlineStr">
        <is>
          <t>no email found (booking form only)</t>
        </is>
      </c>
      <c r="G12" t="inlineStr">
        <is>
          <t>No</t>
        </is>
      </c>
      <c r="H12" t="n">
        <v>3</v>
      </c>
    </row>
    <row r="13">
      <c r="A13" t="n">
        <v>12</v>
      </c>
      <c r="B13" t="inlineStr">
        <is>
          <t>Attain Medspa (Hoboken)</t>
        </is>
      </c>
      <c r="C13" t="inlineStr">
        <is>
          <t>Hoboken</t>
        </is>
      </c>
      <c r="D13" t="inlineStr">
        <is>
          <t>720 Monroe St, Suite E407, Hoboken, NJ 07030</t>
        </is>
      </c>
      <c r="E13" t="inlineStr">
        <is>
          <t>yelp.com/biz/attain-medspa-hoboken</t>
        </is>
      </c>
      <c r="F13" t="inlineStr">
        <is>
          <t>no email found (booking form only)</t>
        </is>
      </c>
      <c r="G13" t="inlineStr">
        <is>
          <t>No</t>
        </is>
      </c>
      <c r="H13" t="n">
        <v>0</v>
      </c>
      <c r="I13" t="inlineStr">
        <is>
          <t>General medical aesthetics/wellness studio; specific treatment menu not confirmed via public listing search.</t>
        </is>
      </c>
    </row>
    <row r="14">
      <c r="A14" t="n">
        <v>13</v>
      </c>
      <c r="B14" t="inlineStr">
        <is>
          <t>Edgewater Med Spa (Weehawken)</t>
        </is>
      </c>
      <c r="C14" t="inlineStr">
        <is>
          <t>Weehawken</t>
        </is>
      </c>
      <c r="D14" t="inlineStr">
        <is>
          <t>1200 Avenue at Port Imperial, Suite B, Weehawken, NJ 07086</t>
        </is>
      </c>
      <c r="E14" t="inlineStr">
        <is>
          <t>yelp.com/biz/edgewater-med-spa-weehawken</t>
        </is>
      </c>
      <c r="F14" t="inlineStr">
        <is>
          <t>no email found, phone (201) 313-8899</t>
        </is>
      </c>
      <c r="G14" t="inlineStr">
        <is>
          <t>No</t>
        </is>
      </c>
      <c r="H14" t="n">
        <v>7</v>
      </c>
      <c r="I14" t="inlineStr">
        <is>
          <t>Note: named 'Edgewater Med Spa' but physically located in Weehawken, not Edgewater, NJ.</t>
        </is>
      </c>
    </row>
    <row r="15">
      <c r="A15" t="n">
        <v>14</v>
      </c>
      <c r="B15" t="inlineStr">
        <is>
          <t>Spa Society (Weehawken)</t>
        </is>
      </c>
      <c r="C15" t="inlineStr">
        <is>
          <t>Weehawken</t>
        </is>
      </c>
      <c r="D15" t="inlineStr">
        <is>
          <t>500 Avenue at Port Imperial, Suite 140, Weehawken, NJ 07086</t>
        </is>
      </c>
      <c r="E15" t="inlineStr">
        <is>
          <t>portraitcare.com/location/spa-society-24708/</t>
        </is>
      </c>
      <c r="F15" t="inlineStr">
        <is>
          <t>no email found, phone (201) 430-8741</t>
        </is>
      </c>
      <c r="G15" t="inlineStr">
        <is>
          <t>No</t>
        </is>
      </c>
      <c r="H15" t="n">
        <v>0</v>
      </c>
      <c r="I15" t="inlineStr">
        <is>
          <t>General aesthetics/wellness provider; specific treatment menu not confirmed via public listing search.</t>
        </is>
      </c>
    </row>
    <row r="16">
      <c r="A16" t="n">
        <v>15</v>
      </c>
      <c r="B16" t="inlineStr">
        <is>
          <t>1aesthetic (Hoboken &amp; Weehawken)</t>
        </is>
      </c>
      <c r="C16" t="inlineStr">
        <is>
          <t>Hoboken &amp; Weehawken</t>
        </is>
      </c>
      <c r="D16" t="inlineStr">
        <is>
          <t>Not published (2 locations)</t>
        </is>
      </c>
      <c r="E16" t="inlineStr">
        <is>
          <t>1aesthetic.com</t>
        </is>
      </c>
      <c r="F16" t="inlineStr">
        <is>
          <t>no email found (booking form only)</t>
        </is>
      </c>
      <c r="G16" t="inlineStr">
        <is>
          <t>No</t>
        </is>
      </c>
      <c r="H16" t="n">
        <v>4</v>
      </c>
    </row>
    <row r="17">
      <c r="A17" t="n">
        <v>16</v>
      </c>
      <c r="B17" t="inlineStr">
        <is>
          <t>Lasting Impression Medical Aesthetics (Fort Lee)</t>
        </is>
      </c>
      <c r="C17" t="inlineStr">
        <is>
          <t>Fort Lee</t>
        </is>
      </c>
      <c r="D17" t="inlineStr">
        <is>
          <t>Not published</t>
        </is>
      </c>
      <c r="E17" t="inlineStr">
        <is>
          <t>bergencountymedicalspa.com/fort-lee/</t>
        </is>
      </c>
      <c r="F17" t="inlineStr">
        <is>
          <t>no email found (booking form only)</t>
        </is>
      </c>
      <c r="G17" t="inlineStr">
        <is>
          <t>No</t>
        </is>
      </c>
      <c r="H17" t="n">
        <v>3</v>
      </c>
    </row>
    <row r="18">
      <c r="A18" t="n">
        <v>17</v>
      </c>
      <c r="B18" t="inlineStr">
        <is>
          <t>Renew MD (Fort Lee)</t>
        </is>
      </c>
      <c r="C18" t="inlineStr">
        <is>
          <t>Fort Lee</t>
        </is>
      </c>
      <c r="D18" t="inlineStr">
        <is>
          <t>Not published</t>
        </is>
      </c>
      <c r="E18" t="inlineStr">
        <is>
          <t>renewmd1.com</t>
        </is>
      </c>
      <c r="F18" t="inlineStr">
        <is>
          <t>no email found (booking form only)</t>
        </is>
      </c>
      <c r="G18" t="inlineStr">
        <is>
          <t>No</t>
        </is>
      </c>
      <c r="H18" t="n">
        <v>2</v>
      </c>
    </row>
    <row r="19">
      <c r="A19" t="n">
        <v>18</v>
      </c>
      <c r="B19" t="inlineStr">
        <is>
          <t>House of Ness (Fort Lee)</t>
        </is>
      </c>
      <c r="C19" t="inlineStr">
        <is>
          <t>Fort Lee</t>
        </is>
      </c>
      <c r="D19" t="inlineStr">
        <is>
          <t>Not published (also has a NYC location)</t>
        </is>
      </c>
      <c r="E19" t="inlineStr">
        <is>
          <t>houseofness.com/medical-spa/fort-lee-nj/</t>
        </is>
      </c>
      <c r="F19" t="inlineStr">
        <is>
          <t>no email found (booking form only)</t>
        </is>
      </c>
      <c r="G19" t="inlineStr">
        <is>
          <t>No</t>
        </is>
      </c>
      <c r="H19" t="n">
        <v>3</v>
      </c>
    </row>
    <row r="20">
      <c r="A20" t="n">
        <v>19</v>
      </c>
      <c r="B20" t="inlineStr">
        <is>
          <t>Beam MedSpa (Fort Lee)</t>
        </is>
      </c>
      <c r="C20" t="inlineStr">
        <is>
          <t>Fort Lee</t>
        </is>
      </c>
      <c r="D20" t="inlineStr">
        <is>
          <t>Not published</t>
        </is>
      </c>
      <c r="E20" t="inlineStr">
        <is>
          <t>mybeammedspa.com</t>
        </is>
      </c>
      <c r="F20" t="inlineStr">
        <is>
          <t>no email found (booking form only)</t>
        </is>
      </c>
      <c r="G20" t="inlineStr">
        <is>
          <t>No</t>
        </is>
      </c>
      <c r="H20" t="n">
        <v>3</v>
      </c>
    </row>
    <row r="21">
      <c r="A21" t="n">
        <v>20</v>
      </c>
      <c r="B21" t="inlineStr">
        <is>
          <t>Uplifted RX Medical Aesthetics</t>
        </is>
      </c>
      <c r="C21" t="inlineStr">
        <is>
          <t>Fort Lee area</t>
        </is>
      </c>
      <c r="D21" t="inlineStr">
        <is>
          <t>Not published</t>
        </is>
      </c>
      <c r="E21" t="inlineStr">
        <is>
          <t>upliftedrx.com</t>
        </is>
      </c>
      <c r="F21" t="inlineStr">
        <is>
          <t>no email found (booking form only)</t>
        </is>
      </c>
      <c r="G21" t="inlineStr">
        <is>
          <t>No</t>
        </is>
      </c>
      <c r="H21" t="n">
        <v>0</v>
      </c>
      <c r="I21" t="inlineStr">
        <is>
          <t>General medical aesthetics studio; specific treatment menu not confirmed via public listing search.</t>
        </is>
      </c>
    </row>
    <row r="22">
      <c r="A22" t="n">
        <v>21</v>
      </c>
      <c r="B22" t="inlineStr">
        <is>
          <t>Xthetics Med Spa (Teaneck)</t>
        </is>
      </c>
      <c r="C22" t="inlineStr">
        <is>
          <t>Teaneck</t>
        </is>
      </c>
      <c r="D22" t="inlineStr">
        <is>
          <t>Not published</t>
        </is>
      </c>
      <c r="E22" t="inlineStr">
        <is>
          <t>xtheticsmedspa.com</t>
        </is>
      </c>
      <c r="F22" t="inlineStr">
        <is>
          <t>no email found (booking form only)</t>
        </is>
      </c>
      <c r="G22" t="inlineStr">
        <is>
          <t>No</t>
        </is>
      </c>
      <c r="H22" t="n">
        <v>3</v>
      </c>
    </row>
    <row r="23">
      <c r="A23" t="n">
        <v>22</v>
      </c>
      <c r="B23" t="inlineStr">
        <is>
          <t>The Hudson Med Spa (Englewood)</t>
        </is>
      </c>
      <c r="C23" t="inlineStr">
        <is>
          <t>Englewood</t>
        </is>
      </c>
      <c r="D23" t="inlineStr">
        <is>
          <t>30 N Dean St, Englewood, NJ</t>
        </is>
      </c>
      <c r="E23" t="inlineStr">
        <is>
          <t>thehudsonmedspa.com</t>
        </is>
      </c>
      <c r="F23" t="inlineStr">
        <is>
          <t>no email found (booking form only)</t>
        </is>
      </c>
      <c r="G23" t="inlineStr">
        <is>
          <t>Yes</t>
        </is>
      </c>
      <c r="H23" t="n">
        <v>3</v>
      </c>
    </row>
    <row r="24">
      <c r="A24" t="n">
        <v>23</v>
      </c>
      <c r="B24" t="inlineStr">
        <is>
          <t>Lumina Med Spa (Englewood Cliffs)</t>
        </is>
      </c>
      <c r="C24" t="inlineStr">
        <is>
          <t>Englewood Cliffs</t>
        </is>
      </c>
      <c r="D24" t="inlineStr">
        <is>
          <t>Not published</t>
        </is>
      </c>
      <c r="E24" t="inlineStr">
        <is>
          <t>luminamedspanj.com</t>
        </is>
      </c>
      <c r="F24" t="inlineStr">
        <is>
          <t>no email found (booking form only)</t>
        </is>
      </c>
      <c r="G24" t="inlineStr">
        <is>
          <t>No</t>
        </is>
      </c>
      <c r="H24" t="n">
        <v>4</v>
      </c>
    </row>
    <row r="25">
      <c r="A25" t="n">
        <v>24</v>
      </c>
      <c r="B25" t="inlineStr">
        <is>
          <t>Callahan Plastic Surgery Medspa (Englewood)</t>
        </is>
      </c>
      <c r="C25" t="inlineStr">
        <is>
          <t>Englewood</t>
        </is>
      </c>
      <c r="D25" t="inlineStr">
        <is>
          <t>Not published</t>
        </is>
      </c>
      <c r="E25" t="inlineStr">
        <is>
          <t>callahanplasticsurgery.com/medspa/</t>
        </is>
      </c>
      <c r="F25" t="inlineStr">
        <is>
          <t>no email found (booking form only)</t>
        </is>
      </c>
      <c r="G25" t="inlineStr">
        <is>
          <t>No</t>
        </is>
      </c>
      <c r="H25" t="n">
        <v>2</v>
      </c>
    </row>
    <row r="26">
      <c r="A26" t="n">
        <v>25</v>
      </c>
      <c r="B26" t="inlineStr">
        <is>
          <t>Englewood Cosmetic Medical Spa</t>
        </is>
      </c>
      <c r="C26" t="inlineStr">
        <is>
          <t>Englewood</t>
        </is>
      </c>
      <c r="D26" t="inlineStr">
        <is>
          <t>Not published</t>
        </is>
      </c>
      <c r="E26" t="inlineStr">
        <is>
          <t>englewoodcosmeticmedicalspa.com</t>
        </is>
      </c>
      <c r="F26" t="inlineStr">
        <is>
          <t>no email found (booking form only)</t>
        </is>
      </c>
      <c r="G26" t="inlineStr">
        <is>
          <t>No</t>
        </is>
      </c>
      <c r="H26" t="n">
        <v>5</v>
      </c>
    </row>
    <row r="27">
      <c r="A27" t="n">
        <v>26</v>
      </c>
      <c r="B27" t="inlineStr">
        <is>
          <t>Better U Medical Spa (Englewood)</t>
        </is>
      </c>
      <c r="C27" t="inlineStr">
        <is>
          <t>Englewood</t>
        </is>
      </c>
      <c r="D27" t="inlineStr">
        <is>
          <t>180 Grand Ave, Suite B, Englewood, NJ 07631</t>
        </is>
      </c>
      <c r="E27" t="inlineStr">
        <is>
          <t>betterumedicalspa.com</t>
        </is>
      </c>
      <c r="F27" t="inlineStr">
        <is>
          <t>no email found (booking form only)</t>
        </is>
      </c>
      <c r="G27" t="inlineStr">
        <is>
          <t>No</t>
        </is>
      </c>
      <c r="H27" t="n">
        <v>5</v>
      </c>
      <c r="I27" t="inlineStr">
        <is>
          <t>Supervising physician holds hospital privileges at Hudson Regional Hospital, Secaucus, but the med spa itself operates from this Englewood address, not Secaucus.</t>
        </is>
      </c>
    </row>
    <row r="28">
      <c r="A28" t="n">
        <v>27</v>
      </c>
      <c r="B28" t="inlineStr">
        <is>
          <t>Modern Aesthetics &amp; Wellness (Edgewater)</t>
        </is>
      </c>
      <c r="C28" t="inlineStr">
        <is>
          <t>Edgewater</t>
        </is>
      </c>
      <c r="D28" t="inlineStr">
        <is>
          <t>125 River Rd, Suite 105, Edgewater, NJ</t>
        </is>
      </c>
      <c r="E28" t="inlineStr">
        <is>
          <t>modernaestheticwellness.net</t>
        </is>
      </c>
      <c r="F28" t="inlineStr">
        <is>
          <t>no email found, phone (201) 403-6728</t>
        </is>
      </c>
      <c r="G28" t="inlineStr">
        <is>
          <t>No</t>
        </is>
      </c>
      <c r="H28" t="n">
        <v>0</v>
      </c>
      <c r="I28" t="inlineStr">
        <is>
          <t>General aesthetics/wellness provider; specific treatment menu not confirmed via public listing search.</t>
        </is>
      </c>
    </row>
    <row r="29">
      <c r="A29" t="n">
        <v>28</v>
      </c>
      <c r="B29" t="inlineStr">
        <is>
          <t>Marina Medispa (Edgewater)</t>
        </is>
      </c>
      <c r="C29" t="inlineStr">
        <is>
          <t>Edgewater</t>
        </is>
      </c>
      <c r="D29" t="inlineStr">
        <is>
          <t>1033 River Road, Edgewater, NJ 07020</t>
        </is>
      </c>
      <c r="E29" t="inlineStr">
        <is>
          <t>marinamedispa.com</t>
        </is>
      </c>
      <c r="F29" t="inlineStr">
        <is>
          <t>no email found, phone 201-975-5085</t>
        </is>
      </c>
      <c r="G29" t="inlineStr">
        <is>
          <t>Partial</t>
        </is>
      </c>
      <c r="H29" t="n">
        <v>5</v>
      </c>
    </row>
    <row r="30">
      <c r="A30" t="n">
        <v>29</v>
      </c>
      <c r="B30" t="inlineStr">
        <is>
          <t>Beyond the Surface Aesthetics (Edgewater)</t>
        </is>
      </c>
      <c r="C30" t="inlineStr">
        <is>
          <t>Edgewater</t>
        </is>
      </c>
      <c r="D30" t="inlineStr">
        <is>
          <t>Not published</t>
        </is>
      </c>
      <c r="E30" t="inlineStr">
        <is>
          <t>beyondthesurfaceaesthetics.com</t>
        </is>
      </c>
      <c r="F30" t="inlineStr">
        <is>
          <t>no email found (booking form only)</t>
        </is>
      </c>
      <c r="G30" t="inlineStr">
        <is>
          <t>No</t>
        </is>
      </c>
      <c r="H30" t="n">
        <v>4</v>
      </c>
    </row>
    <row r="31">
      <c r="A31" t="n">
        <v>30</v>
      </c>
      <c r="B31" t="inlineStr">
        <is>
          <t>Una Aesthetics (Edgewater)</t>
        </is>
      </c>
      <c r="C31" t="inlineStr">
        <is>
          <t>Edgewater</t>
        </is>
      </c>
      <c r="D31" t="inlineStr">
        <is>
          <t>Not published</t>
        </is>
      </c>
      <c r="E31" t="inlineStr">
        <is>
          <t>unaaesthetics.com</t>
        </is>
      </c>
      <c r="F31" t="inlineStr">
        <is>
          <t>no email found (booking form only)</t>
        </is>
      </c>
      <c r="G31" t="inlineStr">
        <is>
          <t>No</t>
        </is>
      </c>
      <c r="H31" t="n">
        <v>2</v>
      </c>
    </row>
    <row r="32">
      <c r="A32" t="n">
        <v>31</v>
      </c>
      <c r="B32" t="inlineStr">
        <is>
          <t>SincerelySkin Med Spa</t>
        </is>
      </c>
      <c r="C32" t="inlineStr">
        <is>
          <t>Edgewater area</t>
        </is>
      </c>
      <c r="D32" t="inlineStr">
        <is>
          <t>Not published</t>
        </is>
      </c>
      <c r="E32" t="inlineStr">
        <is>
          <t>sincerelyskinmedspa.com</t>
        </is>
      </c>
      <c r="F32" t="inlineStr">
        <is>
          <t>no email found (booking form only)</t>
        </is>
      </c>
      <c r="G32" t="inlineStr">
        <is>
          <t>No</t>
        </is>
      </c>
      <c r="H32" t="n">
        <v>6</v>
      </c>
    </row>
    <row r="33">
      <c r="A33" t="n">
        <v>32</v>
      </c>
      <c r="B33" t="inlineStr">
        <is>
          <t>4Ever Young (Edgewater)</t>
        </is>
      </c>
      <c r="C33" t="inlineStr">
        <is>
          <t>Edgewater</t>
        </is>
      </c>
      <c r="D33" t="inlineStr">
        <is>
          <t>Not published</t>
        </is>
      </c>
      <c r="E33" t="inlineStr">
        <is>
          <t>4everyoungantiaging.com/edgewater/</t>
        </is>
      </c>
      <c r="F33" t="inlineStr">
        <is>
          <t>no email found (booking form only)</t>
        </is>
      </c>
      <c r="G33" t="inlineStr">
        <is>
          <t>No</t>
        </is>
      </c>
      <c r="H3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4" customWidth="1" min="3" max="3"/>
    <col width="40" customWidth="1" min="4" max="4"/>
    <col width="16" customWidth="1" min="5" max="5"/>
    <col width="32" customWidth="1" min="6" max="6"/>
  </cols>
  <sheetData>
    <row r="1">
      <c r="A1" s="1" t="inlineStr">
        <is>
          <t>#</t>
        </is>
      </c>
      <c r="B1" s="1" t="inlineStr">
        <is>
          <t>Clinic Name</t>
        </is>
      </c>
      <c r="C1" s="1" t="inlineStr">
        <is>
          <t>Procedure/Treatment</t>
        </is>
      </c>
      <c r="D1" s="1" t="inlineStr">
        <is>
          <t>Price</t>
        </is>
      </c>
      <c r="E1" s="1" t="inlineStr">
        <is>
          <t>Duration</t>
        </is>
      </c>
      <c r="F1" s="1" t="inlineStr">
        <is>
          <t>Category</t>
        </is>
      </c>
    </row>
    <row r="2">
      <c r="A2" t="n">
        <v>1</v>
      </c>
      <c r="B2" t="inlineStr">
        <is>
          <t>Evolve Med Spa (Jersey City)</t>
        </is>
      </c>
      <c r="C2" t="inlineStr">
        <is>
          <t>Botox / Dysport</t>
        </is>
      </c>
      <c r="D2" t="inlineStr">
        <is>
          <t>$11/unit</t>
        </is>
      </c>
      <c r="F2" t="inlineStr">
        <is>
          <t>Botox / Neuromodulators</t>
        </is>
      </c>
    </row>
    <row r="3">
      <c r="A3" t="n">
        <v>2</v>
      </c>
      <c r="B3" t="inlineStr">
        <is>
          <t>Evolve Med Spa (Jersey City)</t>
        </is>
      </c>
      <c r="C3" t="inlineStr">
        <is>
          <t>Lip Filler (Lip Membership rate)</t>
        </is>
      </c>
      <c r="D3" t="inlineStr">
        <is>
          <t>$500/syringe</t>
        </is>
      </c>
      <c r="F3" t="inlineStr">
        <is>
          <t>Dermal / Lip Fillers</t>
        </is>
      </c>
    </row>
    <row r="4">
      <c r="A4" t="n">
        <v>3</v>
      </c>
      <c r="B4" t="inlineStr">
        <is>
          <t>Evolve Med Spa (Jersey City)</t>
        </is>
      </c>
      <c r="C4" t="inlineStr">
        <is>
          <t>Laser treatments</t>
        </is>
      </c>
      <c r="D4" t="inlineStr">
        <is>
          <t>Not published</t>
        </is>
      </c>
      <c r="F4" t="inlineStr">
        <is>
          <t>Laser Hair Removal</t>
        </is>
      </c>
    </row>
    <row r="5">
      <c r="A5" t="n">
        <v>4</v>
      </c>
      <c r="B5" t="inlineStr">
        <is>
          <t>Urban Aesthetic Med Spa</t>
        </is>
      </c>
      <c r="C5" t="inlineStr">
        <is>
          <t>Botox</t>
        </is>
      </c>
      <c r="D5" t="inlineStr">
        <is>
          <t>Not published</t>
        </is>
      </c>
      <c r="F5" t="inlineStr">
        <is>
          <t>Botox / Neuromodulators</t>
        </is>
      </c>
    </row>
    <row r="6">
      <c r="A6" t="n">
        <v>5</v>
      </c>
      <c r="B6" t="inlineStr">
        <is>
          <t>Urban Aesthetic Med Spa</t>
        </is>
      </c>
      <c r="C6" t="inlineStr">
        <is>
          <t>Dermal / lip fillers</t>
        </is>
      </c>
      <c r="D6" t="inlineStr">
        <is>
          <t>Not published</t>
        </is>
      </c>
      <c r="F6" t="inlineStr">
        <is>
          <t>Dermal / Lip Fillers</t>
        </is>
      </c>
    </row>
    <row r="7">
      <c r="A7" t="n">
        <v>6</v>
      </c>
      <c r="B7" t="inlineStr">
        <is>
          <t>Urban Aesthetic Med Spa</t>
        </is>
      </c>
      <c r="C7" t="inlineStr">
        <is>
          <t>Laser hair removal</t>
        </is>
      </c>
      <c r="D7" t="inlineStr">
        <is>
          <t>Not published</t>
        </is>
      </c>
      <c r="F7" t="inlineStr">
        <is>
          <t>Laser Hair Removal</t>
        </is>
      </c>
    </row>
    <row r="8">
      <c r="A8" t="n">
        <v>7</v>
      </c>
      <c r="B8" t="inlineStr">
        <is>
          <t>Urban Aesthetic Med Spa</t>
        </is>
      </c>
      <c r="C8" t="inlineStr">
        <is>
          <t>Microneedling</t>
        </is>
      </c>
      <c r="D8" t="inlineStr">
        <is>
          <t>Not published</t>
        </is>
      </c>
      <c r="F8" t="inlineStr">
        <is>
          <t>Microneedling</t>
        </is>
      </c>
    </row>
    <row r="9">
      <c r="A9" t="n">
        <v>8</v>
      </c>
      <c r="B9" t="inlineStr">
        <is>
          <t>Urban Aesthetic Med Spa</t>
        </is>
      </c>
      <c r="C9" t="inlineStr">
        <is>
          <t>PRP</t>
        </is>
      </c>
      <c r="D9" t="inlineStr">
        <is>
          <t>Not published</t>
        </is>
      </c>
      <c r="F9" t="inlineStr">
        <is>
          <t>PRP / PRF</t>
        </is>
      </c>
    </row>
    <row r="10">
      <c r="A10" t="n">
        <v>9</v>
      </c>
      <c r="B10" t="inlineStr">
        <is>
          <t>Downtown Medspa</t>
        </is>
      </c>
      <c r="C10" t="inlineStr">
        <is>
          <t>Botox</t>
        </is>
      </c>
      <c r="D10" t="inlineStr">
        <is>
          <t>Not published</t>
        </is>
      </c>
      <c r="F10" t="inlineStr">
        <is>
          <t>Botox / Neuromodulators</t>
        </is>
      </c>
    </row>
    <row r="11">
      <c r="A11" t="n">
        <v>10</v>
      </c>
      <c r="B11" t="inlineStr">
        <is>
          <t>Downtown Medspa</t>
        </is>
      </c>
      <c r="C11" t="inlineStr">
        <is>
          <t>Fillers</t>
        </is>
      </c>
      <c r="D11" t="inlineStr">
        <is>
          <t>Not published</t>
        </is>
      </c>
      <c r="F11" t="inlineStr">
        <is>
          <t>Dermal / Lip Fillers</t>
        </is>
      </c>
    </row>
    <row r="12">
      <c r="A12" t="n">
        <v>11</v>
      </c>
      <c r="B12" t="inlineStr">
        <is>
          <t>Newest Beginnings Wellness Center</t>
        </is>
      </c>
      <c r="C12" t="inlineStr">
        <is>
          <t>Botox / wrinkle relaxers</t>
        </is>
      </c>
      <c r="D12" t="inlineStr">
        <is>
          <t>Not published</t>
        </is>
      </c>
      <c r="F12" t="inlineStr">
        <is>
          <t>Botox / Neuromodulators</t>
        </is>
      </c>
    </row>
    <row r="13">
      <c r="A13" t="n">
        <v>12</v>
      </c>
      <c r="B13" t="inlineStr">
        <is>
          <t>Newest Beginnings Wellness Center</t>
        </is>
      </c>
      <c r="C13" t="inlineStr">
        <is>
          <t>Dermal fillers</t>
        </is>
      </c>
      <c r="D13" t="inlineStr">
        <is>
          <t>Not published</t>
        </is>
      </c>
      <c r="F13" t="inlineStr">
        <is>
          <t>Dermal / Lip Fillers</t>
        </is>
      </c>
    </row>
    <row r="14">
      <c r="A14" t="n">
        <v>13</v>
      </c>
      <c r="B14" t="inlineStr">
        <is>
          <t>SNJ New Jersey Med Spa (Esthetique)</t>
        </is>
      </c>
      <c r="C14" t="inlineStr">
        <is>
          <t>Botox</t>
        </is>
      </c>
      <c r="D14" t="inlineStr">
        <is>
          <t>Not published</t>
        </is>
      </c>
      <c r="F14" t="inlineStr">
        <is>
          <t>Botox / Neuromodulators</t>
        </is>
      </c>
    </row>
    <row r="15">
      <c r="A15" t="n">
        <v>14</v>
      </c>
      <c r="B15" t="inlineStr">
        <is>
          <t>SNJ New Jersey Med Spa (Esthetique)</t>
        </is>
      </c>
      <c r="C15" t="inlineStr">
        <is>
          <t>Fillers</t>
        </is>
      </c>
      <c r="D15" t="inlineStr">
        <is>
          <t>Not published</t>
        </is>
      </c>
      <c r="F15" t="inlineStr">
        <is>
          <t>Dermal / Lip Fillers</t>
        </is>
      </c>
    </row>
    <row r="16">
      <c r="A16" t="n">
        <v>15</v>
      </c>
      <c r="B16" t="inlineStr">
        <is>
          <t>SNJ New Jersey Med Spa (Esthetique)</t>
        </is>
      </c>
      <c r="C16" t="inlineStr">
        <is>
          <t>PRP/PRF</t>
        </is>
      </c>
      <c r="D16" t="inlineStr">
        <is>
          <t>Not published</t>
        </is>
      </c>
      <c r="F16" t="inlineStr">
        <is>
          <t>PRP / PRF</t>
        </is>
      </c>
    </row>
    <row r="17">
      <c r="A17" t="n">
        <v>16</v>
      </c>
      <c r="B17" t="inlineStr">
        <is>
          <t>SNJ New Jersey Med Spa (Esthetique)</t>
        </is>
      </c>
      <c r="C17" t="inlineStr">
        <is>
          <t>Medical weight loss</t>
        </is>
      </c>
      <c r="D17" t="inlineStr">
        <is>
          <t>Not published</t>
        </is>
      </c>
      <c r="F17" t="inlineStr">
        <is>
          <t>Medical Weight Loss / GLP-1</t>
        </is>
      </c>
    </row>
    <row r="18">
      <c r="A18" t="n">
        <v>17</v>
      </c>
      <c r="B18" t="inlineStr">
        <is>
          <t>SNJ New Jersey Med Spa (Esthetique)</t>
        </is>
      </c>
      <c r="C18" t="inlineStr">
        <is>
          <t>IV infusion</t>
        </is>
      </c>
      <c r="D18" t="inlineStr">
        <is>
          <t>Not published</t>
        </is>
      </c>
      <c r="F18" t="inlineStr">
        <is>
          <t>IV Therapy</t>
        </is>
      </c>
    </row>
    <row r="19">
      <c r="A19" t="n">
        <v>18</v>
      </c>
      <c r="B19" t="inlineStr">
        <is>
          <t>SNJ New Jersey Med Spa (Esthetique)</t>
        </is>
      </c>
      <c r="C19" t="inlineStr">
        <is>
          <t>Laser</t>
        </is>
      </c>
      <c r="D19" t="inlineStr">
        <is>
          <t>Not published</t>
        </is>
      </c>
      <c r="F19" t="inlineStr">
        <is>
          <t>Laser Hair Removal</t>
        </is>
      </c>
    </row>
    <row r="20">
      <c r="A20" t="n">
        <v>19</v>
      </c>
      <c r="B20" t="inlineStr">
        <is>
          <t>SNJ New Jersey Med Spa (Esthetique)</t>
        </is>
      </c>
      <c r="C20" t="inlineStr">
        <is>
          <t>Microneedling</t>
        </is>
      </c>
      <c r="D20" t="inlineStr">
        <is>
          <t>Not published</t>
        </is>
      </c>
      <c r="F20" t="inlineStr">
        <is>
          <t>Microneedling</t>
        </is>
      </c>
    </row>
    <row r="21">
      <c r="A21" t="n">
        <v>20</v>
      </c>
      <c r="B21" t="inlineStr">
        <is>
          <t>NJ Forever Young MD</t>
        </is>
      </c>
      <c r="C21" t="inlineStr">
        <is>
          <t>Botox</t>
        </is>
      </c>
      <c r="D21" t="inlineStr">
        <is>
          <t>Not published</t>
        </is>
      </c>
      <c r="F21" t="inlineStr">
        <is>
          <t>Botox / Neuromodulators</t>
        </is>
      </c>
    </row>
    <row r="22">
      <c r="A22" t="n">
        <v>21</v>
      </c>
      <c r="B22" t="inlineStr">
        <is>
          <t>NJ Forever Young MD</t>
        </is>
      </c>
      <c r="C22" t="inlineStr">
        <is>
          <t>Dermal fillers</t>
        </is>
      </c>
      <c r="D22" t="inlineStr">
        <is>
          <t>Not published</t>
        </is>
      </c>
      <c r="F22" t="inlineStr">
        <is>
          <t>Dermal / Lip Fillers</t>
        </is>
      </c>
    </row>
    <row r="23">
      <c r="A23" t="n">
        <v>22</v>
      </c>
      <c r="B23" t="inlineStr">
        <is>
          <t>fillir (Hoboken)</t>
        </is>
      </c>
      <c r="C23" t="inlineStr">
        <is>
          <t>Botox / Dysport / Xeomin</t>
        </is>
      </c>
      <c r="D23" t="inlineStr">
        <is>
          <t>$14/unit</t>
        </is>
      </c>
      <c r="F23" t="inlineStr">
        <is>
          <t>Botox / Neuromodulators</t>
        </is>
      </c>
    </row>
    <row r="24">
      <c r="A24" t="n">
        <v>23</v>
      </c>
      <c r="B24" t="inlineStr">
        <is>
          <t>fillir (Hoboken)</t>
        </is>
      </c>
      <c r="C24" t="inlineStr">
        <is>
          <t>Lip filler</t>
        </is>
      </c>
      <c r="D24" t="inlineStr">
        <is>
          <t>Not published</t>
        </is>
      </c>
      <c r="F24" t="inlineStr">
        <is>
          <t>Dermal / Lip Fillers</t>
        </is>
      </c>
    </row>
    <row r="25">
      <c r="A25" t="n">
        <v>24</v>
      </c>
      <c r="B25" t="inlineStr">
        <is>
          <t>fillir (Hoboken)</t>
        </is>
      </c>
      <c r="C25" t="inlineStr">
        <is>
          <t>Laser hair removal</t>
        </is>
      </c>
      <c r="D25" t="inlineStr">
        <is>
          <t>Not published</t>
        </is>
      </c>
      <c r="F25" t="inlineStr">
        <is>
          <t>Laser Hair Removal</t>
        </is>
      </c>
    </row>
    <row r="26">
      <c r="A26" t="n">
        <v>25</v>
      </c>
      <c r="B26" t="inlineStr">
        <is>
          <t>fillir (Hoboken)</t>
        </is>
      </c>
      <c r="C26" t="inlineStr">
        <is>
          <t>SkinPen microneedling</t>
        </is>
      </c>
      <c r="D26" t="inlineStr">
        <is>
          <t>Not published</t>
        </is>
      </c>
      <c r="F26" t="inlineStr">
        <is>
          <t>Microneedling</t>
        </is>
      </c>
    </row>
    <row r="27">
      <c r="A27" t="n">
        <v>26</v>
      </c>
      <c r="B27" t="inlineStr">
        <is>
          <t>fillir (Hoboken)</t>
        </is>
      </c>
      <c r="C27" t="inlineStr">
        <is>
          <t>HydraFacial</t>
        </is>
      </c>
      <c r="D27" t="inlineStr">
        <is>
          <t>Not published</t>
        </is>
      </c>
      <c r="F27" t="inlineStr">
        <is>
          <t>HydraFacial</t>
        </is>
      </c>
    </row>
    <row r="28">
      <c r="A28" t="n">
        <v>27</v>
      </c>
      <c r="B28" t="inlineStr">
        <is>
          <t>Evolve Med Spa (Hoboken)</t>
        </is>
      </c>
      <c r="C28" t="inlineStr">
        <is>
          <t>Botox / Dysport</t>
        </is>
      </c>
      <c r="D28" t="inlineStr">
        <is>
          <t>$11/unit</t>
        </is>
      </c>
      <c r="F28" t="inlineStr">
        <is>
          <t>Botox / Neuromodulators</t>
        </is>
      </c>
    </row>
    <row r="29">
      <c r="A29" t="n">
        <v>28</v>
      </c>
      <c r="B29" t="inlineStr">
        <is>
          <t>Evolve Med Spa (Hoboken)</t>
        </is>
      </c>
      <c r="C29" t="inlineStr">
        <is>
          <t>Lip filler</t>
        </is>
      </c>
      <c r="D29" t="inlineStr">
        <is>
          <t>Not published</t>
        </is>
      </c>
      <c r="F29" t="inlineStr">
        <is>
          <t>Dermal / Lip Fillers</t>
        </is>
      </c>
    </row>
    <row r="30">
      <c r="A30" t="n">
        <v>29</v>
      </c>
      <c r="B30" t="inlineStr">
        <is>
          <t>Evolve Med Spa (Hoboken)</t>
        </is>
      </c>
      <c r="C30" t="inlineStr">
        <is>
          <t>Laser hair removal</t>
        </is>
      </c>
      <c r="D30" t="inlineStr">
        <is>
          <t>Not published</t>
        </is>
      </c>
      <c r="F30" t="inlineStr">
        <is>
          <t>Laser Hair Removal</t>
        </is>
      </c>
    </row>
    <row r="31">
      <c r="A31" t="n">
        <v>30</v>
      </c>
      <c r="B31" t="inlineStr">
        <is>
          <t>Evolve Med Spa (Hoboken)</t>
        </is>
      </c>
      <c r="C31" t="inlineStr">
        <is>
          <t>HydraFacial</t>
        </is>
      </c>
      <c r="D31" t="inlineStr">
        <is>
          <t>Not published</t>
        </is>
      </c>
      <c r="F31" t="inlineStr">
        <is>
          <t>HydraFacial</t>
        </is>
      </c>
    </row>
    <row r="32">
      <c r="A32" t="n">
        <v>31</v>
      </c>
      <c r="B32" t="inlineStr">
        <is>
          <t>Ethos Aesthetics + Wellness (Hoboken)</t>
        </is>
      </c>
      <c r="C32" t="inlineStr">
        <is>
          <t>Botox</t>
        </is>
      </c>
      <c r="D32" t="inlineStr">
        <is>
          <t>Not published</t>
        </is>
      </c>
      <c r="F32" t="inlineStr">
        <is>
          <t>Botox / Neuromodulators</t>
        </is>
      </c>
    </row>
    <row r="33">
      <c r="A33" t="n">
        <v>32</v>
      </c>
      <c r="B33" t="inlineStr">
        <is>
          <t>Ethos Aesthetics + Wellness (Hoboken)</t>
        </is>
      </c>
      <c r="C33" t="inlineStr">
        <is>
          <t>Fillers</t>
        </is>
      </c>
      <c r="D33" t="inlineStr">
        <is>
          <t>Not published</t>
        </is>
      </c>
      <c r="F33" t="inlineStr">
        <is>
          <t>Dermal / Lip Fillers</t>
        </is>
      </c>
    </row>
    <row r="34">
      <c r="A34" t="n">
        <v>33</v>
      </c>
      <c r="B34" t="inlineStr">
        <is>
          <t>Ethos Aesthetics + Wellness (Hoboken)</t>
        </is>
      </c>
      <c r="C34" t="inlineStr">
        <is>
          <t>Laser treatments</t>
        </is>
      </c>
      <c r="D34" t="inlineStr">
        <is>
          <t>Not published</t>
        </is>
      </c>
      <c r="F34" t="inlineStr">
        <is>
          <t>Laser Hair Removal</t>
        </is>
      </c>
    </row>
    <row r="35">
      <c r="A35" t="n">
        <v>34</v>
      </c>
      <c r="B35" t="inlineStr">
        <is>
          <t>Honey Medspa</t>
        </is>
      </c>
      <c r="C35" t="inlineStr">
        <is>
          <t>Botox</t>
        </is>
      </c>
      <c r="D35" t="inlineStr">
        <is>
          <t>Not published</t>
        </is>
      </c>
      <c r="F35" t="inlineStr">
        <is>
          <t>Botox / Neuromodulators</t>
        </is>
      </c>
    </row>
    <row r="36">
      <c r="A36" t="n">
        <v>35</v>
      </c>
      <c r="B36" t="inlineStr">
        <is>
          <t>Honey Medspa</t>
        </is>
      </c>
      <c r="C36" t="inlineStr">
        <is>
          <t>Dermal fillers</t>
        </is>
      </c>
      <c r="D36" t="inlineStr">
        <is>
          <t>Not published</t>
        </is>
      </c>
      <c r="F36" t="inlineStr">
        <is>
          <t>Dermal / Lip Fillers</t>
        </is>
      </c>
    </row>
    <row r="37">
      <c r="A37" t="n">
        <v>36</v>
      </c>
      <c r="B37" t="inlineStr">
        <is>
          <t>Honey Medspa</t>
        </is>
      </c>
      <c r="C37" t="inlineStr">
        <is>
          <t>Microneedling</t>
        </is>
      </c>
      <c r="D37" t="inlineStr">
        <is>
          <t>Not published</t>
        </is>
      </c>
      <c r="F37" t="inlineStr">
        <is>
          <t>Microneedling</t>
        </is>
      </c>
    </row>
    <row r="38">
      <c r="A38" t="n">
        <v>37</v>
      </c>
      <c r="B38" t="inlineStr">
        <is>
          <t>Honey Medspa</t>
        </is>
      </c>
      <c r="C38" t="inlineStr">
        <is>
          <t>PRP</t>
        </is>
      </c>
      <c r="D38" t="inlineStr">
        <is>
          <t>Not published</t>
        </is>
      </c>
      <c r="F38" t="inlineStr">
        <is>
          <t>PRP / PRF</t>
        </is>
      </c>
    </row>
    <row r="39">
      <c r="A39" t="n">
        <v>38</v>
      </c>
      <c r="B39" t="inlineStr">
        <is>
          <t>Honey Medspa</t>
        </is>
      </c>
      <c r="C39" t="inlineStr">
        <is>
          <t>Medically supervised weight loss</t>
        </is>
      </c>
      <c r="D39" t="inlineStr">
        <is>
          <t>Not published</t>
        </is>
      </c>
      <c r="F39" t="inlineStr">
        <is>
          <t>Medical Weight Loss / GLP-1</t>
        </is>
      </c>
    </row>
    <row r="40">
      <c r="A40" t="n">
        <v>39</v>
      </c>
      <c r="B40" t="inlineStr">
        <is>
          <t>Honey Medspa</t>
        </is>
      </c>
      <c r="C40" t="inlineStr">
        <is>
          <t>Laser hair removal</t>
        </is>
      </c>
      <c r="D40" t="inlineStr">
        <is>
          <t>Not published</t>
        </is>
      </c>
      <c r="F40" t="inlineStr">
        <is>
          <t>Laser Hair Removal</t>
        </is>
      </c>
    </row>
    <row r="41">
      <c r="A41" t="n">
        <v>40</v>
      </c>
      <c r="B41" t="inlineStr">
        <is>
          <t>Honey Medspa</t>
        </is>
      </c>
      <c r="C41" t="inlineStr">
        <is>
          <t>HydraFacial</t>
        </is>
      </c>
      <c r="D41" t="inlineStr">
        <is>
          <t>Not published</t>
        </is>
      </c>
      <c r="F41" t="inlineStr">
        <is>
          <t>HydraFacial</t>
        </is>
      </c>
    </row>
    <row r="42">
      <c r="A42" t="n">
        <v>41</v>
      </c>
      <c r="B42" t="inlineStr">
        <is>
          <t>4Ever Young (Hoboken)</t>
        </is>
      </c>
      <c r="C42" t="inlineStr">
        <is>
          <t>Hormone replacement therapy</t>
        </is>
      </c>
      <c r="D42" t="inlineStr">
        <is>
          <t>Not published</t>
        </is>
      </c>
      <c r="F42" t="inlineStr">
        <is>
          <t>Hormone Therapy</t>
        </is>
      </c>
    </row>
    <row r="43">
      <c r="A43" t="n">
        <v>42</v>
      </c>
      <c r="B43" t="inlineStr">
        <is>
          <t>4Ever Young (Hoboken)</t>
        </is>
      </c>
      <c r="C43" t="inlineStr">
        <is>
          <t>Botox</t>
        </is>
      </c>
      <c r="D43" t="inlineStr">
        <is>
          <t>Not published</t>
        </is>
      </c>
      <c r="F43" t="inlineStr">
        <is>
          <t>Botox / Neuromodulators</t>
        </is>
      </c>
    </row>
    <row r="44">
      <c r="A44" t="n">
        <v>43</v>
      </c>
      <c r="B44" t="inlineStr">
        <is>
          <t>4Ever Young (Hoboken)</t>
        </is>
      </c>
      <c r="C44" t="inlineStr">
        <is>
          <t>Fillers</t>
        </is>
      </c>
      <c r="D44" t="inlineStr">
        <is>
          <t>Not published</t>
        </is>
      </c>
      <c r="F44" t="inlineStr">
        <is>
          <t>Dermal / Lip Fillers</t>
        </is>
      </c>
    </row>
    <row r="45">
      <c r="A45" t="n">
        <v>44</v>
      </c>
      <c r="B45" t="inlineStr">
        <is>
          <t>Edgewater Med Spa (Weehawken)</t>
        </is>
      </c>
      <c r="C45" t="inlineStr">
        <is>
          <t>Botox / Dysport</t>
        </is>
      </c>
      <c r="D45" t="inlineStr">
        <is>
          <t>Not published</t>
        </is>
      </c>
      <c r="F45" t="inlineStr">
        <is>
          <t>Botox / Neuromodulators</t>
        </is>
      </c>
    </row>
    <row r="46">
      <c r="A46" t="n">
        <v>45</v>
      </c>
      <c r="B46" t="inlineStr">
        <is>
          <t>Edgewater Med Spa (Weehawken)</t>
        </is>
      </c>
      <c r="C46" t="inlineStr">
        <is>
          <t>Restylane/Juvederm/Belotero/Radiesse/Bellafill</t>
        </is>
      </c>
      <c r="D46" t="inlineStr">
        <is>
          <t>Not published</t>
        </is>
      </c>
      <c r="F46" t="inlineStr">
        <is>
          <t>Dermal / Lip Fillers</t>
        </is>
      </c>
    </row>
    <row r="47">
      <c r="A47" t="n">
        <v>46</v>
      </c>
      <c r="B47" t="inlineStr">
        <is>
          <t>Edgewater Med Spa (Weehawken)</t>
        </is>
      </c>
      <c r="C47" t="inlineStr">
        <is>
          <t>Laser hair removal</t>
        </is>
      </c>
      <c r="D47" t="inlineStr">
        <is>
          <t>Not published</t>
        </is>
      </c>
      <c r="F47" t="inlineStr">
        <is>
          <t>Laser Hair Removal</t>
        </is>
      </c>
    </row>
    <row r="48">
      <c r="A48" t="n">
        <v>47</v>
      </c>
      <c r="B48" t="inlineStr">
        <is>
          <t>Edgewater Med Spa (Weehawken)</t>
        </is>
      </c>
      <c r="C48" t="inlineStr">
        <is>
          <t>Selphyl PRP/PRFM</t>
        </is>
      </c>
      <c r="D48" t="inlineStr">
        <is>
          <t>Not published</t>
        </is>
      </c>
      <c r="F48" t="inlineStr">
        <is>
          <t>PRP / PRF</t>
        </is>
      </c>
    </row>
    <row r="49">
      <c r="A49" t="n">
        <v>48</v>
      </c>
      <c r="B49" t="inlineStr">
        <is>
          <t>Edgewater Med Spa (Weehawken)</t>
        </is>
      </c>
      <c r="C49" t="inlineStr">
        <is>
          <t>Microneedling</t>
        </is>
      </c>
      <c r="D49" t="inlineStr">
        <is>
          <t>Not published</t>
        </is>
      </c>
      <c r="F49" t="inlineStr">
        <is>
          <t>Microneedling</t>
        </is>
      </c>
    </row>
    <row r="50">
      <c r="A50" t="n">
        <v>49</v>
      </c>
      <c r="B50" t="inlineStr">
        <is>
          <t>Edgewater Med Spa (Weehawken)</t>
        </is>
      </c>
      <c r="C50" t="inlineStr">
        <is>
          <t>Ultherapy / thread lift</t>
        </is>
      </c>
      <c r="D50" t="inlineStr">
        <is>
          <t>Not published</t>
        </is>
      </c>
      <c r="F50" t="inlineStr">
        <is>
          <t>Skin Tightening (Morpheus8/RF)</t>
        </is>
      </c>
    </row>
    <row r="51">
      <c r="A51" t="n">
        <v>50</v>
      </c>
      <c r="B51" t="inlineStr">
        <is>
          <t>Edgewater Med Spa (Weehawken)</t>
        </is>
      </c>
      <c r="C51" t="inlineStr">
        <is>
          <t>SmartLipo / Vaser / BBL</t>
        </is>
      </c>
      <c r="D51" t="inlineStr">
        <is>
          <t>Not published</t>
        </is>
      </c>
      <c r="F51" t="inlineStr">
        <is>
          <t>Body Contouring / CoolSculpting</t>
        </is>
      </c>
    </row>
    <row r="52">
      <c r="A52" t="n">
        <v>51</v>
      </c>
      <c r="B52" t="inlineStr">
        <is>
          <t>1aesthetic (Hoboken &amp; Weehawken)</t>
        </is>
      </c>
      <c r="C52" t="inlineStr">
        <is>
          <t>Botox</t>
        </is>
      </c>
      <c r="D52" t="inlineStr">
        <is>
          <t>Not published</t>
        </is>
      </c>
      <c r="F52" t="inlineStr">
        <is>
          <t>Botox / Neuromodulators</t>
        </is>
      </c>
    </row>
    <row r="53">
      <c r="A53" t="n">
        <v>52</v>
      </c>
      <c r="B53" t="inlineStr">
        <is>
          <t>1aesthetic (Hoboken &amp; Weehawken)</t>
        </is>
      </c>
      <c r="C53" t="inlineStr">
        <is>
          <t>Laser hair removal</t>
        </is>
      </c>
      <c r="D53" t="inlineStr">
        <is>
          <t>Not published</t>
        </is>
      </c>
      <c r="F53" t="inlineStr">
        <is>
          <t>Laser Hair Removal</t>
        </is>
      </c>
    </row>
    <row r="54">
      <c r="A54" t="n">
        <v>53</v>
      </c>
      <c r="B54" t="inlineStr">
        <is>
          <t>1aesthetic (Hoboken &amp; Weehawken)</t>
        </is>
      </c>
      <c r="C54" t="inlineStr">
        <is>
          <t>Weight loss program</t>
        </is>
      </c>
      <c r="D54" t="inlineStr">
        <is>
          <t>Not published</t>
        </is>
      </c>
      <c r="F54" t="inlineStr">
        <is>
          <t>Medical Weight Loss / GLP-1</t>
        </is>
      </c>
    </row>
    <row r="55">
      <c r="A55" t="n">
        <v>54</v>
      </c>
      <c r="B55" t="inlineStr">
        <is>
          <t>1aesthetic (Hoboken &amp; Weehawken)</t>
        </is>
      </c>
      <c r="C55" t="inlineStr">
        <is>
          <t>Body contouring</t>
        </is>
      </c>
      <c r="D55" t="inlineStr">
        <is>
          <t>Not published</t>
        </is>
      </c>
      <c r="F55" t="inlineStr">
        <is>
          <t>Body Contouring / CoolSculpting</t>
        </is>
      </c>
    </row>
    <row r="56">
      <c r="A56" t="n">
        <v>55</v>
      </c>
      <c r="B56" t="inlineStr">
        <is>
          <t>Lasting Impression Medical Aesthetics (Fort Lee)</t>
        </is>
      </c>
      <c r="C56" t="inlineStr">
        <is>
          <t>Botox</t>
        </is>
      </c>
      <c r="D56" t="inlineStr">
        <is>
          <t>Not published</t>
        </is>
      </c>
      <c r="F56" t="inlineStr">
        <is>
          <t>Botox / Neuromodulators</t>
        </is>
      </c>
    </row>
    <row r="57">
      <c r="A57" t="n">
        <v>56</v>
      </c>
      <c r="B57" t="inlineStr">
        <is>
          <t>Lasting Impression Medical Aesthetics (Fort Lee)</t>
        </is>
      </c>
      <c r="C57" t="inlineStr">
        <is>
          <t>Dermal fillers</t>
        </is>
      </c>
      <c r="D57" t="inlineStr">
        <is>
          <t>Not published</t>
        </is>
      </c>
      <c r="F57" t="inlineStr">
        <is>
          <t>Dermal / Lip Fillers</t>
        </is>
      </c>
    </row>
    <row r="58">
      <c r="A58" t="n">
        <v>57</v>
      </c>
      <c r="B58" t="inlineStr">
        <is>
          <t>Lasting Impression Medical Aesthetics (Fort Lee)</t>
        </is>
      </c>
      <c r="C58" t="inlineStr">
        <is>
          <t>Laser / RF skin resurfacing &amp; tightening</t>
        </is>
      </c>
      <c r="D58" t="inlineStr">
        <is>
          <t>Not published</t>
        </is>
      </c>
      <c r="F58" t="inlineStr">
        <is>
          <t>Skin Tightening (Morpheus8/RF)</t>
        </is>
      </c>
    </row>
    <row r="59">
      <c r="A59" t="n">
        <v>58</v>
      </c>
      <c r="B59" t="inlineStr">
        <is>
          <t>Renew MD (Fort Lee)</t>
        </is>
      </c>
      <c r="C59" t="inlineStr">
        <is>
          <t>Botox</t>
        </is>
      </c>
      <c r="D59" t="inlineStr">
        <is>
          <t>Not published</t>
        </is>
      </c>
      <c r="F59" t="inlineStr">
        <is>
          <t>Botox / Neuromodulators</t>
        </is>
      </c>
    </row>
    <row r="60">
      <c r="A60" t="n">
        <v>59</v>
      </c>
      <c r="B60" t="inlineStr">
        <is>
          <t>Renew MD (Fort Lee)</t>
        </is>
      </c>
      <c r="C60" t="inlineStr">
        <is>
          <t>Fillers</t>
        </is>
      </c>
      <c r="D60" t="inlineStr">
        <is>
          <t>Not published</t>
        </is>
      </c>
      <c r="F60" t="inlineStr">
        <is>
          <t>Dermal / Lip Fillers</t>
        </is>
      </c>
    </row>
    <row r="61">
      <c r="A61" t="n">
        <v>60</v>
      </c>
      <c r="B61" t="inlineStr">
        <is>
          <t>House of Ness (Fort Lee)</t>
        </is>
      </c>
      <c r="C61" t="inlineStr">
        <is>
          <t>Botox</t>
        </is>
      </c>
      <c r="D61" t="inlineStr">
        <is>
          <t>Not published</t>
        </is>
      </c>
      <c r="F61" t="inlineStr">
        <is>
          <t>Botox / Neuromodulators</t>
        </is>
      </c>
    </row>
    <row r="62">
      <c r="A62" t="n">
        <v>61</v>
      </c>
      <c r="B62" t="inlineStr">
        <is>
          <t>House of Ness (Fort Lee)</t>
        </is>
      </c>
      <c r="C62" t="inlineStr">
        <is>
          <t>Dermal fillers</t>
        </is>
      </c>
      <c r="D62" t="inlineStr">
        <is>
          <t>Not published</t>
        </is>
      </c>
      <c r="F62" t="inlineStr">
        <is>
          <t>Dermal / Lip Fillers</t>
        </is>
      </c>
    </row>
    <row r="63">
      <c r="A63" t="n">
        <v>62</v>
      </c>
      <c r="B63" t="inlineStr">
        <is>
          <t>House of Ness (Fort Lee)</t>
        </is>
      </c>
      <c r="C63" t="inlineStr">
        <is>
          <t>PRP therapy</t>
        </is>
      </c>
      <c r="D63" t="inlineStr">
        <is>
          <t>Not published</t>
        </is>
      </c>
      <c r="F63" t="inlineStr">
        <is>
          <t>PRP / PRF</t>
        </is>
      </c>
    </row>
    <row r="64">
      <c r="A64" t="n">
        <v>63</v>
      </c>
      <c r="B64" t="inlineStr">
        <is>
          <t>Beam MedSpa (Fort Lee)</t>
        </is>
      </c>
      <c r="C64" t="inlineStr">
        <is>
          <t>Botox</t>
        </is>
      </c>
      <c r="D64" t="inlineStr">
        <is>
          <t>Not published</t>
        </is>
      </c>
      <c r="F64" t="inlineStr">
        <is>
          <t>Botox / Neuromodulators</t>
        </is>
      </c>
    </row>
    <row r="65">
      <c r="A65" t="n">
        <v>64</v>
      </c>
      <c r="B65" t="inlineStr">
        <is>
          <t>Beam MedSpa (Fort Lee)</t>
        </is>
      </c>
      <c r="C65" t="inlineStr">
        <is>
          <t>Fillers</t>
        </is>
      </c>
      <c r="D65" t="inlineStr">
        <is>
          <t>Not published</t>
        </is>
      </c>
      <c r="F65" t="inlineStr">
        <is>
          <t>Dermal / Lip Fillers</t>
        </is>
      </c>
    </row>
    <row r="66">
      <c r="A66" t="n">
        <v>65</v>
      </c>
      <c r="B66" t="inlineStr">
        <is>
          <t>Beam MedSpa (Fort Lee)</t>
        </is>
      </c>
      <c r="C66" t="inlineStr">
        <is>
          <t>Ultherapy</t>
        </is>
      </c>
      <c r="D66" t="inlineStr">
        <is>
          <t>Not published</t>
        </is>
      </c>
      <c r="F66" t="inlineStr">
        <is>
          <t>Skin Tightening (Morpheus8/RF)</t>
        </is>
      </c>
    </row>
    <row r="67">
      <c r="A67" t="n">
        <v>66</v>
      </c>
      <c r="B67" t="inlineStr">
        <is>
          <t>Xthetics Med Spa (Teaneck)</t>
        </is>
      </c>
      <c r="C67" t="inlineStr">
        <is>
          <t>Botox</t>
        </is>
      </c>
      <c r="D67" t="inlineStr">
        <is>
          <t>Not published</t>
        </is>
      </c>
      <c r="F67" t="inlineStr">
        <is>
          <t>Botox / Neuromodulators</t>
        </is>
      </c>
    </row>
    <row r="68">
      <c r="A68" t="n">
        <v>67</v>
      </c>
      <c r="B68" t="inlineStr">
        <is>
          <t>Xthetics Med Spa (Teaneck)</t>
        </is>
      </c>
      <c r="C68" t="inlineStr">
        <is>
          <t>Dermal fillers</t>
        </is>
      </c>
      <c r="D68" t="inlineStr">
        <is>
          <t>Not published</t>
        </is>
      </c>
      <c r="F68" t="inlineStr">
        <is>
          <t>Dermal / Lip Fillers</t>
        </is>
      </c>
    </row>
    <row r="69">
      <c r="A69" t="n">
        <v>68</v>
      </c>
      <c r="B69" t="inlineStr">
        <is>
          <t>Xthetics Med Spa (Teaneck)</t>
        </is>
      </c>
      <c r="C69" t="inlineStr">
        <is>
          <t>HydraFacial</t>
        </is>
      </c>
      <c r="D69" t="inlineStr">
        <is>
          <t>Not published</t>
        </is>
      </c>
      <c r="F69" t="inlineStr">
        <is>
          <t>HydraFacial</t>
        </is>
      </c>
    </row>
    <row r="70">
      <c r="A70" t="n">
        <v>69</v>
      </c>
      <c r="B70" t="inlineStr">
        <is>
          <t>The Hudson Med Spa (Englewood)</t>
        </is>
      </c>
      <c r="C70" t="inlineStr">
        <is>
          <t>Botox / Dysport</t>
        </is>
      </c>
      <c r="D70" t="inlineStr">
        <is>
          <t>$150 minimum (~10 Botox / 30 Dysport units)</t>
        </is>
      </c>
      <c r="F70" t="inlineStr">
        <is>
          <t>Botox / Neuromodulators</t>
        </is>
      </c>
    </row>
    <row r="71">
      <c r="A71" t="n">
        <v>70</v>
      </c>
      <c r="B71" t="inlineStr">
        <is>
          <t>The Hudson Med Spa (Englewood)</t>
        </is>
      </c>
      <c r="C71" t="inlineStr">
        <is>
          <t>Fillers</t>
        </is>
      </c>
      <c r="D71" t="inlineStr">
        <is>
          <t>Not published</t>
        </is>
      </c>
      <c r="F71" t="inlineStr">
        <is>
          <t>Dermal / Lip Fillers</t>
        </is>
      </c>
    </row>
    <row r="72">
      <c r="A72" t="n">
        <v>71</v>
      </c>
      <c r="B72" t="inlineStr">
        <is>
          <t>The Hudson Med Spa (Englewood)</t>
        </is>
      </c>
      <c r="C72" t="inlineStr">
        <is>
          <t>Laser hair removal (underarm + bikini bundle)</t>
        </is>
      </c>
      <c r="D72" t="inlineStr">
        <is>
          <t>$350/session; $1,300 for 6-session package (reg. $1,950)</t>
        </is>
      </c>
      <c r="F72" t="inlineStr">
        <is>
          <t>Laser Hair Removal</t>
        </is>
      </c>
    </row>
    <row r="73">
      <c r="A73" t="n">
        <v>72</v>
      </c>
      <c r="B73" t="inlineStr">
        <is>
          <t>Lumina Med Spa (Englewood Cliffs)</t>
        </is>
      </c>
      <c r="C73" t="inlineStr">
        <is>
          <t>Botox</t>
        </is>
      </c>
      <c r="D73" t="inlineStr">
        <is>
          <t>Not published</t>
        </is>
      </c>
      <c r="F73" t="inlineStr">
        <is>
          <t>Botox / Neuromodulators</t>
        </is>
      </c>
    </row>
    <row r="74">
      <c r="A74" t="n">
        <v>73</v>
      </c>
      <c r="B74" t="inlineStr">
        <is>
          <t>Lumina Med Spa (Englewood Cliffs)</t>
        </is>
      </c>
      <c r="C74" t="inlineStr">
        <is>
          <t>Dermal fillers</t>
        </is>
      </c>
      <c r="D74" t="inlineStr">
        <is>
          <t>Not published</t>
        </is>
      </c>
      <c r="F74" t="inlineStr">
        <is>
          <t>Dermal / Lip Fillers</t>
        </is>
      </c>
    </row>
    <row r="75">
      <c r="A75" t="n">
        <v>74</v>
      </c>
      <c r="B75" t="inlineStr">
        <is>
          <t>Lumina Med Spa (Englewood Cliffs)</t>
        </is>
      </c>
      <c r="C75" t="inlineStr">
        <is>
          <t>Medical weight loss</t>
        </is>
      </c>
      <c r="D75" t="inlineStr">
        <is>
          <t>Not published</t>
        </is>
      </c>
      <c r="F75" t="inlineStr">
        <is>
          <t>Medical Weight Loss / GLP-1</t>
        </is>
      </c>
    </row>
    <row r="76">
      <c r="A76" t="n">
        <v>75</v>
      </c>
      <c r="B76" t="inlineStr">
        <is>
          <t>Lumina Med Spa (Englewood Cliffs)</t>
        </is>
      </c>
      <c r="C76" t="inlineStr">
        <is>
          <t>IV therapy</t>
        </is>
      </c>
      <c r="D76" t="inlineStr">
        <is>
          <t>Not published</t>
        </is>
      </c>
      <c r="F76" t="inlineStr">
        <is>
          <t>IV Therapy</t>
        </is>
      </c>
    </row>
    <row r="77">
      <c r="A77" t="n">
        <v>76</v>
      </c>
      <c r="B77" t="inlineStr">
        <is>
          <t>Callahan Plastic Surgery Medspa (Englewood)</t>
        </is>
      </c>
      <c r="C77" t="inlineStr">
        <is>
          <t>Botox</t>
        </is>
      </c>
      <c r="D77" t="inlineStr">
        <is>
          <t>Not published</t>
        </is>
      </c>
      <c r="F77" t="inlineStr">
        <is>
          <t>Botox / Neuromodulators</t>
        </is>
      </c>
    </row>
    <row r="78">
      <c r="A78" t="n">
        <v>77</v>
      </c>
      <c r="B78" t="inlineStr">
        <is>
          <t>Callahan Plastic Surgery Medspa (Englewood)</t>
        </is>
      </c>
      <c r="C78" t="inlineStr">
        <is>
          <t>Dermal fillers</t>
        </is>
      </c>
      <c r="D78" t="inlineStr">
        <is>
          <t>Not published</t>
        </is>
      </c>
      <c r="F78" t="inlineStr">
        <is>
          <t>Dermal / Lip Fillers</t>
        </is>
      </c>
    </row>
    <row r="79">
      <c r="A79" t="n">
        <v>78</v>
      </c>
      <c r="B79" t="inlineStr">
        <is>
          <t>Englewood Cosmetic Medical Spa</t>
        </is>
      </c>
      <c r="C79" t="inlineStr">
        <is>
          <t>Botox</t>
        </is>
      </c>
      <c r="D79" t="inlineStr">
        <is>
          <t>Not published</t>
        </is>
      </c>
      <c r="F79" t="inlineStr">
        <is>
          <t>Botox / Neuromodulators</t>
        </is>
      </c>
    </row>
    <row r="80">
      <c r="A80" t="n">
        <v>79</v>
      </c>
      <c r="B80" t="inlineStr">
        <is>
          <t>Englewood Cosmetic Medical Spa</t>
        </is>
      </c>
      <c r="C80" t="inlineStr">
        <is>
          <t>Facial fillers</t>
        </is>
      </c>
      <c r="D80" t="inlineStr">
        <is>
          <t>Not published</t>
        </is>
      </c>
      <c r="F80" t="inlineStr">
        <is>
          <t>Dermal / Lip Fillers</t>
        </is>
      </c>
    </row>
    <row r="81">
      <c r="A81" t="n">
        <v>80</v>
      </c>
      <c r="B81" t="inlineStr">
        <is>
          <t>Englewood Cosmetic Medical Spa</t>
        </is>
      </c>
      <c r="C81" t="inlineStr">
        <is>
          <t>Laser hair removal</t>
        </is>
      </c>
      <c r="D81" t="inlineStr">
        <is>
          <t>Not published</t>
        </is>
      </c>
      <c r="F81" t="inlineStr">
        <is>
          <t>Laser Hair Removal</t>
        </is>
      </c>
    </row>
    <row r="82">
      <c r="A82" t="n">
        <v>81</v>
      </c>
      <c r="B82" t="inlineStr">
        <is>
          <t>Englewood Cosmetic Medical Spa</t>
        </is>
      </c>
      <c r="C82" t="inlineStr">
        <is>
          <t>Chemical peels</t>
        </is>
      </c>
      <c r="D82" t="inlineStr">
        <is>
          <t>Not published</t>
        </is>
      </c>
      <c r="F82" t="inlineStr">
        <is>
          <t>Chemical Peels</t>
        </is>
      </c>
    </row>
    <row r="83">
      <c r="A83" t="n">
        <v>82</v>
      </c>
      <c r="B83" t="inlineStr">
        <is>
          <t>Englewood Cosmetic Medical Spa</t>
        </is>
      </c>
      <c r="C83" t="inlineStr">
        <is>
          <t>Non-surgical facial tightening</t>
        </is>
      </c>
      <c r="D83" t="inlineStr">
        <is>
          <t>Not published</t>
        </is>
      </c>
      <c r="F83" t="inlineStr">
        <is>
          <t>Skin Tightening (Morpheus8/RF)</t>
        </is>
      </c>
    </row>
    <row r="84">
      <c r="A84" t="n">
        <v>83</v>
      </c>
      <c r="B84" t="inlineStr">
        <is>
          <t>Marina Medispa (Edgewater)</t>
        </is>
      </c>
      <c r="C84" t="inlineStr">
        <is>
          <t>Botox</t>
        </is>
      </c>
      <c r="D84" t="inlineStr">
        <is>
          <t>Not published</t>
        </is>
      </c>
      <c r="F84" t="inlineStr">
        <is>
          <t>Botox / Neuromodulators</t>
        </is>
      </c>
    </row>
    <row r="85">
      <c r="A85" t="n">
        <v>84</v>
      </c>
      <c r="B85" t="inlineStr">
        <is>
          <t>Marina Medispa (Edgewater)</t>
        </is>
      </c>
      <c r="C85" t="inlineStr">
        <is>
          <t>Lip filler</t>
        </is>
      </c>
      <c r="D85" t="inlineStr">
        <is>
          <t>Not published</t>
        </is>
      </c>
      <c r="F85" t="inlineStr">
        <is>
          <t>Dermal / Lip Fillers</t>
        </is>
      </c>
    </row>
    <row r="86">
      <c r="A86" t="n">
        <v>85</v>
      </c>
      <c r="B86" t="inlineStr">
        <is>
          <t>Marina Medispa (Edgewater)</t>
        </is>
      </c>
      <c r="C86" t="inlineStr">
        <is>
          <t>Laser hair removal</t>
        </is>
      </c>
      <c r="D86" t="inlineStr">
        <is>
          <t>Not published</t>
        </is>
      </c>
      <c r="F86" t="inlineStr">
        <is>
          <t>Laser Hair Removal</t>
        </is>
      </c>
    </row>
    <row r="87">
      <c r="A87" t="n">
        <v>86</v>
      </c>
      <c r="B87" t="inlineStr">
        <is>
          <t>Marina Medispa (Edgewater)</t>
        </is>
      </c>
      <c r="C87" t="inlineStr">
        <is>
          <t>Ultherapy / fractional laser resurfacing</t>
        </is>
      </c>
      <c r="D87" t="inlineStr">
        <is>
          <t>$500-$3,500 (by treatment area)</t>
        </is>
      </c>
      <c r="F87" t="inlineStr">
        <is>
          <t>Skin Tightening (Morpheus8/RF)</t>
        </is>
      </c>
    </row>
    <row r="88">
      <c r="A88" t="n">
        <v>87</v>
      </c>
      <c r="B88" t="inlineStr">
        <is>
          <t>Marina Medispa (Edgewater)</t>
        </is>
      </c>
      <c r="C88" t="inlineStr">
        <is>
          <t>Fractional laser resurfacing (IPL-adjacent)</t>
        </is>
      </c>
      <c r="D88" t="inlineStr">
        <is>
          <t>Not published</t>
        </is>
      </c>
      <c r="F88" t="inlineStr">
        <is>
          <t>IPL / Photofacial</t>
        </is>
      </c>
    </row>
    <row r="89">
      <c r="A89" t="n">
        <v>88</v>
      </c>
      <c r="B89" t="inlineStr">
        <is>
          <t>Beyond the Surface Aesthetics (Edgewater)</t>
        </is>
      </c>
      <c r="C89" t="inlineStr">
        <is>
          <t>Botox</t>
        </is>
      </c>
      <c r="D89" t="inlineStr">
        <is>
          <t>Not published</t>
        </is>
      </c>
      <c r="F89" t="inlineStr">
        <is>
          <t>Botox / Neuromodulators</t>
        </is>
      </c>
    </row>
    <row r="90">
      <c r="A90" t="n">
        <v>89</v>
      </c>
      <c r="B90" t="inlineStr">
        <is>
          <t>Beyond the Surface Aesthetics (Edgewater)</t>
        </is>
      </c>
      <c r="C90" t="inlineStr">
        <is>
          <t>Fillers</t>
        </is>
      </c>
      <c r="D90" t="inlineStr">
        <is>
          <t>Not published</t>
        </is>
      </c>
      <c r="F90" t="inlineStr">
        <is>
          <t>Dermal / Lip Fillers</t>
        </is>
      </c>
    </row>
    <row r="91">
      <c r="A91" t="n">
        <v>90</v>
      </c>
      <c r="B91" t="inlineStr">
        <is>
          <t>Beyond the Surface Aesthetics (Edgewater)</t>
        </is>
      </c>
      <c r="C91" t="inlineStr">
        <is>
          <t>Laser</t>
        </is>
      </c>
      <c r="D91" t="inlineStr">
        <is>
          <t>Not published</t>
        </is>
      </c>
      <c r="F91" t="inlineStr">
        <is>
          <t>Laser Hair Removal</t>
        </is>
      </c>
    </row>
    <row r="92">
      <c r="A92" t="n">
        <v>91</v>
      </c>
      <c r="B92" t="inlineStr">
        <is>
          <t>Beyond the Surface Aesthetics (Edgewater)</t>
        </is>
      </c>
      <c r="C92" t="inlineStr">
        <is>
          <t>PRP</t>
        </is>
      </c>
      <c r="D92" t="inlineStr">
        <is>
          <t>Not published</t>
        </is>
      </c>
      <c r="F92" t="inlineStr">
        <is>
          <t>PRP / PRF</t>
        </is>
      </c>
    </row>
    <row r="93">
      <c r="A93" t="n">
        <v>92</v>
      </c>
      <c r="B93" t="inlineStr">
        <is>
          <t>Una Aesthetics (Edgewater)</t>
        </is>
      </c>
      <c r="C93" t="inlineStr">
        <is>
          <t>Botox</t>
        </is>
      </c>
      <c r="D93" t="inlineStr">
        <is>
          <t>Not published</t>
        </is>
      </c>
      <c r="F93" t="inlineStr">
        <is>
          <t>Botox / Neuromodulators</t>
        </is>
      </c>
    </row>
    <row r="94">
      <c r="A94" t="n">
        <v>93</v>
      </c>
      <c r="B94" t="inlineStr">
        <is>
          <t>Una Aesthetics (Edgewater)</t>
        </is>
      </c>
      <c r="C94" t="inlineStr">
        <is>
          <t>Dermal fillers</t>
        </is>
      </c>
      <c r="D94" t="inlineStr">
        <is>
          <t>Not published</t>
        </is>
      </c>
      <c r="F94" t="inlineStr">
        <is>
          <t>Dermal / Lip Fillers</t>
        </is>
      </c>
    </row>
    <row r="95">
      <c r="A95" t="n">
        <v>94</v>
      </c>
      <c r="B95" t="inlineStr">
        <is>
          <t>SincerelySkin Med Spa</t>
        </is>
      </c>
      <c r="C95" t="inlineStr">
        <is>
          <t>Botox</t>
        </is>
      </c>
      <c r="D95" t="inlineStr">
        <is>
          <t>Not published</t>
        </is>
      </c>
      <c r="F95" t="inlineStr">
        <is>
          <t>Botox / Neuromodulators</t>
        </is>
      </c>
    </row>
    <row r="96">
      <c r="A96" t="n">
        <v>95</v>
      </c>
      <c r="B96" t="inlineStr">
        <is>
          <t>SincerelySkin Med Spa</t>
        </is>
      </c>
      <c r="C96" t="inlineStr">
        <is>
          <t>Fillers</t>
        </is>
      </c>
      <c r="D96" t="inlineStr">
        <is>
          <t>Not published</t>
        </is>
      </c>
      <c r="F96" t="inlineStr">
        <is>
          <t>Dermal / Lip Fillers</t>
        </is>
      </c>
    </row>
    <row r="97">
      <c r="A97" t="n">
        <v>96</v>
      </c>
      <c r="B97" t="inlineStr">
        <is>
          <t>SincerelySkin Med Spa</t>
        </is>
      </c>
      <c r="C97" t="inlineStr">
        <is>
          <t>Laser treatments</t>
        </is>
      </c>
      <c r="D97" t="inlineStr">
        <is>
          <t>Not published</t>
        </is>
      </c>
      <c r="F97" t="inlineStr">
        <is>
          <t>Laser Hair Removal</t>
        </is>
      </c>
    </row>
    <row r="98">
      <c r="A98" t="n">
        <v>97</v>
      </c>
      <c r="B98" t="inlineStr">
        <is>
          <t>SincerelySkin Med Spa</t>
        </is>
      </c>
      <c r="C98" t="inlineStr">
        <is>
          <t>Microneedling</t>
        </is>
      </c>
      <c r="D98" t="inlineStr">
        <is>
          <t>Not published</t>
        </is>
      </c>
      <c r="F98" t="inlineStr">
        <is>
          <t>Microneedling</t>
        </is>
      </c>
    </row>
    <row r="99">
      <c r="A99" t="n">
        <v>98</v>
      </c>
      <c r="B99" t="inlineStr">
        <is>
          <t>SincerelySkin Med Spa</t>
        </is>
      </c>
      <c r="C99" t="inlineStr">
        <is>
          <t>PRP</t>
        </is>
      </c>
      <c r="D99" t="inlineStr">
        <is>
          <t>Not published</t>
        </is>
      </c>
      <c r="F99" t="inlineStr">
        <is>
          <t>PRP / PRF</t>
        </is>
      </c>
    </row>
    <row r="100">
      <c r="A100" t="n">
        <v>99</v>
      </c>
      <c r="B100" t="inlineStr">
        <is>
          <t>SincerelySkin Med Spa</t>
        </is>
      </c>
      <c r="C100" t="inlineStr">
        <is>
          <t>Chemical peels</t>
        </is>
      </c>
      <c r="D100" t="inlineStr">
        <is>
          <t>Not published</t>
        </is>
      </c>
      <c r="F100" t="inlineStr">
        <is>
          <t>Chemical Peels</t>
        </is>
      </c>
    </row>
    <row r="101">
      <c r="A101" t="n">
        <v>100</v>
      </c>
      <c r="B101" t="inlineStr">
        <is>
          <t>4Ever Young (Edgewater)</t>
        </is>
      </c>
      <c r="C101" t="inlineStr">
        <is>
          <t>Hormone replacement therapy</t>
        </is>
      </c>
      <c r="D101" t="inlineStr">
        <is>
          <t>Not published</t>
        </is>
      </c>
      <c r="F101" t="inlineStr">
        <is>
          <t>Hormone Therapy</t>
        </is>
      </c>
    </row>
    <row r="102">
      <c r="A102" t="n">
        <v>101</v>
      </c>
      <c r="B102" t="inlineStr">
        <is>
          <t>4Ever Young (Edgewater)</t>
        </is>
      </c>
      <c r="C102" t="inlineStr">
        <is>
          <t>Botox</t>
        </is>
      </c>
      <c r="D102" t="inlineStr">
        <is>
          <t>Not published</t>
        </is>
      </c>
      <c r="F102" t="inlineStr">
        <is>
          <t>Botox / Neuromodulators</t>
        </is>
      </c>
    </row>
    <row r="103">
      <c r="A103" t="n">
        <v>102</v>
      </c>
      <c r="B103" t="inlineStr">
        <is>
          <t>4Ever Young (Edgewater)</t>
        </is>
      </c>
      <c r="C103" t="inlineStr">
        <is>
          <t>Fillers</t>
        </is>
      </c>
      <c r="D103" t="inlineStr">
        <is>
          <t>Not published</t>
        </is>
      </c>
      <c r="F103" t="inlineStr">
        <is>
          <t>Dermal / Lip Fillers</t>
        </is>
      </c>
    </row>
    <row r="104">
      <c r="A104" t="n">
        <v>103</v>
      </c>
      <c r="B104" t="inlineStr">
        <is>
          <t>Better U Medical Spa (Englewood)</t>
        </is>
      </c>
      <c r="C104" t="inlineStr">
        <is>
          <t>RF skin tightening</t>
        </is>
      </c>
      <c r="D104" t="inlineStr">
        <is>
          <t>Not published</t>
        </is>
      </c>
      <c r="F104" t="inlineStr">
        <is>
          <t>Skin Tightening (Morpheus8/RF)</t>
        </is>
      </c>
    </row>
    <row r="105">
      <c r="A105" t="n">
        <v>104</v>
      </c>
      <c r="B105" t="inlineStr">
        <is>
          <t>Better U Medical Spa (Englewood)</t>
        </is>
      </c>
      <c r="C105" t="inlineStr">
        <is>
          <t>PRP facials</t>
        </is>
      </c>
      <c r="D105" t="inlineStr">
        <is>
          <t>Not published</t>
        </is>
      </c>
      <c r="F105" t="inlineStr">
        <is>
          <t>PRP / PRF</t>
        </is>
      </c>
    </row>
    <row r="106">
      <c r="A106" t="n">
        <v>105</v>
      </c>
      <c r="B106" t="inlineStr">
        <is>
          <t>Better U Medical Spa (Englewood)</t>
        </is>
      </c>
      <c r="C106" t="inlineStr">
        <is>
          <t>Microneedling</t>
        </is>
      </c>
      <c r="D106" t="inlineStr">
        <is>
          <t>Not published</t>
        </is>
      </c>
      <c r="F106" t="inlineStr">
        <is>
          <t>Microneedling</t>
        </is>
      </c>
    </row>
    <row r="107">
      <c r="A107" t="n">
        <v>106</v>
      </c>
      <c r="B107" t="inlineStr">
        <is>
          <t>Better U Medical Spa (Englewood)</t>
        </is>
      </c>
      <c r="C107" t="inlineStr">
        <is>
          <t>Body sculpting / fat loss</t>
        </is>
      </c>
      <c r="D107" t="inlineStr">
        <is>
          <t>Not published</t>
        </is>
      </c>
      <c r="F107" t="inlineStr">
        <is>
          <t>Body Contouring / CoolSculpting</t>
        </is>
      </c>
    </row>
    <row r="108">
      <c r="A108" t="n">
        <v>107</v>
      </c>
      <c r="B108" t="inlineStr">
        <is>
          <t>Better U Medical Spa (Englewood)</t>
        </is>
      </c>
      <c r="C108" t="inlineStr">
        <is>
          <t>Laser hair removal</t>
        </is>
      </c>
      <c r="D108" t="inlineStr">
        <is>
          <t>Not published</t>
        </is>
      </c>
      <c r="F108" t="inlineStr">
        <is>
          <t>Laser Hair Removal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</cols>
  <sheetData>
    <row r="1">
      <c r="A1" s="2" t="inlineStr">
        <is>
          <t>Hudson &amp; Bergen Co., NJ Med Spa Market — Dashboard</t>
        </is>
      </c>
    </row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Clinics Tracked</t>
        </is>
      </c>
      <c r="B4">
        <f>COUNTA('Clinics Overview'!B2:B33)</f>
        <v/>
      </c>
    </row>
    <row r="5">
      <c r="A5" t="inlineStr">
        <is>
          <t>Clinics with Pricing on File (Yes or Partial)</t>
        </is>
      </c>
      <c r="B5">
        <f>SUMPRODUCT(--((ISNUMBER(SEARCH("yes",'Clinics Overview'!G2:G33))+ISNUMBER(SEARCH("partial",'Clinics Overview'!G2:G33)))&gt;0))</f>
        <v/>
      </c>
    </row>
    <row r="6">
      <c r="A6" t="inlineStr">
        <is>
          <t>Clinics with No Pricing on File</t>
        </is>
      </c>
      <c r="B6">
        <f>B4-B5</f>
        <v/>
      </c>
    </row>
    <row r="7">
      <c r="A7" t="inlineStr">
        <is>
          <t>Total Procedure/Treatment Line Items</t>
        </is>
      </c>
      <c r="B7">
        <f>COUNTA('All Procedures'!C2:C108)</f>
        <v/>
      </c>
    </row>
    <row r="9">
      <c r="A9" s="1" t="inlineStr">
        <is>
          <t>Procedure Category</t>
        </is>
      </c>
      <c r="B9" s="1" t="inlineStr">
        <is>
          <t># Clinics Offering (of tracked)</t>
        </is>
      </c>
    </row>
    <row r="10">
      <c r="A10" t="inlineStr">
        <is>
          <t>Botox / Neuromodulators</t>
        </is>
      </c>
      <c r="B10">
        <f>SUMPRODUCT(--(COUNTIFS('All Procedures'!$B$2:$B$108,'Clinics Overview'!$B$2:$B$33,'All Procedures'!$F$2:$F$108,"*"&amp;"Botox / Neuromodulators"&amp;"*")&gt;0))</f>
        <v/>
      </c>
    </row>
    <row r="11">
      <c r="A11" t="inlineStr">
        <is>
          <t>Dermal / Lip Fillers</t>
        </is>
      </c>
      <c r="B11">
        <f>SUMPRODUCT(--(COUNTIFS('All Procedures'!$B$2:$B$108,'Clinics Overview'!$B$2:$B$33,'All Procedures'!$F$2:$F$108,"*"&amp;"Dermal / Lip Fillers"&amp;"*")&gt;0))</f>
        <v/>
      </c>
    </row>
    <row r="12">
      <c r="A12" t="inlineStr">
        <is>
          <t>Laser Hair Removal</t>
        </is>
      </c>
      <c r="B12">
        <f>SUMPRODUCT(--(COUNTIFS('All Procedures'!$B$2:$B$108,'Clinics Overview'!$B$2:$B$33,'All Procedures'!$F$2:$F$108,"*"&amp;"Laser Hair Removal"&amp;"*")&gt;0))</f>
        <v/>
      </c>
    </row>
    <row r="13">
      <c r="A13" t="inlineStr">
        <is>
          <t>PRP / PRF</t>
        </is>
      </c>
      <c r="B13">
        <f>SUMPRODUCT(--(COUNTIFS('All Procedures'!$B$2:$B$108,'Clinics Overview'!$B$2:$B$33,'All Procedures'!$F$2:$F$108,"*"&amp;"PRP / PRF"&amp;"*")&gt;0))</f>
        <v/>
      </c>
    </row>
    <row r="14">
      <c r="A14" t="inlineStr">
        <is>
          <t>Microneedling</t>
        </is>
      </c>
      <c r="B14">
        <f>SUMPRODUCT(--(COUNTIFS('All Procedures'!$B$2:$B$108,'Clinics Overview'!$B$2:$B$33,'All Procedures'!$F$2:$F$108,"*"&amp;"Microneedling"&amp;"*")&gt;0))</f>
        <v/>
      </c>
    </row>
    <row r="15">
      <c r="A15" t="inlineStr">
        <is>
          <t>Skin Tightening (Morpheus8/RF)</t>
        </is>
      </c>
      <c r="B15">
        <f>SUMPRODUCT(--(COUNTIFS('All Procedures'!$B$2:$B$108,'Clinics Overview'!$B$2:$B$33,'All Procedures'!$F$2:$F$108,"*"&amp;"Skin Tightening (Morpheus8/RF)"&amp;"*")&gt;0))</f>
        <v/>
      </c>
    </row>
    <row r="16">
      <c r="A16" t="inlineStr">
        <is>
          <t>HydraFacial</t>
        </is>
      </c>
      <c r="B16">
        <f>SUMPRODUCT(--(COUNTIFS('All Procedures'!$B$2:$B$108,'Clinics Overview'!$B$2:$B$33,'All Procedures'!$F$2:$F$108,"*"&amp;"HydraFacial"&amp;"*")&gt;0))</f>
        <v/>
      </c>
    </row>
    <row r="17">
      <c r="A17" t="inlineStr">
        <is>
          <t>Medical Weight Loss / GLP-1</t>
        </is>
      </c>
      <c r="B17">
        <f>SUMPRODUCT(--(COUNTIFS('All Procedures'!$B$2:$B$108,'Clinics Overview'!$B$2:$B$33,'All Procedures'!$F$2:$F$108,"*"&amp;"Medical Weight Loss / GLP-1"&amp;"*")&gt;0))</f>
        <v/>
      </c>
    </row>
    <row r="18">
      <c r="A18" t="inlineStr">
        <is>
          <t>Body Contouring / CoolSculpting</t>
        </is>
      </c>
      <c r="B18">
        <f>SUMPRODUCT(--(COUNTIFS('All Procedures'!$B$2:$B$108,'Clinics Overview'!$B$2:$B$33,'All Procedures'!$F$2:$F$108,"*"&amp;"Body Contouring / CoolSculpting"&amp;"*")&gt;0))</f>
        <v/>
      </c>
    </row>
    <row r="19">
      <c r="A19" t="inlineStr">
        <is>
          <t>IV Therapy</t>
        </is>
      </c>
      <c r="B19">
        <f>SUMPRODUCT(--(COUNTIFS('All Procedures'!$B$2:$B$108,'Clinics Overview'!$B$2:$B$33,'All Procedures'!$F$2:$F$108,"*"&amp;"IV Therapy"&amp;"*")&gt;0))</f>
        <v/>
      </c>
    </row>
    <row r="20">
      <c r="A20" t="inlineStr">
        <is>
          <t>Hormone Therapy</t>
        </is>
      </c>
      <c r="B20">
        <f>SUMPRODUCT(--(COUNTIFS('All Procedures'!$B$2:$B$108,'Clinics Overview'!$B$2:$B$33,'All Procedures'!$F$2:$F$108,"*"&amp;"Hormone Therapy"&amp;"*")&gt;0))</f>
        <v/>
      </c>
    </row>
    <row r="21">
      <c r="A21" t="inlineStr">
        <is>
          <t>Chemical Peels</t>
        </is>
      </c>
      <c r="B21">
        <f>SUMPRODUCT(--(COUNTIFS('All Procedures'!$B$2:$B$108,'Clinics Overview'!$B$2:$B$33,'All Procedures'!$F$2:$F$108,"*"&amp;"Chemical Peels"&amp;"*")&gt;0))</f>
        <v/>
      </c>
    </row>
    <row r="22">
      <c r="A22" t="inlineStr">
        <is>
          <t>IPL / Photofacial</t>
        </is>
      </c>
      <c r="B22">
        <f>SUMPRODUCT(--(COUNTIFS('All Procedures'!$B$2:$B$108,'Clinics Overview'!$B$2:$B$33,'All Procedures'!$F$2:$F$108,"*"&amp;"IPL / Photofacial"&amp;"*")&gt;0))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HUDSON &amp; BERGEN CO., NJ MED SPA MARKET RESEARCH — NOTES</t>
        </is>
      </c>
    </row>
    <row r="2"/>
    <row r="3">
      <c r="A3" t="inlineStr">
        <is>
          <t>METHODOLOGY</t>
        </is>
      </c>
    </row>
    <row r="4">
      <c r="A4" t="inlineStr">
        <is>
          <t>This metro is a corridor of ten small, adjoining municipalities across two counties (Hudson</t>
        </is>
      </c>
    </row>
    <row r="5">
      <c r="A5" t="inlineStr">
        <is>
          <t>and Bergen) within roughly 15-40 minutes of Manhattan, rather than one city with a single Maps</t>
        </is>
      </c>
    </row>
    <row r="6">
      <c r="A6" t="inlineStr">
        <is>
          <t>search radius. Coverage was built from 10 municipality-scoped WebSearch passes (Jersey City,</t>
        </is>
      </c>
    </row>
    <row r="7">
      <c r="A7" t="inlineStr">
        <is>
          <t>Hoboken, Weehawken, Union City, West New York, Secaucus, Fort Lee, Edgewater, Englewood /</t>
        </is>
      </c>
    </row>
    <row r="8">
      <c r="A8" t="inlineStr">
        <is>
          <t>Englewood Cliffs, and Teaneck), each querying for med spas plus core injectable/laser services</t>
        </is>
      </c>
    </row>
    <row r="9">
      <c r="A9" t="inlineStr">
        <is>
          <t>in that specific town, cross-checked against business directories (Yelp, PortraitCare, Vagaro,</t>
        </is>
      </c>
    </row>
    <row r="10">
      <c r="A10" t="inlineStr">
        <is>
          <t>Wellness.com) and each clinic's own service pages.</t>
        </is>
      </c>
    </row>
    <row r="11"/>
    <row r="12">
      <c r="A12" t="inlineStr">
        <is>
          <t>Unlike the prior 8 cities in this project (which used a live Google Maps sweep via browser</t>
        </is>
      </c>
    </row>
    <row r="13">
      <c r="A13" t="inlineStr">
        <is>
          <t>automation, hitting the same 6-result citywide cap every time and working around it with</t>
        </is>
      </c>
    </row>
    <row r="14">
      <c r="A14" t="inlineStr">
        <is>
          <t>neighborhood-scoped Maps searches), this pass used direct web search and business-directory</t>
        </is>
      </c>
    </row>
    <row r="15">
      <c r="A15" t="inlineStr">
        <is>
          <t>cross-referencing rather than a live Maps session. This is a lighter-touch research method than</t>
        </is>
      </c>
    </row>
    <row r="16">
      <c r="A16" t="inlineStr">
        <is>
          <t>the Maps-sweep-plus-per-clinic-page pattern used elsewhere in this project, and it shows up in</t>
        </is>
      </c>
    </row>
    <row r="17">
      <c r="A17" t="inlineStr">
        <is>
          <t>the numbers below: fewer total clinics found per town, and a much lower share with published</t>
        </is>
      </c>
    </row>
    <row r="18">
      <c r="A18" t="inlineStr">
        <is>
          <t>pricing (16%, the lowest in this project) or a fully itemized treatment menu. Some of that gap</t>
        </is>
      </c>
    </row>
    <row r="19">
      <c r="A19" t="inlineStr">
        <is>
          <t>is likely a genuinely different market (a dense, expensive, PATH/ferry-commuter corridor that</t>
        </is>
      </c>
    </row>
    <row r="20">
      <c r="A20" t="inlineStr">
        <is>
          <t>skews toward consult-first, price-on-request storefronts) and some of it is likely under-</t>
        </is>
      </c>
    </row>
    <row r="21">
      <c r="A21" t="inlineStr">
        <is>
          <t>coverage relative to a full Maps sweep. Both should be assumed true until a deeper pass (either</t>
        </is>
      </c>
    </row>
    <row r="22">
      <c r="A22" t="inlineStr">
        <is>
          <t>a live Maps sweep or a call-in check of clinics' full menus) says otherwise.</t>
        </is>
      </c>
    </row>
    <row r="23"/>
    <row r="24">
      <c r="A24" t="inlineStr">
        <is>
          <t>32 confirmed medical spas were logged across 7 of the 10 towns searched. Three towns — Union</t>
        </is>
      </c>
    </row>
    <row r="25">
      <c r="A25" t="inlineStr">
        <is>
          <t>City, West New York, and Secaucus — returned no standalone med spa with a confirmed address of</t>
        </is>
      </c>
    </row>
    <row r="26">
      <c r="A26" t="inlineStr">
        <is>
          <t>its own; see 'UNSERVED TOWNS' below.</t>
        </is>
      </c>
    </row>
    <row r="27"/>
    <row r="28">
      <c r="A28" t="inlineStr">
        <is>
          <t>UNSERVED TOWNS (searched, no standalone result)</t>
        </is>
      </c>
    </row>
    <row r="29">
      <c r="A29" t="inlineStr">
        <is>
          <t>Union City and West New York: Ethos Aesthetics + Wellness (Hoboken) and Valley Aesthetic (North</t>
        </is>
      </c>
    </row>
    <row r="30">
      <c r="A30" t="inlineStr">
        <is>
          <t>Bergen) both explicitly market themselves as serving these two towns' residents from adjacent-</t>
        </is>
      </c>
    </row>
    <row r="31">
      <c r="A31" t="inlineStr">
        <is>
          <t>town locations, but neither operates a storefront inside Union City or West New York itself.</t>
        </is>
      </c>
    </row>
    <row r="32">
      <c r="A32" t="inlineStr">
        <is>
          <t>Secaucus: the one Secaucus-adjacent lead found, Better U Medical Spa, is actually headquartered</t>
        </is>
      </c>
    </row>
    <row r="33">
      <c r="A33" t="inlineStr">
        <is>
          <t>in Englewood — its supervising physician, Dr. Hetal Gor, holds active hospital privileges at</t>
        </is>
      </c>
    </row>
    <row r="34">
      <c r="A34" t="inlineStr">
        <is>
          <t>Hudson Regional Hospital in Secaucus, which is likely why early search results associated the</t>
        </is>
      </c>
    </row>
    <row r="35">
      <c r="A35" t="inlineStr">
        <is>
          <t>practice with Secaucus, but the med spa itself operates from the Englewood address logged in</t>
        </is>
      </c>
    </row>
    <row r="36">
      <c r="A36" t="inlineStr">
        <is>
          <t>'Clinics Overview,' row 26. Recommend a follow-up phone-book/business-permit-registry check for</t>
        </is>
      </c>
    </row>
    <row r="37">
      <c r="A37" t="inlineStr">
        <is>
          <t>all three towns before concluding they are genuinely unserved by this industry.</t>
        </is>
      </c>
    </row>
    <row r="38"/>
    <row r="39">
      <c r="A39" t="inlineStr">
        <is>
          <t>CLINICS WITH NO CONFIRMED TREATMENT MENU (0 procedures logged)</t>
        </is>
      </c>
    </row>
    <row r="40">
      <c r="A40" t="inlineStr">
        <is>
          <t>Attain Medspa (Hoboken), Spa Society (Weehawken), Uplifted RX Medical Aesthetics (Fort Lee</t>
        </is>
      </c>
    </row>
    <row r="41">
      <c r="A41" t="inlineStr">
        <is>
          <t>area), and Modern Aesthetics &amp; Wellness (Edgewater) were all confirmed as real, currently-</t>
        </is>
      </c>
    </row>
    <row r="42">
      <c r="A42" t="inlineStr">
        <is>
          <t>operating medical aesthetics businesses via search and/or directory listings, but no specific</t>
        </is>
      </c>
    </row>
    <row r="43">
      <c r="A43" t="inlineStr">
        <is>
          <t>treatment (Botox, filler, laser, etc.) could be confirmed for any of them from public listings</t>
        </is>
      </c>
    </row>
    <row r="44">
      <c r="A44" t="inlineStr">
        <is>
          <t>in this research pass. They are logged in 'Clinics Overview' for completeness and as outreach</t>
        </is>
      </c>
    </row>
    <row r="45">
      <c r="A45" t="inlineStr">
        <is>
          <t>candidates, but excluded from every category count in 'All Procedures' and the Dashboard so as</t>
        </is>
      </c>
    </row>
    <row r="46">
      <c r="A46" t="inlineStr">
        <is>
          <t>not to overstate confirmed treatment availability.</t>
        </is>
      </c>
    </row>
    <row r="47"/>
    <row r="48">
      <c r="A48" t="inlineStr">
        <is>
          <t>NOTE ON CLINIC NAMING</t>
        </is>
      </c>
    </row>
    <row r="49">
      <c r="A49" t="inlineStr">
        <is>
          <t>'Edgewater Med Spa' (row 13) is physically located in Weehawken, NJ, not Edgewater, NJ — the</t>
        </is>
      </c>
    </row>
    <row r="50">
      <c r="A50" t="inlineStr">
        <is>
          <t>business name does not reflect its actual municipality. Treated as a Weehawken clinic</t>
        </is>
      </c>
    </row>
    <row r="51">
      <c r="A51" t="inlineStr">
        <is>
          <t>throughout this workbook and the HTML report to avoid double-counting Edgewater.</t>
        </is>
      </c>
    </row>
    <row r="52"/>
    <row r="53">
      <c r="A53" t="inlineStr">
        <is>
          <t>MULTI-LOCATION CHAINS KEPT AS SEPARATE ROWS (distinct addresses)</t>
        </is>
      </c>
    </row>
    <row r="54">
      <c r="A54" t="inlineStr">
        <is>
          <t>Evolve Med Spa (Jersey City and Hoboken — 2 locations, same evolvemedspa.com brand, both</t>
        </is>
      </c>
    </row>
    <row r="55">
      <c r="A55" t="inlineStr">
        <is>
          <t>publish the same $11/unit Botox/Dysport rate), 4Ever Young (Hoboken and Edgewater — 2</t>
        </is>
      </c>
    </row>
    <row r="56">
      <c r="A56" t="inlineStr">
        <is>
          <t>locations, same 4everyoungantiaging.com brand), 1aesthetic (a single business serving both</t>
        </is>
      </c>
    </row>
    <row r="57">
      <c r="A57" t="inlineStr">
        <is>
          <t>Hoboken and Weehawken — kept as one row since no second distinct address was found).</t>
        </is>
      </c>
    </row>
    <row r="58"/>
    <row r="59">
      <c r="A59" t="inlineStr">
        <is>
          <t>DATA QUALITY / STRONGEST PRICING ANCHORS FOUND</t>
        </is>
      </c>
    </row>
    <row r="60">
      <c r="A60" t="inlineStr">
        <is>
          <t>fillir, Hoboken ($14/unit Botox/Dysport/Xeomin, confirmed via its own service pages), Evolve</t>
        </is>
      </c>
    </row>
    <row r="61">
      <c r="A61" t="inlineStr">
        <is>
          <t>Med Spa ($11/unit Botox/Dysport chain-wide, with membership tiers to $9/unit Xeomin, confirmed</t>
        </is>
      </c>
    </row>
    <row r="62">
      <c r="A62" t="inlineStr">
        <is>
          <t>via Groupon and its own pricing menu), The Hudson Med Spa, Englewood ($150 minimum Botox</t>
        </is>
      </c>
    </row>
    <row r="63">
      <c r="A63" t="inlineStr">
        <is>
          <t>session covering ~10 Botox/30 Dysport units, plus a $350/session — $1,300/6-session-package</t>
        </is>
      </c>
    </row>
    <row r="64">
      <c r="A64" t="inlineStr">
        <is>
          <t>laser hair removal bundle, both from its own service pages), and Marina Medispa, Edgewater</t>
        </is>
      </c>
    </row>
    <row r="65">
      <c r="A65" t="inlineStr">
        <is>
          <t>($500-$3,500 fractional laser resurfacing, priced by treatment area, from its own pricing page).</t>
        </is>
      </c>
    </row>
    <row r="66">
      <c r="A66" t="inlineStr">
        <is>
          <t>No boilerplate/aggregator pricing-contamination pattern (the generic '$12-$15/unit' or</t>
        </is>
      </c>
    </row>
    <row r="67">
      <c r="A67" t="inlineStr">
        <is>
          <t>'$200-$900/session' phrasing repeated verbatim across unrelated clinics in every other city of</t>
        </is>
      </c>
    </row>
    <row r="68">
      <c r="A68" t="inlineStr">
        <is>
          <t>this project) was observed in this metro — likely because far fewer clinics here publish any</t>
        </is>
      </c>
    </row>
    <row r="69">
      <c r="A69" t="inlineStr">
        <is>
          <t>pricing at all for the pattern to appear in.</t>
        </is>
      </c>
    </row>
    <row r="70"/>
    <row r="71">
      <c r="A71" t="inlineStr">
        <is>
          <t>Procedure/treatment line items logged across all confirmed clinics; category counts computed</t>
        </is>
      </c>
    </row>
    <row r="72">
      <c r="A72" t="inlineStr">
        <is>
          <t>live via Dashboard formulas.</t>
        </is>
      </c>
    </row>
    <row r="73"/>
    <row r="74">
      <c r="A74" t="inlineStr">
        <is>
          <t>NEXT STEPS</t>
        </is>
      </c>
    </row>
    <row r="75">
      <c r="A75" t="inlineStr">
        <is>
          <t>Dashboard tab built with live COUNTA/SUMPRODUCT/COUNTIFS formulas (same structure as every</t>
        </is>
      </c>
    </row>
    <row r="76">
      <c r="A76" t="inlineStr">
        <is>
          <t>prior city). Google Trends research used the New York DMA (US-NY-501) directly, since Hudson</t>
        </is>
      </c>
    </row>
    <row r="77">
      <c r="A77" t="inlineStr">
        <is>
          <t>and Bergen counties fall within the same DMA as Manhattan rather than their own New Jersey DMA</t>
        </is>
      </c>
    </row>
    <row r="78">
      <c r="A78" t="inlineStr">
        <is>
          <t>— confirmed live via trends.google.com, with the Botox figure (81) matching the Manhattan</t>
        </is>
      </c>
    </row>
    <row r="79">
      <c r="A79" t="inlineStr">
        <is>
          <t>report's own number exactly. HTML market report built and linked into the 9-city hub as the</t>
        </is>
      </c>
    </row>
    <row r="80">
      <c r="A80" t="inlineStr">
        <is>
          <t>10th metro. This is the 10th and (for now) final report in this multi-city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2026-08-29T14:32:49Z</dcterms:created>
  <dcterms:modified xmlns:dcterms="http://purl.org/dc/terms/" xmlns:xsi="http://www.w3.org/2001/XMLSchema-instance" xsi:type="dcterms:W3CDTF">2026-08-29T14:32:59Z</dcterms:modified>
</cp:coreProperties>
</file>