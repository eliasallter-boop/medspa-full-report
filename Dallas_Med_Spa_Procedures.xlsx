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s Overview" sheetId="1" state="visible" r:id="rId3"/>
    <sheet name="All Procedures" sheetId="2" state="visible" r:id="rId4"/>
    <sheet name="Dashboard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<sst xmlns="http://schemas.openxmlformats.org/spreadsheetml/2006/main" count="2598" uniqueCount="898">
  <si>
    <t xml:space="preserve">#</t>
  </si>
  <si>
    <t xml:space="preserve">Clinic Name</t>
  </si>
  <si>
    <t xml:space="preserve">Neighborhood</t>
  </si>
  <si>
    <t xml:space="preserve">Address</t>
  </si>
  <si>
    <t xml:space="preserve">Website</t>
  </si>
  <si>
    <t xml:space="preserve">Email</t>
  </si>
  <si>
    <t xml:space="preserve">Pricing on File?</t>
  </si>
  <si>
    <t xml:space="preserve"># Procedures Logged</t>
  </si>
  <si>
    <t xml:space="preserve">Notes</t>
  </si>
  <si>
    <t xml:space="preserve">Mara's Med Spa</t>
  </si>
  <si>
    <t xml:space="preserve">Uptown</t>
  </si>
  <si>
    <t xml:space="preserve">2222 McKinney Ave Ste 120, Dallas, TX 75201</t>
  </si>
  <si>
    <t xml:space="preserve">marasmedspa.com</t>
  </si>
  <si>
    <t xml:space="preserve">no email found (phone/booking only)</t>
  </si>
  <si>
    <t xml:space="preserve">Yes</t>
  </si>
  <si>
    <t xml:space="preserve">It's A Secret Med Spa - Uptown</t>
  </si>
  <si>
    <t xml:space="preserve">2935 Blackburn St Ste 100, Dallas, TX 75204</t>
  </si>
  <si>
    <t xml:space="preserve">secretmedspa.com</t>
  </si>
  <si>
    <t xml:space="preserve">Partial</t>
  </si>
  <si>
    <t xml:space="preserve">Elase Medical Spa - Dallas - West Village</t>
  </si>
  <si>
    <t xml:space="preserve">3839 McKinney Ave Ste 110, Dallas, TX 75204</t>
  </si>
  <si>
    <t xml:space="preserve">elase.com/locations/west-village</t>
  </si>
  <si>
    <t xml:space="preserve">Rejuvia Wellness and Medical Spa</t>
  </si>
  <si>
    <t xml:space="preserve">2815 Allen St #122, Dallas, TX 75204</t>
  </si>
  <si>
    <t xml:space="preserve">rejuviawellness.com</t>
  </si>
  <si>
    <t xml:space="preserve">Unicorn MedSpa</t>
  </si>
  <si>
    <t xml:space="preserve">2811 McKinney Ave Ste 22, Dallas, TX 75204</t>
  </si>
  <si>
    <t xml:space="preserve">unicornmedspa.com</t>
  </si>
  <si>
    <t xml:space="preserve">No</t>
  </si>
  <si>
    <t xml:space="preserve">GLO30 Uptown Dallas</t>
  </si>
  <si>
    <t xml:space="preserve">2626 Howell St Ste 170, Dallas, TX 75204</t>
  </si>
  <si>
    <t xml:space="preserve">glo30.com/dallas-uptown</t>
  </si>
  <si>
    <t xml:space="preserve">Revive Primary Care &amp; Med Spa - Highland Park</t>
  </si>
  <si>
    <t xml:space="preserve">Highland Park</t>
  </si>
  <si>
    <t xml:space="preserve">3330 Douglas Ave, Dallas, TX</t>
  </si>
  <si>
    <t xml:space="preserve">revivepcms.com/highland-park</t>
  </si>
  <si>
    <t xml:space="preserve">highlandpark@revivepcms.com</t>
  </si>
  <si>
    <t xml:space="preserve">AYA Medical Spa Dallas - University Park</t>
  </si>
  <si>
    <t xml:space="preserve">6825 Snider Plaza, Dallas, TX 75205</t>
  </si>
  <si>
    <t xml:space="preserve">ayaskin.com/locations/snider-plaza</t>
  </si>
  <si>
    <t xml:space="preserve">dallas@ayamedspa.com</t>
  </si>
  <si>
    <t xml:space="preserve">MANOR Aesthetics | Highland Park</t>
  </si>
  <si>
    <t xml:space="preserve">6915 Preston Rd, Dallas, TX</t>
  </si>
  <si>
    <t xml:space="preserve">thisismanor.com/locations/highland-park</t>
  </si>
  <si>
    <t xml:space="preserve">Highland Park Aesthetics</t>
  </si>
  <si>
    <t xml:space="preserve">5213 W Lovers Ln, Dallas, TX 75209</t>
  </si>
  <si>
    <t xml:space="preserve">highlandpark.clinic</t>
  </si>
  <si>
    <t xml:space="preserve">UPKEEP Med Spa - Highland Park</t>
  </si>
  <si>
    <t xml:space="preserve">5207 Bonita Ave, Dallas, TX</t>
  </si>
  <si>
    <t xml:space="preserve">upkeepmedspa.com</t>
  </si>
  <si>
    <t xml:space="preserve">Ember Medical Spa</t>
  </si>
  <si>
    <t xml:space="preserve">6607 Hillcrest Ave #200, Dallas, TX</t>
  </si>
  <si>
    <t xml:space="preserve">embermedspadallas.com</t>
  </si>
  <si>
    <t xml:space="preserve">info@embermedspadallas.com</t>
  </si>
  <si>
    <t xml:space="preserve">Body Lounge Park Cities</t>
  </si>
  <si>
    <t xml:space="preserve">6803 Hillcrest Ave, Dallas, TX 75205</t>
  </si>
  <si>
    <t xml:space="preserve">bodyloungeparkcities.com</t>
  </si>
  <si>
    <t xml:space="preserve">The Science of Beauty</t>
  </si>
  <si>
    <t xml:space="preserve">Deep Ellum</t>
  </si>
  <si>
    <t xml:space="preserve">4101 Bryan St #100, Dallas, TX 75204</t>
  </si>
  <si>
    <t xml:space="preserve">thescienceofbeauty.co</t>
  </si>
  <si>
    <t xml:space="preserve">Sanjiva Medical Spa</t>
  </si>
  <si>
    <t xml:space="preserve">5633 W Lovers Ln, Dallas, TX 75209</t>
  </si>
  <si>
    <t xml:space="preserve">sanjivamedspa.com</t>
  </si>
  <si>
    <t xml:space="preserve">Modern Medical Spa</t>
  </si>
  <si>
    <t xml:space="preserve">5422 Alpha Rd, Dallas, TX 75240</t>
  </si>
  <si>
    <t xml:space="preserve">modernmedicalspa.com</t>
  </si>
  <si>
    <t xml:space="preserve">Elite Med Spa of Texas</t>
  </si>
  <si>
    <t xml:space="preserve">3319 Oak Lawn Ave, Dallas, TX 75219</t>
  </si>
  <si>
    <t xml:space="preserve">elitemedspaoftexas.com</t>
  </si>
  <si>
    <t xml:space="preserve">D'Allure Medspa</t>
  </si>
  <si>
    <t xml:space="preserve">12655 N Central Expy #650, Dallas, TX</t>
  </si>
  <si>
    <t xml:space="preserve">dalluremedspa.com</t>
  </si>
  <si>
    <t xml:space="preserve">Calypso Aesthetic Lab</t>
  </si>
  <si>
    <t xml:space="preserve">1526 S Good Latimer Expy Suite 100, Dallas, TX 75226</t>
  </si>
  <si>
    <t xml:space="preserve">calypsoaestheticlab.com</t>
  </si>
  <si>
    <t xml:space="preserve">dermani MEDSPA Preston Hollow</t>
  </si>
  <si>
    <t xml:space="preserve">Preston Hollow</t>
  </si>
  <si>
    <t xml:space="preserve">11661 Preston Rd Suite 210, Dallas, TX 75230</t>
  </si>
  <si>
    <t xml:space="preserve">dermanimedspa.com/preston-hollow-dallas-tx</t>
  </si>
  <si>
    <t xml:space="preserve">Viva Day Spa + Med Spa | Dallas</t>
  </si>
  <si>
    <t xml:space="preserve">8300 Preston Rd Suite 250, Dallas, TX 75225</t>
  </si>
  <si>
    <t xml:space="preserve">vivadayspa.com/locations/dallas</t>
  </si>
  <si>
    <t xml:space="preserve">Wellskin Med Spa</t>
  </si>
  <si>
    <t xml:space="preserve">8201 Preston Rd Ste 540, Dallas, TX 75225</t>
  </si>
  <si>
    <t xml:space="preserve">wellskinmedspa.com</t>
  </si>
  <si>
    <t xml:space="preserve">SkinSpirit Preston Royal - Dallas</t>
  </si>
  <si>
    <t xml:space="preserve">5959 Royal Ln #530, Dallas, TX 75230</t>
  </si>
  <si>
    <t xml:space="preserve">skinspirit.com/locations/preston-royal</t>
  </si>
  <si>
    <t xml:space="preserve">Well Labs+ Medspa Dallas</t>
  </si>
  <si>
    <t xml:space="preserve">5009 W Lovers Ln, Dallas, TX</t>
  </si>
  <si>
    <t xml:space="preserve">dallas.wellabsplus.com</t>
  </si>
  <si>
    <t xml:space="preserve">the L.A.B. med spa</t>
  </si>
  <si>
    <t xml:space="preserve">Bishop Arts / Oak Cliff</t>
  </si>
  <si>
    <t xml:space="preserve">111 W Davis St Ste 160 Loft 7, Dallas, TX 75208</t>
  </si>
  <si>
    <t xml:space="preserve">thelabmedspa.com</t>
  </si>
  <si>
    <t xml:space="preserve">Bella MedSpa - Dallas MedSpa</t>
  </si>
  <si>
    <t xml:space="preserve">412 S Llewellyn Ave #150, Dallas, TX 75208</t>
  </si>
  <si>
    <t xml:space="preserve">bellamedspadfw.com</t>
  </si>
  <si>
    <t xml:space="preserve">Higher Level Skin &amp; Beauty</t>
  </si>
  <si>
    <t xml:space="preserve">218 W 10th St, Dallas, TX 75208</t>
  </si>
  <si>
    <t xml:space="preserve">higherlevelskinbeauty.com</t>
  </si>
  <si>
    <t xml:space="preserve">Timeless Beauty Med Spa</t>
  </si>
  <si>
    <t xml:space="preserve">111 W Davis St Suite 160 Loft 13, Dallas, TX 75208</t>
  </si>
  <si>
    <t xml:space="preserve">timelessbeautytx.com</t>
  </si>
  <si>
    <t xml:space="preserve">ĀVIA Medical Spa and Laser Clinic, Dallas</t>
  </si>
  <si>
    <t xml:space="preserve">Oak Cliff Tower, 400 S Zang Blvd #1222, Dallas, TX 75208</t>
  </si>
  <si>
    <t xml:space="preserve">aviamedicalspa.com</t>
  </si>
  <si>
    <t xml:space="preserve">avia@aviamedicalspa.com</t>
  </si>
  <si>
    <t xml:space="preserve">Maison Sorelle Medspa at Bishop Arts</t>
  </si>
  <si>
    <t xml:space="preserve">1006 N Bishop Ave, Dallas, TX 75208</t>
  </si>
  <si>
    <t xml:space="preserve">maisonsorellemedspa.com</t>
  </si>
  <si>
    <t xml:space="preserve">Laser Bar Medspa</t>
  </si>
  <si>
    <t xml:space="preserve">3110 Swiss Ave, Dallas, TX</t>
  </si>
  <si>
    <t xml:space="preserve">laserbarandaesthetics.com</t>
  </si>
  <si>
    <t xml:space="preserve">Ava Lynn Skin Shop</t>
  </si>
  <si>
    <t xml:space="preserve">400 S Zang Blvd Ste 818, Dallas, TX 75208</t>
  </si>
  <si>
    <t xml:space="preserve">avalynnskinshop.com</t>
  </si>
  <si>
    <t xml:space="preserve">Lakewood Medspa</t>
  </si>
  <si>
    <t xml:space="preserve">Lakewood</t>
  </si>
  <si>
    <t xml:space="preserve">8210 Walnut Hill Ln Ste 516, Dallas, TX 75231</t>
  </si>
  <si>
    <t xml:space="preserve">lakewoodmedspa.com</t>
  </si>
  <si>
    <t xml:space="preserve">Alchemy 43 Dallas-Lakewood</t>
  </si>
  <si>
    <t xml:space="preserve">6465 E Mockingbird Ln Ste 420, Dallas, TX 75214</t>
  </si>
  <si>
    <t xml:space="preserve">alchemy43.com/dallas-lakewood-hillside-village</t>
  </si>
  <si>
    <t xml:space="preserve">Lakewood Beauty Clinic</t>
  </si>
  <si>
    <t xml:space="preserve">6115 La Vista Dr Ste 203, Dallas, TX 75214</t>
  </si>
  <si>
    <t xml:space="preserve">lakewoodbeautyclinic.com</t>
  </si>
  <si>
    <t xml:space="preserve">Lakewood Aesthetics</t>
  </si>
  <si>
    <t xml:space="preserve">9440 Poppy Dr, Dallas, TX</t>
  </si>
  <si>
    <t xml:space="preserve">lakewoodaesthetics.com</t>
  </si>
  <si>
    <t xml:space="preserve">Total Med Solutions - Lemmon Ave</t>
  </si>
  <si>
    <t xml:space="preserve">5610 Lemmon Ave #D, Dallas, TX 75209</t>
  </si>
  <si>
    <t xml:space="preserve">totalmedsolutions.com/dallas-lemmon</t>
  </si>
  <si>
    <t xml:space="preserve">Skin Pharm</t>
  </si>
  <si>
    <t xml:space="preserve">Turtle Creek</t>
  </si>
  <si>
    <t xml:space="preserve">3131 Turtle Creek Blvd Ste 600, Dallas, TX</t>
  </si>
  <si>
    <t xml:space="preserve">skinpharm.com/pages/pricing-dallas</t>
  </si>
  <si>
    <t xml:space="preserve">Turtle Creek Medical Aesthetics</t>
  </si>
  <si>
    <t xml:space="preserve">Dallas, TX (address not confirmed via Maps card)</t>
  </si>
  <si>
    <t xml:space="preserve">no independent site confirmed</t>
  </si>
  <si>
    <t xml:space="preserve">no email found</t>
  </si>
  <si>
    <t xml:space="preserve">OVME</t>
  </si>
  <si>
    <t xml:space="preserve">3888 Oak Lawn Ave #108, Dallas, TX 75219</t>
  </si>
  <si>
    <t xml:space="preserve">ovme.com/pages/turtle-creek-dallas-tx</t>
  </si>
  <si>
    <t xml:space="preserve">ZO Skin Centre</t>
  </si>
  <si>
    <t xml:space="preserve">4252-A Oak Lawn Ave, Dallas, TX</t>
  </si>
  <si>
    <t xml:space="preserve">dallasskincentre.com</t>
  </si>
  <si>
    <t xml:space="preserve">Embracing Hands Esthetics &amp; Wellness Spa</t>
  </si>
  <si>
    <t xml:space="preserve">2911 Turtle Creek Blvd Ste 925, Dallas, TX 75219</t>
  </si>
  <si>
    <t xml:space="preserve">ehestheticswellness.com</t>
  </si>
  <si>
    <t xml:space="preserve">info@embracing-hands.com</t>
  </si>
  <si>
    <t xml:space="preserve">SkinMed Studio</t>
  </si>
  <si>
    <t xml:space="preserve">3500 Oak Lawn Ave #750, Dallas, TX</t>
  </si>
  <si>
    <t xml:space="preserve">skinmedstudio.com</t>
  </si>
  <si>
    <t xml:space="preserve">NovaBelle Med-Spa</t>
  </si>
  <si>
    <t xml:space="preserve">Addison</t>
  </si>
  <si>
    <t xml:space="preserve">4002 Belt Line Rd #110, Addison, TX 75001</t>
  </si>
  <si>
    <t xml:space="preserve">novabellespa.com</t>
  </si>
  <si>
    <t xml:space="preserve">Ivanity</t>
  </si>
  <si>
    <t xml:space="preserve">15404 Addison Rd Ste A2, Addison, TX 75001 (Maps sweep listed 4851 Keller Springs Rd Ste 220 - address discrepancy, not resolved)</t>
  </si>
  <si>
    <t xml:space="preserve">ivanity.us</t>
  </si>
  <si>
    <t xml:space="preserve">MANOR Aesthetics | Addison</t>
  </si>
  <si>
    <t xml:space="preserve">5290 Belt Line Rd Ste No. 124, Addison, TX</t>
  </si>
  <si>
    <t xml:space="preserve">thisismanor.com/locations/addison</t>
  </si>
  <si>
    <t xml:space="preserve">Star Rejuvenation &amp; Wellness Center</t>
  </si>
  <si>
    <t xml:space="preserve">15800 Spectrum Dr Ste 100, Addison, TX 75001</t>
  </si>
  <si>
    <t xml:space="preserve">starrejuvenation.com</t>
  </si>
  <si>
    <t xml:space="preserve">La Vie Est Belle Laser Spa &amp; Aesthetics</t>
  </si>
  <si>
    <t xml:space="preserve">4021 Belt Line Rd #212, Addison, TX 75001</t>
  </si>
  <si>
    <t xml:space="preserve">lavieestbellespa.com</t>
  </si>
  <si>
    <t xml:space="preserve">UPKEEP Med Spa - Addison</t>
  </si>
  <si>
    <t xml:space="preserve">5100 Belt Line Rd Ste 314, Addison, TX</t>
  </si>
  <si>
    <t xml:space="preserve">Rejuve Med Spa</t>
  </si>
  <si>
    <t xml:space="preserve">18220 Preston Rd Ste A, Dallas, TX</t>
  </si>
  <si>
    <t xml:space="preserve">rejuvemedspa.com</t>
  </si>
  <si>
    <t xml:space="preserve">New You Med Spa Addison</t>
  </si>
  <si>
    <t xml:space="preserve">4006 Belt Line Rd Suite 260, Addison, TX 75001</t>
  </si>
  <si>
    <t xml:space="preserve">no independent site confirmed (Fresha/Groupon listing)</t>
  </si>
  <si>
    <t xml:space="preserve">U Med Spa</t>
  </si>
  <si>
    <t xml:space="preserve">Plano</t>
  </si>
  <si>
    <t xml:space="preserve">5717 Legacy Dr Suite 170, Plano, TX</t>
  </si>
  <si>
    <t xml:space="preserve">umedspa.com</t>
  </si>
  <si>
    <t xml:space="preserve">contact@umedspa.com</t>
  </si>
  <si>
    <t xml:space="preserve">VIO Med Spa | Plano</t>
  </si>
  <si>
    <t xml:space="preserve">2412 Preston Rd Ste 160, Plano, TX 75093</t>
  </si>
  <si>
    <t xml:space="preserve">viomedspa.com/locations/plano</t>
  </si>
  <si>
    <t xml:space="preserve">It's A Secret Med Spa - Plano</t>
  </si>
  <si>
    <t xml:space="preserve">8232 Preston Rd, Plano, TX 75024</t>
  </si>
  <si>
    <t xml:space="preserve">secretmedspa.com/plano-tx</t>
  </si>
  <si>
    <t xml:space="preserve">Raven Med Spa</t>
  </si>
  <si>
    <t xml:space="preserve">5813 Preston Rd C-565, Plano, TX 75093</t>
  </si>
  <si>
    <t xml:space="preserve">ravenmedspa.com</t>
  </si>
  <si>
    <t xml:space="preserve">VIVA Medspa</t>
  </si>
  <si>
    <t xml:space="preserve">5880 Ashmill Dr Ste 250, Plano, TX 75024</t>
  </si>
  <si>
    <t xml:space="preserve">vivamedspa.com</t>
  </si>
  <si>
    <t xml:space="preserve">Radiant Refine Medspa</t>
  </si>
  <si>
    <t xml:space="preserve">3604 Preston Rd Suite 200, Plano, TX 75093</t>
  </si>
  <si>
    <t xml:space="preserve">radiantrefinespa.com</t>
  </si>
  <si>
    <t xml:space="preserve">MEDSPA 33</t>
  </si>
  <si>
    <t xml:space="preserve">525 Shiloh Rd Ste 2500, Plano, TX 75074</t>
  </si>
  <si>
    <t xml:space="preserve">medspa33.com</t>
  </si>
  <si>
    <t xml:space="preserve">Princess Med Spa</t>
  </si>
  <si>
    <t xml:space="preserve">1312 Village Creek Dr Ste 800, Plano, TX 75093</t>
  </si>
  <si>
    <t xml:space="preserve">princess-medspa.com</t>
  </si>
  <si>
    <t xml:space="preserve">Metamorph Med Spa</t>
  </si>
  <si>
    <t xml:space="preserve">960 Ohio Dr Ste 200, Plano, TX 75093</t>
  </si>
  <si>
    <t xml:space="preserve">metamorphmedspa.com</t>
  </si>
  <si>
    <t xml:space="preserve">Starwood Med Spa - Frisco</t>
  </si>
  <si>
    <t xml:space="preserve">Frisco</t>
  </si>
  <si>
    <t xml:space="preserve">6950 Lebanon Rd #105, Frisco, TX 75034</t>
  </si>
  <si>
    <t xml:space="preserve">starwoodmedspa.com</t>
  </si>
  <si>
    <t xml:space="preserve">Hush MedSpa</t>
  </si>
  <si>
    <t xml:space="preserve">7227 Main St #201, Frisco, TX (also seen listed at 4645 Avon Ln Ste 190B / 13225 Dallas Pkwy Ste 200 - address discrepancy, not resolved)</t>
  </si>
  <si>
    <t xml:space="preserve">hushmedspa.com</t>
  </si>
  <si>
    <t xml:space="preserve">Novuskin</t>
  </si>
  <si>
    <t xml:space="preserve">16100 State Hwy 121 Bldg B 220, Frisco, TX 75035</t>
  </si>
  <si>
    <t xml:space="preserve">novuskin.com/med-spa-frisco</t>
  </si>
  <si>
    <t xml:space="preserve">FINETUNE Med Spa - Frisco</t>
  </si>
  <si>
    <t xml:space="preserve">4350 Main St Suite 145, Frisco, TX 75034</t>
  </si>
  <si>
    <t xml:space="preserve">finetunemedspa.com</t>
  </si>
  <si>
    <t xml:space="preserve">Med Spa Studios</t>
  </si>
  <si>
    <t xml:space="preserve">255 Lebanon Rd Suite 220, Frisco, TX 75036</t>
  </si>
  <si>
    <t xml:space="preserve">medspastudios.com</t>
  </si>
  <si>
    <t xml:space="preserve">It's A Secret Med Spa - Frisco</t>
  </si>
  <si>
    <t xml:space="preserve">6947 Main St, Frisco, TX 75034</t>
  </si>
  <si>
    <t xml:space="preserve">secretmedspa.com/frisco-tx</t>
  </si>
  <si>
    <t xml:space="preserve">Geneva Med Spa</t>
  </si>
  <si>
    <t xml:space="preserve">3535 Victory Group Way #505, Frisco, TX 75034</t>
  </si>
  <si>
    <t xml:space="preserve">genevamedspa.com</t>
  </si>
  <si>
    <t xml:space="preserve">Modern Skin Med Spa</t>
  </si>
  <si>
    <t xml:space="preserve">6560 John Hickman Pkwy Ste 300, Frisco, TX 75034</t>
  </si>
  <si>
    <t xml:space="preserve">themodernskin.com</t>
  </si>
  <si>
    <t xml:space="preserve">Le Beau Visage Medical Spa</t>
  </si>
  <si>
    <t xml:space="preserve">3685 Preston Rd Suite 129, Frisco, TX 75034</t>
  </si>
  <si>
    <t xml:space="preserve">lebeauvisagemedicalspa.com</t>
  </si>
  <si>
    <t xml:space="preserve">The Beauty Clinic Med Spa</t>
  </si>
  <si>
    <t xml:space="preserve">Las Colinas / Irving</t>
  </si>
  <si>
    <t xml:space="preserve">580 Decker Dr #275, Irving, TX 75062</t>
  </si>
  <si>
    <t xml:space="preserve">thebeautyclinicmedspa.com</t>
  </si>
  <si>
    <t xml:space="preserve">Imaginique Med Spa - Las Colinas</t>
  </si>
  <si>
    <t xml:space="preserve">955 W John Carpenter Fwy #100-927, Irving, TX 75039</t>
  </si>
  <si>
    <t xml:space="preserve">imaginiquemedspa.com</t>
  </si>
  <si>
    <t xml:space="preserve">SN BEAUTY MEDICAL SPA</t>
  </si>
  <si>
    <t xml:space="preserve">9905 Cliffside Ct, Irving, TX 75063</t>
  </si>
  <si>
    <t xml:space="preserve">snbeautystudio.com</t>
  </si>
  <si>
    <t xml:space="preserve">Facial Mania Med Spa Irving</t>
  </si>
  <si>
    <t xml:space="preserve">2240 Market Pl Blvd Ste 160, Irving, TX 75063</t>
  </si>
  <si>
    <t xml:space="preserve">facialmaniamedspa.com/facial-mania-med-spa-irving-texas</t>
  </si>
  <si>
    <t xml:space="preserve">Skin Technology</t>
  </si>
  <si>
    <t xml:space="preserve">122 W John Carpenter Fwy Suite 125, Irving, TX 75039</t>
  </si>
  <si>
    <t xml:space="preserve">skintechnologyinc.com</t>
  </si>
  <si>
    <t xml:space="preserve">Body by YourClinic</t>
  </si>
  <si>
    <t xml:space="preserve">1141 Kinwest Pkwy Suite 100, Irving, TX</t>
  </si>
  <si>
    <t xml:space="preserve">bodybyyourclinic.com</t>
  </si>
  <si>
    <t xml:space="preserve">Premier Med Spa</t>
  </si>
  <si>
    <t xml:space="preserve">Richardson</t>
  </si>
  <si>
    <t xml:space="preserve">2001 N Collins Blvd #105, Richardson, TX 75080</t>
  </si>
  <si>
    <t xml:space="preserve">premiermedspatx.com</t>
  </si>
  <si>
    <t xml:space="preserve">VIO Med Spa | Richardson</t>
  </si>
  <si>
    <t xml:space="preserve">1417 E Renner Rd Ste 310, Richardson, TX 75082</t>
  </si>
  <si>
    <t xml:space="preserve">viomedspa.com/locations/richardson</t>
  </si>
  <si>
    <t xml:space="preserve">KM MedSpa at Kalós &amp; Muse</t>
  </si>
  <si>
    <t xml:space="preserve">101 S Coit Rd Ste 20, Richardson, TX</t>
  </si>
  <si>
    <t xml:space="preserve">kalosmuse.com</t>
  </si>
  <si>
    <t xml:space="preserve">Nova Med Spa</t>
  </si>
  <si>
    <t xml:space="preserve">1311 W Campbell Rd, Richardson, TX</t>
  </si>
  <si>
    <t xml:space="preserve">nova-medspa.com</t>
  </si>
  <si>
    <t xml:space="preserve">MNML Med Spa</t>
  </si>
  <si>
    <t xml:space="preserve">2360 Campbell Creek Blvd #530, Richardson, TX 75082</t>
  </si>
  <si>
    <t xml:space="preserve">mnmlmedspa.com</t>
  </si>
  <si>
    <t xml:space="preserve">Urbane Aesthetics &amp; Wellness</t>
  </si>
  <si>
    <t xml:space="preserve">700 E Campbell Rd #170, Richardson, TX</t>
  </si>
  <si>
    <t xml:space="preserve">urbaneaesthetiks.com</t>
  </si>
  <si>
    <t xml:space="preserve">Imaginique Med Spa - Richardson</t>
  </si>
  <si>
    <t xml:space="preserve">1821 N Greenville Ave #100 Ste 138, Richardson, TX</t>
  </si>
  <si>
    <t xml:space="preserve">Ultimate Image MedSpa - Richardson</t>
  </si>
  <si>
    <t xml:space="preserve">1090 W Campbell Rd Ste 200, Richardson, TX 75080</t>
  </si>
  <si>
    <t xml:space="preserve">ultimateimagemedspa.com</t>
  </si>
  <si>
    <t xml:space="preserve">Sculpt Haus Medical Spa</t>
  </si>
  <si>
    <t xml:space="preserve">Design District</t>
  </si>
  <si>
    <t xml:space="preserve">126 Glass St Ste 100, Dallas, TX 75207</t>
  </si>
  <si>
    <t xml:space="preserve">sculpt-haus.com</t>
  </si>
  <si>
    <t xml:space="preserve">D'Lux MedSpa</t>
  </si>
  <si>
    <t xml:space="preserve">1130 Dragon St #150, Dallas, TX 75207</t>
  </si>
  <si>
    <t xml:space="preserve">dluxmedspa.janeapp.com</t>
  </si>
  <si>
    <t xml:space="preserve">VIV Wellness</t>
  </si>
  <si>
    <t xml:space="preserve">2401 Victory Park Ln Ste 110, Dallas, TX 75219</t>
  </si>
  <si>
    <t xml:space="preserve">vivwellnessdallas.com</t>
  </si>
  <si>
    <t xml:space="preserve">Mysa Medical &amp; Wellness Spa</t>
  </si>
  <si>
    <t xml:space="preserve">2629 N Stemmons Fwy Ste 103, Dallas, TX 75207</t>
  </si>
  <si>
    <t xml:space="preserve">mysamedspa.com</t>
  </si>
  <si>
    <t xml:space="preserve">Ultimate Image MedSpa - Lake Highlands</t>
  </si>
  <si>
    <t xml:space="preserve">Lake Highlands</t>
  </si>
  <si>
    <t xml:space="preserve">8604 Greenville Ave, Dallas, TX 75243</t>
  </si>
  <si>
    <t xml:space="preserve">Total Med Solutions - Walnut Hill</t>
  </si>
  <si>
    <t xml:space="preserve">5445 La Sierra Dr #305, Dallas, TX 75231</t>
  </si>
  <si>
    <t xml:space="preserve">totalmedsolutions.com</t>
  </si>
  <si>
    <t xml:space="preserve">info@totalmedsolutions.com</t>
  </si>
  <si>
    <t xml:space="preserve">Lily Aesthetics &amp; Wellness</t>
  </si>
  <si>
    <t xml:space="preserve">14785 Preston Rd, Dallas, TX 75254</t>
  </si>
  <si>
    <t xml:space="preserve">lilymedspa.com</t>
  </si>
  <si>
    <t xml:space="preserve">VIO Med Spa - Casa Linda</t>
  </si>
  <si>
    <t xml:space="preserve">9440 Garland Rd, Dallas, TX 75218</t>
  </si>
  <si>
    <t xml:space="preserve">viomedspa.com</t>
  </si>
  <si>
    <t xml:space="preserve">MSkin Med Spa</t>
  </si>
  <si>
    <t xml:space="preserve">6510 Abrams Rd Ste 150, Dallas, TX 75231</t>
  </si>
  <si>
    <t xml:space="preserve">mskinmedspa.com</t>
  </si>
  <si>
    <t xml:space="preserve">VIO Med Spa - McKinney</t>
  </si>
  <si>
    <t xml:space="preserve">McKinney</t>
  </si>
  <si>
    <t xml:space="preserve">2110 Eldorado Pkwy Ste 106, McKinney, TX 75070</t>
  </si>
  <si>
    <t xml:space="preserve">SKIN Med Spa &amp; Laser - McKinney</t>
  </si>
  <si>
    <t xml:space="preserve">8951 Collin McKinney Pkwy Ste 704, McKinney, TX 75070</t>
  </si>
  <si>
    <t xml:space="preserve">skinmedspas.com</t>
  </si>
  <si>
    <t xml:space="preserve">Starwood Med Spa - McKinney</t>
  </si>
  <si>
    <t xml:space="preserve">4275 Highlands Dr, McKinney, TX 75070</t>
  </si>
  <si>
    <t xml:space="preserve">info@trumedspa.com</t>
  </si>
  <si>
    <t xml:space="preserve">L'AMOUR MEDSPA</t>
  </si>
  <si>
    <t xml:space="preserve">3721 S Stonebridge Dr Unit 403, McKinney, TX 75070</t>
  </si>
  <si>
    <t xml:space="preserve">lamourmedspa.net</t>
  </si>
  <si>
    <t xml:space="preserve">Venus Medical Aesthetics - McKinney</t>
  </si>
  <si>
    <t xml:space="preserve">4041 S Custer Rd Ste 2120, McKinney, TX 75070</t>
  </si>
  <si>
    <t xml:space="preserve">venusmedicalaesthetics.com</t>
  </si>
  <si>
    <t xml:space="preserve">Elite Derma Med Spa</t>
  </si>
  <si>
    <t xml:space="preserve">5850 Collin McKinney Pkwy #504, McKinney, TX 75070</t>
  </si>
  <si>
    <t xml:space="preserve">elitederma.com</t>
  </si>
  <si>
    <t xml:space="preserve">Glow Medspa - McKinney</t>
  </si>
  <si>
    <t xml:space="preserve">8751 Collin McKinney Pkwy, McKinney, TX 75070</t>
  </si>
  <si>
    <t xml:space="preserve">glowmedspa.com</t>
  </si>
  <si>
    <t xml:space="preserve">Element Medical Aesthetics</t>
  </si>
  <si>
    <t xml:space="preserve">Image Salon Suites, McKinney, TX 75070</t>
  </si>
  <si>
    <t xml:space="preserve">elementmedicalaesthetics.com</t>
  </si>
  <si>
    <t xml:space="preserve">katie@elementmedicalaesthetics.com</t>
  </si>
  <si>
    <t xml:space="preserve">SkinSpaMED</t>
  </si>
  <si>
    <t xml:space="preserve">5330 Alpha Rd Ste 100, Dallas, TX 75240</t>
  </si>
  <si>
    <t xml:space="preserve">skinspamed.com</t>
  </si>
  <si>
    <t xml:space="preserve">Procedure/Treatment</t>
  </si>
  <si>
    <t xml:space="preserve">Price</t>
  </si>
  <si>
    <t xml:space="preserve">Duration</t>
  </si>
  <si>
    <t xml:space="preserve">Category</t>
  </si>
  <si>
    <t xml:space="preserve">HydraFacial</t>
  </si>
  <si>
    <t xml:space="preserve">from $249 ($199 new client)</t>
  </si>
  <si>
    <t xml:space="preserve">Prodigy Peel</t>
  </si>
  <si>
    <t xml:space="preserve">from $179</t>
  </si>
  <si>
    <t xml:space="preserve">Chemical Peels</t>
  </si>
  <si>
    <t xml:space="preserve">HeatWave</t>
  </si>
  <si>
    <t xml:space="preserve">from $299</t>
  </si>
  <si>
    <t xml:space="preserve">CoolSculpting / Laser Hair Removal (promo)</t>
  </si>
  <si>
    <t xml:space="preserve">up to $2,500 off</t>
  </si>
  <si>
    <t xml:space="preserve">Laser Hair Removal; Body Contouring / CoolSculpting</t>
  </si>
  <si>
    <t xml:space="preserve">IPL Photofacial (promo)</t>
  </si>
  <si>
    <t xml:space="preserve">up to 47% off</t>
  </si>
  <si>
    <t xml:space="preserve">IPL / Photofacial</t>
  </si>
  <si>
    <t xml:space="preserve">Botox</t>
  </si>
  <si>
    <t xml:space="preserve">$12-$15/unit (repeated generic-range phrasing, treat as directional)</t>
  </si>
  <si>
    <t xml:space="preserve">Botox / Neuromodulators</t>
  </si>
  <si>
    <t xml:space="preserve">Financing available (Afterpay/CareCredit/Cherry)</t>
  </si>
  <si>
    <t xml:space="preserve">not a treatment price</t>
  </si>
  <si>
    <t xml:space="preserve">New Client Offer (Botox/Dysport/LHR/facials)</t>
  </si>
  <si>
    <t xml:space="preserve">$100 off first treatment</t>
  </si>
  <si>
    <t xml:space="preserve">Injectables (general)</t>
  </si>
  <si>
    <t xml:space="preserve">not published</t>
  </si>
  <si>
    <t xml:space="preserve">Laser Hair Removal</t>
  </si>
  <si>
    <t xml:space="preserve">Peptide Therapy</t>
  </si>
  <si>
    <t xml:space="preserve">Lip Filler (new client)</t>
  </si>
  <si>
    <t xml:space="preserve">$525</t>
  </si>
  <si>
    <t xml:space="preserve">Dermal / Lip Fillers</t>
  </si>
  <si>
    <t xml:space="preserve">Upper Face Tox (new client, full area)</t>
  </si>
  <si>
    <t xml:space="preserve">$500</t>
  </si>
  <si>
    <t xml:space="preserve">Myers Cocktail IV</t>
  </si>
  <si>
    <t xml:space="preserve">$165</t>
  </si>
  <si>
    <t xml:space="preserve">NAD+ 125mg IV</t>
  </si>
  <si>
    <t xml:space="preserve">B12 Shot</t>
  </si>
  <si>
    <t xml:space="preserve">$15</t>
  </si>
  <si>
    <t xml:space="preserve">IV Therapy</t>
  </si>
  <si>
    <t xml:space="preserve">Microneedling</t>
  </si>
  <si>
    <t xml:space="preserve">$250</t>
  </si>
  <si>
    <t xml:space="preserve">Hyperbaric Oxygen Therapy (60 min)</t>
  </si>
  <si>
    <t xml:space="preserve">$100</t>
  </si>
  <si>
    <t xml:space="preserve">Petite Facial (30 min)</t>
  </si>
  <si>
    <t xml:space="preserve">$85 non-member / $70 member</t>
  </si>
  <si>
    <t xml:space="preserve">Vajacial (45 min)</t>
  </si>
  <si>
    <t xml:space="preserve">$85</t>
  </si>
  <si>
    <t xml:space="preserve">Botox (general site estimate)</t>
  </si>
  <si>
    <t xml:space="preserve">Fillers (general site estimate)</t>
  </si>
  <si>
    <t xml:space="preserve">$600-$1,200/syringe (repeated generic-range phrasing, treat as directional)</t>
  </si>
  <si>
    <t xml:space="preserve">Facials</t>
  </si>
  <si>
    <t xml:space="preserve">Injections</t>
  </si>
  <si>
    <t xml:space="preserve">Skincare Treatments</t>
  </si>
  <si>
    <t xml:space="preserve">Body Sculpting</t>
  </si>
  <si>
    <t xml:space="preserve">Body Contouring / CoolSculpting</t>
  </si>
  <si>
    <t xml:space="preserve">AI-Custom Facial (member)</t>
  </si>
  <si>
    <t xml:space="preserve">$99</t>
  </si>
  <si>
    <t xml:space="preserve">AI-Custom Facial (non-member)</t>
  </si>
  <si>
    <t xml:space="preserve">$199</t>
  </si>
  <si>
    <t xml:space="preserve">Fillers</t>
  </si>
  <si>
    <t xml:space="preserve">Botox/Dysport/Daxxify</t>
  </si>
  <si>
    <t xml:space="preserve">Dermal Fillers</t>
  </si>
  <si>
    <t xml:space="preserve">Microneedling with Growth Factors</t>
  </si>
  <si>
    <t xml:space="preserve">BBL / Halo Laser</t>
  </si>
  <si>
    <t xml:space="preserve">DiamondGlow Facial</t>
  </si>
  <si>
    <t xml:space="preserve">New Client Offer (any treatment)</t>
  </si>
  <si>
    <t xml:space="preserve">20% off first treatment</t>
  </si>
  <si>
    <t xml:space="preserve">Botox / Fillers</t>
  </si>
  <si>
    <t xml:space="preserve">Botox / Neuromodulators; Dermal / Lip Fillers</t>
  </si>
  <si>
    <t xml:space="preserve">CoolSculpting / Emsculpt NEO</t>
  </si>
  <si>
    <t xml:space="preserve">Hormone Optimization</t>
  </si>
  <si>
    <t xml:space="preserve">Hormone Therapy</t>
  </si>
  <si>
    <t xml:space="preserve">Postpartum Skin Rejuvenation</t>
  </si>
  <si>
    <t xml:space="preserve">Body Contouring</t>
  </si>
  <si>
    <t xml:space="preserve">Ember Reserve Membership</t>
  </si>
  <si>
    <t xml:space="preserve">$149/mo (banked service credit)</t>
  </si>
  <si>
    <t xml:space="preserve">Neurotoxins</t>
  </si>
  <si>
    <t xml:space="preserve">Fillers / Biostimulators</t>
  </si>
  <si>
    <t xml:space="preserve">Dermal / Lip Fillers; Sculptra / Biostimulators</t>
  </si>
  <si>
    <t xml:space="preserve">Custom Facials</t>
  </si>
  <si>
    <t xml:space="preserve">Lasers / Light Therapy</t>
  </si>
  <si>
    <t xml:space="preserve">Kybella</t>
  </si>
  <si>
    <t xml:space="preserve">Hormone Replacement Therapy</t>
  </si>
  <si>
    <t xml:space="preserve">Platinum HydraFacial (buy 2 get 1 free)</t>
  </si>
  <si>
    <t xml:space="preserve">promo</t>
  </si>
  <si>
    <t xml:space="preserve">Deluxe HydraFacial Membership</t>
  </si>
  <si>
    <t xml:space="preserve">$249/mo</t>
  </si>
  <si>
    <t xml:space="preserve">Laser Hair Removal (single session)</t>
  </si>
  <si>
    <t xml:space="preserve">from $125</t>
  </si>
  <si>
    <t xml:space="preserve">from $225</t>
  </si>
  <si>
    <t xml:space="preserve">Juvederm / Lip Fillers</t>
  </si>
  <si>
    <t xml:space="preserve">Halo Laser</t>
  </si>
  <si>
    <t xml:space="preserve">BBL Hero Photofacial</t>
  </si>
  <si>
    <t xml:space="preserve">Microneedling (SkinPen)</t>
  </si>
  <si>
    <t xml:space="preserve">PRP Facial / PRP Hair Restoration</t>
  </si>
  <si>
    <t xml:space="preserve">PRP / PRF</t>
  </si>
  <si>
    <t xml:space="preserve">Emsculpt Neo</t>
  </si>
  <si>
    <t xml:space="preserve">PDO Threads</t>
  </si>
  <si>
    <t xml:space="preserve">Semaglutide Weight Loss</t>
  </si>
  <si>
    <t xml:space="preserve">Medical Weight Loss / GLP-1</t>
  </si>
  <si>
    <t xml:space="preserve">PRP Therapy</t>
  </si>
  <si>
    <t xml:space="preserve">Botox &amp; Neurotoxins (industry range, aggregator estimate)</t>
  </si>
  <si>
    <t xml:space="preserve">$200-$900/session</t>
  </si>
  <si>
    <t xml:space="preserve">Dermal Fillers (industry range, aggregator estimate)</t>
  </si>
  <si>
    <t xml:space="preserve">$600-$2,000/syringe</t>
  </si>
  <si>
    <t xml:space="preserve">Chemical Peels (industry range, aggregator estimate)</t>
  </si>
  <si>
    <t xml:space="preserve">$100-$800/treatment</t>
  </si>
  <si>
    <t xml:space="preserve">Microneedling (industry range, aggregator estimate)</t>
  </si>
  <si>
    <t xml:space="preserve">$200-$700/session</t>
  </si>
  <si>
    <t xml:space="preserve">Collagen Stimulators</t>
  </si>
  <si>
    <t xml:space="preserve">Dermaplaning</t>
  </si>
  <si>
    <t xml:space="preserve">Brow Lamination/Tint</t>
  </si>
  <si>
    <t xml:space="preserve">Lash Lift/Tint</t>
  </si>
  <si>
    <t xml:space="preserve">Laser Hair Removal (pay-per-visit)</t>
  </si>
  <si>
    <t xml:space="preserve">$100-$400/visit</t>
  </si>
  <si>
    <t xml:space="preserve">Laser Hair Removal Membership</t>
  </si>
  <si>
    <t xml:space="preserve">$50-$200/mo</t>
  </si>
  <si>
    <t xml:space="preserve">MAX Facial (regular)</t>
  </si>
  <si>
    <t xml:space="preserve">$150</t>
  </si>
  <si>
    <t xml:space="preserve">MAX Facial (Skin Rejuvenation Member)</t>
  </si>
  <si>
    <t xml:space="preserve">Custom Designer Facial (60 min)</t>
  </si>
  <si>
    <t xml:space="preserve">$155</t>
  </si>
  <si>
    <t xml:space="preserve">Viva Vital Facial (90 min)</t>
  </si>
  <si>
    <t xml:space="preserve">$235</t>
  </si>
  <si>
    <t xml:space="preserve">Facials (range)</t>
  </si>
  <si>
    <t xml:space="preserve">$100-$235</t>
  </si>
  <si>
    <t xml:space="preserve">Swedish/Deep Tissue Massage (75-90 min)</t>
  </si>
  <si>
    <t xml:space="preserve">$195-$225</t>
  </si>
  <si>
    <t xml:space="preserve">First-Time Guest Offer</t>
  </si>
  <si>
    <t xml:space="preserve">$20 off massage/facial</t>
  </si>
  <si>
    <t xml:space="preserve">Injectables</t>
  </si>
  <si>
    <t xml:space="preserve">Laser Skin Rejuvenation</t>
  </si>
  <si>
    <t xml:space="preserve">CoolSculpting</t>
  </si>
  <si>
    <t xml:space="preserve">Juvederm</t>
  </si>
  <si>
    <t xml:space="preserve">Ultherapy</t>
  </si>
  <si>
    <t xml:space="preserve">Laser Skin Resurfacing</t>
  </si>
  <si>
    <t xml:space="preserve">VIP Membership (12-mo contract)</t>
  </si>
  <si>
    <t xml:space="preserve">$99/mo</t>
  </si>
  <si>
    <t xml:space="preserve">Sculptra / Ariessence (promo)</t>
  </si>
  <si>
    <t xml:space="preserve">$100 off</t>
  </si>
  <si>
    <t xml:space="preserve">Sculptra / Biostimulators</t>
  </si>
  <si>
    <t xml:space="preserve">Glo2 Facial / Skinbetter Mystro (promo)</t>
  </si>
  <si>
    <t xml:space="preserve">$50 off</t>
  </si>
  <si>
    <t xml:space="preserve">Restylane</t>
  </si>
  <si>
    <t xml:space="preserve">Price Match Policy</t>
  </si>
  <si>
    <t xml:space="preserve">matches any published Dallas-area price</t>
  </si>
  <si>
    <t xml:space="preserve">Facial Treatments</t>
  </si>
  <si>
    <t xml:space="preserve">Facials (ZO medical-grade)</t>
  </si>
  <si>
    <t xml:space="preserve">Microdermabrasion</t>
  </si>
  <si>
    <t xml:space="preserve">Fat Reduction</t>
  </si>
  <si>
    <t xml:space="preserve">MOXI Laser</t>
  </si>
  <si>
    <t xml:space="preserve">BBL HEROic</t>
  </si>
  <si>
    <t xml:space="preserve">Botox / Dysport / Jeuveau</t>
  </si>
  <si>
    <t xml:space="preserve">Post-Op Lymphatic Drainage Massage</t>
  </si>
  <si>
    <t xml:space="preserve">PRF / PRP</t>
  </si>
  <si>
    <t xml:space="preserve">EZ Gel</t>
  </si>
  <si>
    <t xml:space="preserve">Peptides / Vitamins</t>
  </si>
  <si>
    <t xml:space="preserve">Neurotoxin (new client, 1 area)</t>
  </si>
  <si>
    <t xml:space="preserve">$260</t>
  </si>
  <si>
    <t xml:space="preserve">Neurotoxin (2 areas)</t>
  </si>
  <si>
    <t xml:space="preserve">$520</t>
  </si>
  <si>
    <t xml:space="preserve">Lip Flip &amp; Gummy Smile</t>
  </si>
  <si>
    <t xml:space="preserve">$104</t>
  </si>
  <si>
    <t xml:space="preserve">Masseter Tox (jawline slimming/TMJ)</t>
  </si>
  <si>
    <t xml:space="preserve">$624</t>
  </si>
  <si>
    <t xml:space="preserve">Semaglutide/Tirzepatide Weight Loss Shots</t>
  </si>
  <si>
    <t xml:space="preserve">Face Fillers</t>
  </si>
  <si>
    <t xml:space="preserve">Chemical Peels / Microdermabrasion</t>
  </si>
  <si>
    <t xml:space="preserve">Non-Surgical Aesthetic Treatments (general)</t>
  </si>
  <si>
    <t xml:space="preserve">RF Microneedling</t>
  </si>
  <si>
    <t xml:space="preserve">HIFU</t>
  </si>
  <si>
    <t xml:space="preserve">Fractional CO2 Laser</t>
  </si>
  <si>
    <t xml:space="preserve">Botox / Dermal Fillers</t>
  </si>
  <si>
    <t xml:space="preserve">Medical Weight Loss</t>
  </si>
  <si>
    <t xml:space="preserve">PRP</t>
  </si>
  <si>
    <t xml:space="preserve">Membership</t>
  </si>
  <si>
    <t xml:space="preserve">$99/mo ($99 account credit + perks)</t>
  </si>
  <si>
    <t xml:space="preserve">New Client Offer (all services)</t>
  </si>
  <si>
    <t xml:space="preserve">30% off</t>
  </si>
  <si>
    <t xml:space="preserve">Botox / Filler</t>
  </si>
  <si>
    <t xml:space="preserve">Clear + Brilliant Laser</t>
  </si>
  <si>
    <t xml:space="preserve">Morpheus8 / Forma / Lumecca / DiolazeXL</t>
  </si>
  <si>
    <t xml:space="preserve">Skin Tightening (Morpheus8/RF)</t>
  </si>
  <si>
    <t xml:space="preserve">Skinny Shots</t>
  </si>
  <si>
    <t xml:space="preserve">Lip Augmentation</t>
  </si>
  <si>
    <t xml:space="preserve">Sculptra</t>
  </si>
  <si>
    <t xml:space="preserve">PRP Facial / PRP Hair Loss</t>
  </si>
  <si>
    <t xml:space="preserve">Semaglutide/Cyanocobalamin Weight Loss (3-month program)</t>
  </si>
  <si>
    <t xml:space="preserve">$599 (reg $999)</t>
  </si>
  <si>
    <t xml:space="preserve">from $100</t>
  </si>
  <si>
    <t xml:space="preserve">SkinPen Microneedling</t>
  </si>
  <si>
    <t xml:space="preserve">PRP Hair Growth</t>
  </si>
  <si>
    <t xml:space="preserve">Consultation (first, free)</t>
  </si>
  <si>
    <t xml:space="preserve">$150 value, free</t>
  </si>
  <si>
    <t xml:space="preserve">Follow-up Consultation (no same-day treatment)</t>
  </si>
  <si>
    <t xml:space="preserve">Juvederm / Restylane / Sculptra / Skinvive</t>
  </si>
  <si>
    <t xml:space="preserve">Aesthetic Treatments (general)</t>
  </si>
  <si>
    <t xml:space="preserve">Membership - Access</t>
  </si>
  <si>
    <t xml:space="preserve">$50/mo</t>
  </si>
  <si>
    <t xml:space="preserve">Membership - Elite</t>
  </si>
  <si>
    <t xml:space="preserve">Botox (member pricing)</t>
  </si>
  <si>
    <t xml:space="preserve">$9/unit</t>
  </si>
  <si>
    <t xml:space="preserve">Dysport / Dermal Fillers</t>
  </si>
  <si>
    <t xml:space="preserve">Facial Lasers</t>
  </si>
  <si>
    <t xml:space="preserve">Anti-Aging Facials</t>
  </si>
  <si>
    <t xml:space="preserve">Botox / Injectables</t>
  </si>
  <si>
    <t xml:space="preserve">Laser Hair Reduction</t>
  </si>
  <si>
    <t xml:space="preserve">Noninvasive Aesthetic Procedures (general)</t>
  </si>
  <si>
    <t xml:space="preserve">Laser Treatments</t>
  </si>
  <si>
    <t xml:space="preserve">Advanced Facial Harmonization</t>
  </si>
  <si>
    <t xml:space="preserve">Weight Loss</t>
  </si>
  <si>
    <t xml:space="preserve">Body Treatments / Skincare / Injectables</t>
  </si>
  <si>
    <t xml:space="preserve">starts at $13/unit</t>
  </si>
  <si>
    <t xml:space="preserve">Dysport</t>
  </si>
  <si>
    <t xml:space="preserve">starts at $5/unit</t>
  </si>
  <si>
    <t xml:space="preserve">Botox Bank Program (10/20/30 units monthly)</t>
  </si>
  <si>
    <t xml:space="preserve">discounted rate</t>
  </si>
  <si>
    <t xml:space="preserve">Semaglutide</t>
  </si>
  <si>
    <t xml:space="preserve">Basic Facial</t>
  </si>
  <si>
    <t xml:space="preserve">$49</t>
  </si>
  <si>
    <t xml:space="preserve">TCA Chemical Rejuvenating Peel</t>
  </si>
  <si>
    <t xml:space="preserve">Dermaplaning (promo)</t>
  </si>
  <si>
    <t xml:space="preserve">$45 (reg $75)</t>
  </si>
  <si>
    <t xml:space="preserve">Detox Facial (promo)</t>
  </si>
  <si>
    <t xml:space="preserve">$55 (reg $69)</t>
  </si>
  <si>
    <t xml:space="preserve">Microdermabrasion (promo)</t>
  </si>
  <si>
    <t xml:space="preserve">$65 (reg $150)</t>
  </si>
  <si>
    <t xml:space="preserve">Chemical Peel (promo)</t>
  </si>
  <si>
    <t xml:space="preserve">$75 (reg $165)</t>
  </si>
  <si>
    <t xml:space="preserve">Microneedling (promo)</t>
  </si>
  <si>
    <t xml:space="preserve">$85 (reg $199)</t>
  </si>
  <si>
    <t xml:space="preserve">$95 (reg $250)</t>
  </si>
  <si>
    <t xml:space="preserve">Microneedling with PRP (promo)</t>
  </si>
  <si>
    <t xml:space="preserve">$175 (reg $299)</t>
  </si>
  <si>
    <t xml:space="preserve">Microneedling; PRP / PRF</t>
  </si>
  <si>
    <t xml:space="preserve">IPixel Skin Resurfacing Laser (promo)</t>
  </si>
  <si>
    <t xml:space="preserve">$295 (reg $599)</t>
  </si>
  <si>
    <t xml:space="preserve">$8.95/unit (reg $10.50/unit)</t>
  </si>
  <si>
    <t xml:space="preserve">Botox (promo)</t>
  </si>
  <si>
    <t xml:space="preserve">20% off + additional 10% off first-time</t>
  </si>
  <si>
    <t xml:space="preserve">PRP Hair Restoration</t>
  </si>
  <si>
    <t xml:space="preserve">Botox/Dysport Payment Plan</t>
  </si>
  <si>
    <t xml:space="preserve">$139/mo deposit + 15% off every visit</t>
  </si>
  <si>
    <t xml:space="preserve">Dermal Fillers / Lip Fillers</t>
  </si>
  <si>
    <t xml:space="preserve">Sculptra / Radiesse / PRF EZ Gel</t>
  </si>
  <si>
    <t xml:space="preserve">Dermal / Lip Fillers; Sculptra / Biostimulators; PRP / PRF</t>
  </si>
  <si>
    <t xml:space="preserve">BBL Photofacial / Moxi / CO2 Laser</t>
  </si>
  <si>
    <t xml:space="preserve">Laser and Light Therapy</t>
  </si>
  <si>
    <t xml:space="preserve">Injectables / Wrinkle Relaxers</t>
  </si>
  <si>
    <t xml:space="preserve">Dermal Fillers / Kybella / Sculptra</t>
  </si>
  <si>
    <t xml:space="preserve">Dermal / Lip Fillers; Sculptra / Biostimulators; Kybella</t>
  </si>
  <si>
    <t xml:space="preserve">PRF Hair Restoration / PDO Threads</t>
  </si>
  <si>
    <t xml:space="preserve">IV Therapy / Wellness Shots</t>
  </si>
  <si>
    <t xml:space="preserve">Laser Treatments / Laser Hair Removal</t>
  </si>
  <si>
    <t xml:space="preserve">HydraFacial / Microneedling</t>
  </si>
  <si>
    <t xml:space="preserve">HydraFacial; Microneedling</t>
  </si>
  <si>
    <t xml:space="preserve">Chemical Peel / Microneedling / Dermaplaning</t>
  </si>
  <si>
    <t xml:space="preserve">Chemical Peels; Microneedling</t>
  </si>
  <si>
    <t xml:space="preserve">Weight Loss Therapy / Hormone Replacement Therapy</t>
  </si>
  <si>
    <t xml:space="preserve">Medical Weight Loss / GLP-1; Hormone Therapy</t>
  </si>
  <si>
    <t xml:space="preserve">Hair Restoration / IV Hydration</t>
  </si>
  <si>
    <t xml:space="preserve">CO2 Laser</t>
  </si>
  <si>
    <t xml:space="preserve">Emsculpt</t>
  </si>
  <si>
    <t xml:space="preserve">Groupon Package Deal (starting)</t>
  </si>
  <si>
    <t xml:space="preserve">from $120.69</t>
  </si>
  <si>
    <t xml:space="preserve">Injectables / Collagen-Boosting Treatments</t>
  </si>
  <si>
    <t xml:space="preserve">Microneedling / PRP</t>
  </si>
  <si>
    <t xml:space="preserve">IV Infusions</t>
  </si>
  <si>
    <t xml:space="preserve">Facial Balancing</t>
  </si>
  <si>
    <t xml:space="preserve">Microneedling / Chemical Peels</t>
  </si>
  <si>
    <t xml:space="preserve">Groupon Deals (range)</t>
  </si>
  <si>
    <t xml:space="preserve">$35-$185 with promo codes</t>
  </si>
  <si>
    <t xml:space="preserve">Body Contouring / Ultrasonic Cavitation</t>
  </si>
  <si>
    <t xml:space="preserve">Facials / Microdermabrasion / Microneedling</t>
  </si>
  <si>
    <t xml:space="preserve">PEMF Therapy</t>
  </si>
  <si>
    <t xml:space="preserve">Lip Flip (Groupon, up to 48% off)</t>
  </si>
  <si>
    <t xml:space="preserve">from $52.20</t>
  </si>
  <si>
    <t xml:space="preserve">Lip Filler (Groupon)</t>
  </si>
  <si>
    <t xml:space="preserve">from $283.50</t>
  </si>
  <si>
    <t xml:space="preserve">Service (Groupon)</t>
  </si>
  <si>
    <t xml:space="preserve">from $45</t>
  </si>
  <si>
    <t xml:space="preserve">from $184</t>
  </si>
  <si>
    <t xml:space="preserve">from $189</t>
  </si>
  <si>
    <t xml:space="preserve">Microdermabrasion (Groupon)</t>
  </si>
  <si>
    <t xml:space="preserve">from $46</t>
  </si>
  <si>
    <t xml:space="preserve">Dermaplaning / HydraFacial / Venus Viva</t>
  </si>
  <si>
    <t xml:space="preserve">Laser Hair Removal / CoolSculpting</t>
  </si>
  <si>
    <t xml:space="preserve">Dysport / Botox</t>
  </si>
  <si>
    <t xml:space="preserve">Filler / Sculptra / PDO Threads</t>
  </si>
  <si>
    <t xml:space="preserve">Lasers / HydraFacial</t>
  </si>
  <si>
    <t xml:space="preserve">Membership - Silver</t>
  </si>
  <si>
    <t xml:space="preserve">$149/mo</t>
  </si>
  <si>
    <t xml:space="preserve">Membership - Gold</t>
  </si>
  <si>
    <t xml:space="preserve">$279/mo</t>
  </si>
  <si>
    <t xml:space="preserve">Membership - Platinum</t>
  </si>
  <si>
    <t xml:space="preserve">$399/mo</t>
  </si>
  <si>
    <t xml:space="preserve">Botox (single treatment)</t>
  </si>
  <si>
    <t xml:space="preserve">$550-$800</t>
  </si>
  <si>
    <t xml:space="preserve">Botox/Dysport</t>
  </si>
  <si>
    <t xml:space="preserve">Sculptra Filler</t>
  </si>
  <si>
    <t xml:space="preserve">Thread Lifts</t>
  </si>
  <si>
    <t xml:space="preserve">Membership Program (Beauty Bank)</t>
  </si>
  <si>
    <t xml:space="preserve">not published (6-mo min contract)</t>
  </si>
  <si>
    <t xml:space="preserve">$69-$136 with discount codes</t>
  </si>
  <si>
    <t xml:space="preserve">Botox / Dermal Fillers / Lip Fillers</t>
  </si>
  <si>
    <t xml:space="preserve">Hyperbaric Oxygen Therapy</t>
  </si>
  <si>
    <t xml:space="preserve">BBL Photofacial / Moxi</t>
  </si>
  <si>
    <t xml:space="preserve">Laser Resurfacing / Hair Removal</t>
  </si>
  <si>
    <t xml:space="preserve">Laser Hair Removal; IPL / Photofacial</t>
  </si>
  <si>
    <t xml:space="preserve">Chemical Peels / Facials</t>
  </si>
  <si>
    <t xml:space="preserve">Non-Surgical Rhinoplasty</t>
  </si>
  <si>
    <t xml:space="preserve">$8.99/unit</t>
  </si>
  <si>
    <t xml:space="preserve">Permanent Makeup</t>
  </si>
  <si>
    <t xml:space="preserve">Botox / Fillers / Sculptra</t>
  </si>
  <si>
    <t xml:space="preserve">Botox / Neuromodulators; Dermal / Lip Fillers; Sculptra / Biostimulators</t>
  </si>
  <si>
    <t xml:space="preserve">EMFACE (full series)</t>
  </si>
  <si>
    <t xml:space="preserve">$1,700-$4,000</t>
  </si>
  <si>
    <t xml:space="preserve">DiamondGlow</t>
  </si>
  <si>
    <t xml:space="preserve">Restylane / Juvederm / Perlane / Sculptra</t>
  </si>
  <si>
    <t xml:space="preserve">Botox / Dysport</t>
  </si>
  <si>
    <t xml:space="preserve">Laser Hair Removal / IPL Photofacial</t>
  </si>
  <si>
    <t xml:space="preserve">Lipo-Laser (3 treatments, Groupon)</t>
  </si>
  <si>
    <t xml:space="preserve">$149 ($1,200 value)</t>
  </si>
  <si>
    <t xml:space="preserve">Lipo-Laser (5 treatments, Groupon)</t>
  </si>
  <si>
    <t xml:space="preserve">$239 ($2,000 value)</t>
  </si>
  <si>
    <t xml:space="preserve">Lipo-Laser (7 treatments, Groupon)</t>
  </si>
  <si>
    <t xml:space="preserve">$299 ($2,800 value)</t>
  </si>
  <si>
    <t xml:space="preserve">Lipo-Laser (10 treatments, Groupon)</t>
  </si>
  <si>
    <t xml:space="preserve">$329 ($4,000 value)</t>
  </si>
  <si>
    <t xml:space="preserve">Laser Hair Removal (3 tx, small area, Groupon)</t>
  </si>
  <si>
    <t xml:space="preserve">$59</t>
  </si>
  <si>
    <t xml:space="preserve">Laser Hair Removal (3 tx, medium area, Groupon)</t>
  </si>
  <si>
    <t xml:space="preserve">$79</t>
  </si>
  <si>
    <t xml:space="preserve">Laser Hair Removal (3 tx, large area, Groupon)</t>
  </si>
  <si>
    <t xml:space="preserve">$119</t>
  </si>
  <si>
    <t xml:space="preserve">Facials / Body Contouring Wraps</t>
  </si>
  <si>
    <t xml:space="preserve">Skin Tightening / Stretch Mark Removal</t>
  </si>
  <si>
    <t xml:space="preserve">Lip Filler Rejuvenation</t>
  </si>
  <si>
    <t xml:space="preserve">$700</t>
  </si>
  <si>
    <t xml:space="preserve">Facials / Microdermabrasion</t>
  </si>
  <si>
    <t xml:space="preserve">Cheek/Nose Fillers</t>
  </si>
  <si>
    <t xml:space="preserve">from $49.99/mo (up to 80% off packages)</t>
  </si>
  <si>
    <t xml:space="preserve">Botox / Neurotoxins</t>
  </si>
  <si>
    <t xml:space="preserve">Fillers (lip/cheek/jawline)</t>
  </si>
  <si>
    <t xml:space="preserve">IPL / Microneedling with RF / Laser Hair Removal</t>
  </si>
  <si>
    <t xml:space="preserve">Microneedling; Laser Hair Removal; IPL / Photofacial</t>
  </si>
  <si>
    <t xml:space="preserve">Ultherapy / IV Therapy</t>
  </si>
  <si>
    <t xml:space="preserve">IV Therapy; IPL / Photofacial</t>
  </si>
  <si>
    <t xml:space="preserve">$150-$200</t>
  </si>
  <si>
    <t xml:space="preserve">CO2 Fractional Laser</t>
  </si>
  <si>
    <t xml:space="preserve">$300-$600</t>
  </si>
  <si>
    <t xml:space="preserve">Madonna Lift</t>
  </si>
  <si>
    <t xml:space="preserve">$250-$450</t>
  </si>
  <si>
    <t xml:space="preserve">EmSculpt</t>
  </si>
  <si>
    <t xml:space="preserve">$750-$1,200</t>
  </si>
  <si>
    <t xml:space="preserve">Vanquish</t>
  </si>
  <si>
    <t xml:space="preserve">$400-$800</t>
  </si>
  <si>
    <t xml:space="preserve">$2,000-$4,000</t>
  </si>
  <si>
    <t xml:space="preserve">Custom Skincare Regimen</t>
  </si>
  <si>
    <t xml:space="preserve">$100-$150</t>
  </si>
  <si>
    <t xml:space="preserve">Skin Analysis</t>
  </si>
  <si>
    <t xml:space="preserve">$80-$120</t>
  </si>
  <si>
    <t xml:space="preserve">Follow-up Consult</t>
  </si>
  <si>
    <t xml:space="preserve">$50-$100</t>
  </si>
  <si>
    <t xml:space="preserve">Cellulite Reduction (RF)</t>
  </si>
  <si>
    <t xml:space="preserve">3D Body Scan</t>
  </si>
  <si>
    <t xml:space="preserve">Nonsurgical Body Contouring</t>
  </si>
  <si>
    <t xml:space="preserve">Botox / Dysport / Restylane Filler</t>
  </si>
  <si>
    <t xml:space="preserve">Weight Loss / B12 Slim Shots</t>
  </si>
  <si>
    <t xml:space="preserve">Body Sculpting / Laser Services / Cryotherapy</t>
  </si>
  <si>
    <t xml:space="preserve">Select Packages (promo)</t>
  </si>
  <si>
    <t xml:space="preserve">up to 30% off</t>
  </si>
  <si>
    <t xml:space="preserve">Preferred Membership (toxin + products/services)</t>
  </si>
  <si>
    <t xml:space="preserve">$3 off/unit + 15% off</t>
  </si>
  <si>
    <t xml:space="preserve">Facials / Peels</t>
  </si>
  <si>
    <t xml:space="preserve">Injectables / Dermal Fillers</t>
  </si>
  <si>
    <t xml:space="preserve">CoolSculpting / EmSculpt</t>
  </si>
  <si>
    <t xml:space="preserve">Hormone Therapy / Hair Regeneration</t>
  </si>
  <si>
    <t xml:space="preserve">from $178.20</t>
  </si>
  <si>
    <t xml:space="preserve">Membership (savings up to)</t>
  </si>
  <si>
    <t xml:space="preserve">$595/mo</t>
  </si>
  <si>
    <t xml:space="preserve">HydraFacial / IV Therapy</t>
  </si>
  <si>
    <t xml:space="preserve">HydraFacial; IV Therapy</t>
  </si>
  <si>
    <t xml:space="preserve">PRF Skin Rejuvenation / PRF Hair Restoration</t>
  </si>
  <si>
    <t xml:space="preserve">Skin Tightening (Morpheus8/RF); PRP / PRF</t>
  </si>
  <si>
    <t xml:space="preserve">HydraFacial (new client)</t>
  </si>
  <si>
    <t xml:space="preserve">$135</t>
  </si>
  <si>
    <t xml:space="preserve">Morpheus8 (new client)</t>
  </si>
  <si>
    <t xml:space="preserve">$429</t>
  </si>
  <si>
    <t xml:space="preserve">Halo Laser (new client)</t>
  </si>
  <si>
    <t xml:space="preserve">$499</t>
  </si>
  <si>
    <t xml:space="preserve">EmFace &amp; Emsculpt (new client)</t>
  </si>
  <si>
    <t xml:space="preserve">$599</t>
  </si>
  <si>
    <t xml:space="preserve">Body Contouring / CoolSculpting; Skin Tightening (Morpheus8/RF)</t>
  </si>
  <si>
    <t xml:space="preserve">MNML Bare Membership (unlimited LHR)</t>
  </si>
  <si>
    <t xml:space="preserve">$249/mo (6-mo min)</t>
  </si>
  <si>
    <t xml:space="preserve">Chin Filler</t>
  </si>
  <si>
    <t xml:space="preserve">$799/syringe</t>
  </si>
  <si>
    <t xml:space="preserve">Laser Treatment</t>
  </si>
  <si>
    <t xml:space="preserve">Hormone Therapy / Medical Weight Loss</t>
  </si>
  <si>
    <t xml:space="preserve">Groupon Services (range)</t>
  </si>
  <si>
    <t xml:space="preserve">$99-$600 (deals from $79.20-$319.20)</t>
  </si>
  <si>
    <t xml:space="preserve">Injectables / B12 Shots</t>
  </si>
  <si>
    <t xml:space="preserve">Photofacials / Laser Hair Removal</t>
  </si>
  <si>
    <t xml:space="preserve">Body Wraps / Skin Tightening</t>
  </si>
  <si>
    <t xml:space="preserve">HCG Weight Loss Program</t>
  </si>
  <si>
    <t xml:space="preserve">from $150</t>
  </si>
  <si>
    <t xml:space="preserve">Tattoo Removal</t>
  </si>
  <si>
    <t xml:space="preserve">Spider Vein Reduction</t>
  </si>
  <si>
    <t xml:space="preserve">Skin Rejuvenation</t>
  </si>
  <si>
    <t xml:space="preserve">Neurotoxin (Dysport/Daxxify/Botox)</t>
  </si>
  <si>
    <t xml:space="preserve">Dermal Filler (lip/cheek/chin/jawline)</t>
  </si>
  <si>
    <t xml:space="preserve">PRF EZ Gel</t>
  </si>
  <si>
    <t xml:space="preserve">Sculptra / Biostimulators; PRP / PRF</t>
  </si>
  <si>
    <t xml:space="preserve">Laser Hair Removal (BAREit)</t>
  </si>
  <si>
    <t xml:space="preserve">Advanced Facials</t>
  </si>
  <si>
    <t xml:space="preserve">Weight-Loss Programs</t>
  </si>
  <si>
    <t xml:space="preserve">Cosmetic Injections</t>
  </si>
  <si>
    <t xml:space="preserve">Membership (unlimited Botox + monthly facial + LHR)</t>
  </si>
  <si>
    <t xml:space="preserve">$199/mo</t>
  </si>
  <si>
    <t xml:space="preserve">Acne Treatments</t>
  </si>
  <si>
    <t xml:space="preserve">Dermaplane Facial</t>
  </si>
  <si>
    <t xml:space="preserve">from $999/round ($249/cycle)</t>
  </si>
  <si>
    <t xml:space="preserve">Wegovy / Semaglutide (w/ insurance)</t>
  </si>
  <si>
    <t xml:space="preserve">as low as $0/mo</t>
  </si>
  <si>
    <t xml:space="preserve">Juvederm Filler</t>
  </si>
  <si>
    <t xml:space="preserve">Laser Hair Removal (small area, 6-tx pkg)</t>
  </si>
  <si>
    <t xml:space="preserve">$89</t>
  </si>
  <si>
    <t xml:space="preserve">Laser Hair Removal (medium area, 6-tx pkg)</t>
  </si>
  <si>
    <t xml:space="preserve">Laser Hair Removal (large area, 6-tx pkg)</t>
  </si>
  <si>
    <t xml:space="preserve">$399</t>
  </si>
  <si>
    <t xml:space="preserve">Laser Hair Removal - Chin</t>
  </si>
  <si>
    <t xml:space="preserve">$320</t>
  </si>
  <si>
    <t xml:space="preserve">Laser Hair Removal - Upper Lip</t>
  </si>
  <si>
    <t xml:space="preserve">$300</t>
  </si>
  <si>
    <t xml:space="preserve">Laser Hair Removal - Bikini Line</t>
  </si>
  <si>
    <t xml:space="preserve">BBL HEROic (full face)</t>
  </si>
  <si>
    <t xml:space="preserve">$550</t>
  </si>
  <si>
    <t xml:space="preserve">BBL HEROic (full legs)</t>
  </si>
  <si>
    <t xml:space="preserve">$1,250</t>
  </si>
  <si>
    <t xml:space="preserve">Botox / Dysport / Fillers</t>
  </si>
  <si>
    <t xml:space="preserve">Botox (generic range - boilerplate, see note)</t>
  </si>
  <si>
    <t xml:space="preserve">$12-$15/unit</t>
  </si>
  <si>
    <t xml:space="preserve">Fillers (generic range - boilerplate, see note)</t>
  </si>
  <si>
    <t xml:space="preserve">$600-$1,200/syringe</t>
  </si>
  <si>
    <t xml:space="preserve">Club VIO Membership - Preferred</t>
  </si>
  <si>
    <t xml:space="preserve">$3 off/unit toxin + 15% off</t>
  </si>
  <si>
    <t xml:space="preserve">Club VIO Membership - Lower Tier</t>
  </si>
  <si>
    <t xml:space="preserve">$2 off/unit toxin + 10% off</t>
  </si>
  <si>
    <t xml:space="preserve">Dermal Fillers / Injectables</t>
  </si>
  <si>
    <t xml:space="preserve">Hair Restoration</t>
  </si>
  <si>
    <t xml:space="preserve">Wellness Therapy</t>
  </si>
  <si>
    <t xml:space="preserve">Founding Membership</t>
  </si>
  <si>
    <t xml:space="preserve">Club VIO Member Pricing (toxin)</t>
  </si>
  <si>
    <t xml:space="preserve">CoolSculpting Consult Discount</t>
  </si>
  <si>
    <t xml:space="preserve">Morpheus8 RF Microneedling Consult Discount</t>
  </si>
  <si>
    <t xml:space="preserve">up to 20% off</t>
  </si>
  <si>
    <t xml:space="preserve">Microneedling; Skin Tightening (Morpheus8/RF)</t>
  </si>
  <si>
    <t xml:space="preserve">IPL Treatments (Groupon range)</t>
  </si>
  <si>
    <t xml:space="preserve">$86.40-$172.80</t>
  </si>
  <si>
    <t xml:space="preserve">Other Groupon Deals (range)</t>
  </si>
  <si>
    <t xml:space="preserve">$31.59-$76.80</t>
  </si>
  <si>
    <t xml:space="preserve">Injectables / Laser (full menu)</t>
  </si>
  <si>
    <t xml:space="preserve">RF Skin Tightening</t>
  </si>
  <si>
    <t xml:space="preserve">Botox (first-time promo)</t>
  </si>
  <si>
    <t xml:space="preserve">$10/unit</t>
  </si>
  <si>
    <t xml:space="preserve">Dysport (first-time promo)</t>
  </si>
  <si>
    <t xml:space="preserve">$4/unit</t>
  </si>
  <si>
    <t xml:space="preserve">20% off (promo)</t>
  </si>
  <si>
    <t xml:space="preserve">Precision Injectables</t>
  </si>
  <si>
    <t xml:space="preserve">Non-Surgical Body Contouring</t>
  </si>
  <si>
    <t xml:space="preserve">EMFACE</t>
  </si>
  <si>
    <t xml:space="preserve">Laser Hair Removal - Small Area</t>
  </si>
  <si>
    <t xml:space="preserve">$350</t>
  </si>
  <si>
    <t xml:space="preserve">Laser Hair Removal - Medium Area</t>
  </si>
  <si>
    <t xml:space="preserve">$460</t>
  </si>
  <si>
    <t xml:space="preserve">Laser Hair Removal - Large Area</t>
  </si>
  <si>
    <t xml:space="preserve">Laser Hair Removal - Large Area (6-tx pkg)</t>
  </si>
  <si>
    <t xml:space="preserve">$600</t>
  </si>
  <si>
    <t xml:space="preserve">$250 ($625/3-pkg)</t>
  </si>
  <si>
    <t xml:space="preserve">$400 ($900/3-pkg)</t>
  </si>
  <si>
    <t xml:space="preserve">PCA Chemical Peel</t>
  </si>
  <si>
    <t xml:space="preserve">$200</t>
  </si>
  <si>
    <t xml:space="preserve">5x Peel Program</t>
  </si>
  <si>
    <t xml:space="preserve">$750</t>
  </si>
  <si>
    <t xml:space="preserve">6% Pure Retinol Peel</t>
  </si>
  <si>
    <t xml:space="preserve">DermaPeel</t>
  </si>
  <si>
    <t xml:space="preserve">$325</t>
  </si>
  <si>
    <t xml:space="preserve">FacialPeel</t>
  </si>
  <si>
    <t xml:space="preserve">MicroPeel</t>
  </si>
  <si>
    <t xml:space="preserve">Neuromodulators</t>
  </si>
  <si>
    <t xml:space="preserve">Biostimulators</t>
  </si>
  <si>
    <t xml:space="preserve">Membership (all lasers/facials/massage)</t>
  </si>
  <si>
    <t xml:space="preserve">not published (monthly rate, amount not shown)</t>
  </si>
  <si>
    <t xml:space="preserve">Photofacial / IPL</t>
  </si>
  <si>
    <t xml:space="preserve">ReFirme Skin Tightening</t>
  </si>
  <si>
    <t xml:space="preserve">Skin Tightening (Morpheus8/RF); IPL / Photofacial</t>
  </si>
  <si>
    <t xml:space="preserve">Matrix Laser Wrinkle Reduction</t>
  </si>
  <si>
    <t xml:space="preserve">DOT CO2 / Tixel</t>
  </si>
  <si>
    <t xml:space="preserve">Dallas Med Spa Market — Dashboard</t>
  </si>
  <si>
    <t xml:space="preserve">Metric</t>
  </si>
  <si>
    <t xml:space="preserve">Value</t>
  </si>
  <si>
    <t xml:space="preserve">Total Clinics Tracked</t>
  </si>
  <si>
    <t xml:space="preserve">Clinics with Pricing on File (Yes or Partial)</t>
  </si>
  <si>
    <t xml:space="preserve">Clinics with No Pricing on File</t>
  </si>
  <si>
    <t xml:space="preserve">Total Procedure/Treatment Line Items</t>
  </si>
  <si>
    <t xml:space="preserve">Procedure Category</t>
  </si>
  <si>
    <t xml:space="preserve"># Clinics Offering (of tracked)</t>
  </si>
  <si>
    <t xml:space="preserve">DALLAS MED SPA MARKET RESEARCH — NOTES</t>
  </si>
  <si>
    <t xml:space="preserve">METHODOLOGY</t>
  </si>
  <si>
    <t xml:space="preserve">Google Maps sweep: 15 neighborhood/suburb-scoped searches across the Dallas metro (Uptown,</t>
  </si>
  <si>
    <t xml:space="preserve">Highland Park, Deep Ellum, Preston Hollow, Bishop Arts/Oak Cliff, Lakewood, Turtle Creek, Addison,</t>
  </si>
  <si>
    <t xml:space="preserve">Plano, Frisco, Las Colinas/Irving, Richardson, Design District, Lake Highlands, and McKinney), run</t>
  </si>
  <si>
    <t xml:space="preserve">3-at-a-time across parallel browser tabs, since a single citywide 'med spa Dallas TX' search caps</t>
  </si>
  <si>
    <t xml:space="preserve">at 6 visible results in this environment (same limitation hit in every prior city in this project).</t>
  </si>
  <si>
    <t xml:space="preserve">Some suburb-scoped searches auto-redirected to a single place page instead of a results feed (seen</t>
  </si>
  <si>
    <t xml:space="preserve">with Preston Hollow) — fixed by rephrasing the query to 'med spas near X'.</t>
  </si>
  <si>
    <t xml:space="preserve">Address extraction via a per-card JS parser scoped to each div.Nv2PK result card.</t>
  </si>
  <si>
    <t xml:space="preserve">107 raw candidates collected across the 15-neighborhood sweep; 104 were logged as trackable</t>
  </si>
  <si>
    <t xml:space="preserve">candidates (3 — a corporate office, an IV-only wellness chain, and a head-spa — were recognized</t>
  </si>
  <si>
    <t xml:space="preserve">as clearly out of scope at collection time and never logged).</t>
  </si>
  <si>
    <t xml:space="preserve">Procedures/pricing research pass for this city was run via WebSearch throughout, after switching</t>
  </si>
  <si>
    <t xml:space="preserve">back from Chrome-tools-based search (used briefly in Orlando after a WebSearch weekly rate limit)</t>
  </si>
  <si>
    <t xml:space="preserve">once the WebSearch weekly limit reset.</t>
  </si>
  <si>
    <t xml:space="preserve">EXCLUDED (non-medspa: no injectables/laser/medical treatments)</t>
  </si>
  <si>
    <t xml:space="preserve">Restore Hyper Wellness (Las Colinas/Irving — IV/cryo-only wellness chain, no injectables), It's A</t>
  </si>
  <si>
    <t xml:space="preserve">Secret Med Spa - Corporate Office (Las Colinas/Irving — corporate HQ, not a customer-facing clinic),</t>
  </si>
  <si>
    <t xml:space="preserve">Savannah Spa - Head Spa (Richardson — hair-washing/scalp spa, no medical treatments), The Skin</t>
  </si>
  <si>
    <t xml:space="preserve">Bungalow (Bishop Arts/Oak Cliff — pure chemical-peel esthetician studio, no injectables/laser),</t>
  </si>
  <si>
    <t xml:space="preserve">Forever Young Aesthetics (Las Colinas/Irving — pure beauty salon: waxing/lash/facial/massage/</t>
  </si>
  <si>
    <t xml:space="preserve">makeup, no medical treatments), and C3 Wellness Spa - McKinney Stonebridge (McKinney — day spa:</t>
  </si>
  <si>
    <t xml:space="preserve">massage, facials, waxing, acupuncture, physical therapy, IV infusions, no injectables or laser).</t>
  </si>
  <si>
    <t xml:space="preserve">Excluded from the confirmed count: 101 of 104 logged candidates are confirmed medspa clinics.</t>
  </si>
  <si>
    <t xml:space="preserve">MULTI-LOCATION CHAINS KEPT AS SEPARATE ROWS (distinct addresses)</t>
  </si>
  <si>
    <t xml:space="preserve">It's A Secret Med Spa (Uptown, Plano, Frisco — 3 locations), UPKEEP Med Spa (Highland Park,</t>
  </si>
  <si>
    <t xml:space="preserve">Addison — 2 locations), Total Med Solutions (Lemmon Ave/Lakewood, Walnut Hill/Lake Highlands —</t>
  </si>
  <si>
    <t xml:space="preserve">2 locations), Starwood Med Spa (Frisco, McKinney — 2 locations), Ultimate Image MedSpa (Richardson,</t>
  </si>
  <si>
    <t xml:space="preserve">Lake Highlands — 2 locations), Imaginique Med Spa (Las Colinas, Richardson — 2 locations), MANOR</t>
  </si>
  <si>
    <t xml:space="preserve">Aesthetics (Highland Park, Addison — 2 locations), VIO Med Spa (Plano, Richardson, Casa Linda/Lake</t>
  </si>
  <si>
    <t xml:space="preserve">Highlands, McKinney — 4 locations).</t>
  </si>
  <si>
    <t xml:space="preserve">DATA QUALITY</t>
  </si>
  <si>
    <t xml:space="preserve">Boilerplate-pricing contamination pattern (identical '$12-$15/unit Botox' / '$600-$1,200/syringe</t>
  </si>
  <si>
    <t xml:space="preserve">filler' phrasing repeated verbatim across unrelated clinics, first seen in Atlanta and Miami and</t>
  </si>
  <si>
    <t xml:space="preserve">again in Orlando) was again found in this city: It's A Secret Med Spa Uptown, Rejuvia, Revive</t>
  </si>
  <si>
    <t xml:space="preserve">Primary Care Highland Park, The Science of Beauty, D'Allure Medspa, Calypso Aesthetic Lab, the</t>
  </si>
  <si>
    <t xml:space="preserve">L.A.B. med spa, Bella MedSpa, SkinSpirit Preston Royal, Modern Medical Spa Dallas, and VIO Med Spa</t>
  </si>
  <si>
    <t xml:space="preserve">Casa Linda all carry this exact phrasing — treated as generic third-party estimates, not clinic-</t>
  </si>
  <si>
    <t xml:space="preserve">specific data, and marked 'Partial' rather than 'Yes'.</t>
  </si>
  <si>
    <t xml:space="preserve">Address discrepancies found between Google Maps and clinic websites, recorded but not resolved:</t>
  </si>
  <si>
    <t xml:space="preserve">Ivanity (Maps: 4851 Keller Springs Rd Ste 220 vs. web: 15404 Addison Rd Ste A2) and Hush MedSpa</t>
  </si>
  <si>
    <t xml:space="preserve">(Maps: 7227 Main St #201 vs. web: 4645 Avon Ln / 13225 Dallas Pkwy).</t>
  </si>
  <si>
    <t xml:space="preserve">Strongest genuine pricing anchors found: MNML Med Spa Richardson (HydraFacial $135, Morpheus8</t>
  </si>
  <si>
    <t xml:space="preserve">$429, Halo Laser $499, EmFace &amp; Emsculpt $599 new-client specials, $249/mo membership), Lily</t>
  </si>
  <si>
    <t xml:space="preserve">Aesthetics &amp; Wellness (full laser hair removal price list from $89), Glow Medspa McKinney (full</t>
  </si>
  <si>
    <t xml:space="preserve">laser/microneedling/peel price list), Total Med Solutions Walnut Hill (CoolSculpting from $249/</t>
  </si>
  <si>
    <t xml:space="preserve">cycle), and Venus Medical Aesthetics McKinney ($10 Botox / $4 Dysport first-time promos).</t>
  </si>
  <si>
    <t xml:space="preserve">Procedure/treatment line items logged across all confirmed clinics; category counts computed live</t>
  </si>
  <si>
    <t xml:space="preserve">via Dashboard formulas.</t>
  </si>
  <si>
    <t xml:space="preserve">NEXT STEPS</t>
  </si>
  <si>
    <t xml:space="preserve">Dashboard tab built with live COUNTA/SUMPRODUCT/COUNTIFS formulas (same structure as Charlotte/</t>
  </si>
  <si>
    <t xml:space="preserve">Atlanta/Miami/West Palm Beach/Orlando). Google Trends research and the HTML market report are the</t>
  </si>
  <si>
    <t xml:space="preserve">next phases.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</si>
</sst>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n">
        <v>5</v>
      </c>
    </row>
    <row r="3" customFormat="false" ht="15" hidden="false" customHeight="false" outlineLevel="0" collapsed="false">
      <c r="A3" s="0" t="n">
        <v>2</v>
      </c>
      <c r="B3" s="0" t="s">
        <v>15</v>
      </c>
      <c r="C3" s="0" t="s">
        <v>10</v>
      </c>
      <c r="D3" s="0" t="s">
        <v>16</v>
      </c>
      <c r="E3" s="0" t="s">
        <v>17</v>
      </c>
      <c r="F3" s="0" t="s">
        <v>13</v>
      </c>
      <c r="G3" s="0" t="s">
        <v>18</v>
      </c>
      <c r="H3" s="0" t="n">
        <v>2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s">
        <v>10</v>
      </c>
      <c r="D4" s="0" t="s">
        <v>20</v>
      </c>
      <c r="E4" s="0" t="s">
        <v>21</v>
      </c>
      <c r="F4" s="0" t="s">
        <v>13</v>
      </c>
      <c r="G4" s="0" t="s">
        <v>18</v>
      </c>
      <c r="H4" s="0" t="n">
        <v>4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s">
        <v>10</v>
      </c>
      <c r="D5" s="0" t="s">
        <v>23</v>
      </c>
      <c r="E5" s="0" t="s">
        <v>24</v>
      </c>
      <c r="F5" s="0" t="s">
        <v>13</v>
      </c>
      <c r="G5" s="0" t="s">
        <v>14</v>
      </c>
      <c r="H5" s="0" t="n">
        <v>12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s">
        <v>10</v>
      </c>
      <c r="D6" s="0" t="s">
        <v>26</v>
      </c>
      <c r="E6" s="0" t="s">
        <v>27</v>
      </c>
      <c r="F6" s="0" t="s">
        <v>13</v>
      </c>
      <c r="G6" s="0" t="s">
        <v>28</v>
      </c>
      <c r="H6" s="0" t="n">
        <v>4</v>
      </c>
    </row>
    <row r="7" customFormat="false" ht="15" hidden="false" customHeight="false" outlineLevel="0" collapsed="false">
      <c r="A7" s="0" t="n">
        <v>6</v>
      </c>
      <c r="B7" s="0" t="s">
        <v>29</v>
      </c>
      <c r="C7" s="0" t="s">
        <v>10</v>
      </c>
      <c r="D7" s="0" t="s">
        <v>30</v>
      </c>
      <c r="E7" s="0" t="s">
        <v>31</v>
      </c>
      <c r="F7" s="0" t="s">
        <v>13</v>
      </c>
      <c r="G7" s="0" t="s">
        <v>14</v>
      </c>
      <c r="H7" s="0" t="n">
        <v>3</v>
      </c>
    </row>
    <row r="8" customFormat="false" ht="15" hidden="false" customHeight="false" outlineLevel="0" collapsed="false">
      <c r="A8" s="0" t="n">
        <v>7</v>
      </c>
      <c r="B8" s="0" t="s">
        <v>32</v>
      </c>
      <c r="C8" s="0" t="s">
        <v>33</v>
      </c>
      <c r="D8" s="0" t="s">
        <v>34</v>
      </c>
      <c r="E8" s="0" t="s">
        <v>35</v>
      </c>
      <c r="F8" s="0" t="s">
        <v>36</v>
      </c>
      <c r="G8" s="0" t="s">
        <v>18</v>
      </c>
      <c r="H8" s="0" t="n">
        <v>3</v>
      </c>
    </row>
    <row r="9" customFormat="false" ht="15" hidden="false" customHeight="false" outlineLevel="0" collapsed="false">
      <c r="A9" s="0" t="n">
        <v>8</v>
      </c>
      <c r="B9" s="0" t="s">
        <v>37</v>
      </c>
      <c r="C9" s="0" t="s">
        <v>33</v>
      </c>
      <c r="D9" s="0" t="s">
        <v>38</v>
      </c>
      <c r="E9" s="0" t="s">
        <v>39</v>
      </c>
      <c r="F9" s="0" t="s">
        <v>40</v>
      </c>
      <c r="G9" s="0" t="s">
        <v>28</v>
      </c>
      <c r="H9" s="0" t="n">
        <v>6</v>
      </c>
    </row>
    <row r="10" customFormat="false" ht="15" hidden="false" customHeight="false" outlineLevel="0" collapsed="false">
      <c r="A10" s="0" t="n">
        <v>9</v>
      </c>
      <c r="B10" s="0" t="s">
        <v>41</v>
      </c>
      <c r="C10" s="0" t="s">
        <v>33</v>
      </c>
      <c r="D10" s="0" t="s">
        <v>42</v>
      </c>
      <c r="E10" s="0" t="s">
        <v>43</v>
      </c>
      <c r="F10" s="0" t="s">
        <v>13</v>
      </c>
      <c r="G10" s="0" t="s">
        <v>18</v>
      </c>
      <c r="H10" s="0" t="n">
        <v>7</v>
      </c>
    </row>
    <row r="11" customFormat="false" ht="15" hidden="false" customHeight="false" outlineLevel="0" collapsed="false">
      <c r="A11" s="0" t="n">
        <v>10</v>
      </c>
      <c r="B11" s="0" t="s">
        <v>44</v>
      </c>
      <c r="C11" s="0" t="s">
        <v>33</v>
      </c>
      <c r="D11" s="0" t="s">
        <v>45</v>
      </c>
      <c r="E11" s="0" t="s">
        <v>46</v>
      </c>
      <c r="F11" s="0" t="s">
        <v>13</v>
      </c>
      <c r="G11" s="0" t="s">
        <v>28</v>
      </c>
      <c r="H11" s="0" t="n">
        <v>3</v>
      </c>
    </row>
    <row r="12" customFormat="false" ht="15" hidden="false" customHeight="false" outlineLevel="0" collapsed="false">
      <c r="A12" s="0" t="n">
        <v>11</v>
      </c>
      <c r="B12" s="0" t="s">
        <v>47</v>
      </c>
      <c r="C12" s="0" t="s">
        <v>33</v>
      </c>
      <c r="D12" s="0" t="s">
        <v>48</v>
      </c>
      <c r="E12" s="0" t="s">
        <v>49</v>
      </c>
      <c r="F12" s="0" t="s">
        <v>13</v>
      </c>
      <c r="G12" s="0" t="s">
        <v>28</v>
      </c>
      <c r="H12" s="0" t="n">
        <v>4</v>
      </c>
    </row>
    <row r="13" customFormat="false" ht="15" hidden="false" customHeight="false" outlineLevel="0" collapsed="false">
      <c r="A13" s="0" t="n">
        <v>12</v>
      </c>
      <c r="B13" s="0" t="s">
        <v>50</v>
      </c>
      <c r="C13" s="0" t="s">
        <v>33</v>
      </c>
      <c r="D13" s="0" t="s">
        <v>51</v>
      </c>
      <c r="E13" s="0" t="s">
        <v>52</v>
      </c>
      <c r="F13" s="0" t="s">
        <v>53</v>
      </c>
      <c r="G13" s="0" t="s">
        <v>18</v>
      </c>
      <c r="H13" s="0" t="n">
        <v>6</v>
      </c>
    </row>
    <row r="14" customFormat="false" ht="15" hidden="false" customHeight="false" outlineLevel="0" collapsed="false">
      <c r="A14" s="0" t="n">
        <v>13</v>
      </c>
      <c r="B14" s="0" t="s">
        <v>54</v>
      </c>
      <c r="C14" s="0" t="s">
        <v>33</v>
      </c>
      <c r="D14" s="0" t="s">
        <v>55</v>
      </c>
      <c r="E14" s="0" t="s">
        <v>56</v>
      </c>
      <c r="F14" s="0" t="s">
        <v>13</v>
      </c>
      <c r="G14" s="0" t="s">
        <v>28</v>
      </c>
      <c r="H14" s="0" t="n">
        <v>6</v>
      </c>
    </row>
    <row r="15" customFormat="false" ht="15" hidden="false" customHeight="false" outlineLevel="0" collapsed="false">
      <c r="A15" s="0" t="n">
        <v>14</v>
      </c>
      <c r="B15" s="0" t="s">
        <v>57</v>
      </c>
      <c r="C15" s="0" t="s">
        <v>58</v>
      </c>
      <c r="D15" s="0" t="s">
        <v>59</v>
      </c>
      <c r="E15" s="0" t="s">
        <v>60</v>
      </c>
      <c r="F15" s="0" t="s">
        <v>13</v>
      </c>
      <c r="G15" s="0" t="s">
        <v>14</v>
      </c>
      <c r="H15" s="0" t="n">
        <v>5</v>
      </c>
    </row>
    <row r="16" customFormat="false" ht="15" hidden="false" customHeight="false" outlineLevel="0" collapsed="false">
      <c r="A16" s="0" t="n">
        <v>15</v>
      </c>
      <c r="B16" s="0" t="s">
        <v>61</v>
      </c>
      <c r="C16" s="0" t="s">
        <v>58</v>
      </c>
      <c r="D16" s="0" t="s">
        <v>62</v>
      </c>
      <c r="E16" s="0" t="s">
        <v>63</v>
      </c>
      <c r="F16" s="0" t="s">
        <v>13</v>
      </c>
      <c r="G16" s="0" t="s">
        <v>14</v>
      </c>
      <c r="H16" s="0" t="n">
        <v>11</v>
      </c>
    </row>
    <row r="17" customFormat="false" ht="15" hidden="false" customHeight="false" outlineLevel="0" collapsed="false">
      <c r="A17" s="0" t="n">
        <v>16</v>
      </c>
      <c r="B17" s="0" t="s">
        <v>64</v>
      </c>
      <c r="C17" s="0" t="s">
        <v>58</v>
      </c>
      <c r="D17" s="0" t="s">
        <v>65</v>
      </c>
      <c r="E17" s="0" t="s">
        <v>66</v>
      </c>
      <c r="F17" s="0" t="s">
        <v>13</v>
      </c>
      <c r="G17" s="0" t="s">
        <v>18</v>
      </c>
      <c r="H17" s="0" t="n">
        <v>5</v>
      </c>
    </row>
    <row r="18" customFormat="false" ht="15" hidden="false" customHeight="false" outlineLevel="0" collapsed="false">
      <c r="A18" s="0" t="n">
        <v>17</v>
      </c>
      <c r="B18" s="0" t="s">
        <v>67</v>
      </c>
      <c r="C18" s="0" t="s">
        <v>58</v>
      </c>
      <c r="D18" s="0" t="s">
        <v>68</v>
      </c>
      <c r="E18" s="0" t="s">
        <v>69</v>
      </c>
      <c r="F18" s="0" t="s">
        <v>13</v>
      </c>
      <c r="G18" s="0" t="s">
        <v>18</v>
      </c>
      <c r="H18" s="0" t="n">
        <v>4</v>
      </c>
    </row>
    <row r="19" customFormat="false" ht="15" hidden="false" customHeight="false" outlineLevel="0" collapsed="false">
      <c r="A19" s="0" t="n">
        <v>18</v>
      </c>
      <c r="B19" s="0" t="s">
        <v>70</v>
      </c>
      <c r="C19" s="0" t="s">
        <v>58</v>
      </c>
      <c r="D19" s="0" t="s">
        <v>71</v>
      </c>
      <c r="E19" s="0" t="s">
        <v>72</v>
      </c>
      <c r="F19" s="0" t="s">
        <v>13</v>
      </c>
      <c r="G19" s="0" t="s">
        <v>18</v>
      </c>
      <c r="H19" s="0" t="n">
        <v>2</v>
      </c>
    </row>
    <row r="20" customFormat="false" ht="15" hidden="false" customHeight="false" outlineLevel="0" collapsed="false">
      <c r="A20" s="0" t="n">
        <v>19</v>
      </c>
      <c r="B20" s="0" t="s">
        <v>73</v>
      </c>
      <c r="C20" s="0" t="s">
        <v>58</v>
      </c>
      <c r="D20" s="0" t="s">
        <v>74</v>
      </c>
      <c r="E20" s="0" t="s">
        <v>75</v>
      </c>
      <c r="F20" s="0" t="s">
        <v>13</v>
      </c>
      <c r="G20" s="0" t="s">
        <v>18</v>
      </c>
      <c r="H20" s="0" t="n">
        <v>9</v>
      </c>
    </row>
    <row r="21" customFormat="false" ht="15" hidden="false" customHeight="false" outlineLevel="0" collapsed="false">
      <c r="A21" s="0" t="n">
        <v>20</v>
      </c>
      <c r="B21" s="0" t="s">
        <v>76</v>
      </c>
      <c r="C21" s="0" t="s">
        <v>77</v>
      </c>
      <c r="D21" s="0" t="s">
        <v>78</v>
      </c>
      <c r="E21" s="0" t="s">
        <v>79</v>
      </c>
      <c r="F21" s="0" t="s">
        <v>13</v>
      </c>
      <c r="G21" s="0" t="s">
        <v>14</v>
      </c>
      <c r="H21" s="0" t="n">
        <v>4</v>
      </c>
    </row>
    <row r="22" customFormat="false" ht="15" hidden="false" customHeight="false" outlineLevel="0" collapsed="false">
      <c r="A22" s="0" t="n">
        <v>21</v>
      </c>
      <c r="B22" s="0" t="s">
        <v>80</v>
      </c>
      <c r="C22" s="0" t="s">
        <v>77</v>
      </c>
      <c r="D22" s="0" t="s">
        <v>81</v>
      </c>
      <c r="E22" s="0" t="s">
        <v>82</v>
      </c>
      <c r="F22" s="0" t="s">
        <v>13</v>
      </c>
      <c r="G22" s="0" t="s">
        <v>14</v>
      </c>
      <c r="H22" s="0" t="n">
        <v>5</v>
      </c>
    </row>
    <row r="23" customFormat="false" ht="15" hidden="false" customHeight="false" outlineLevel="0" collapsed="false">
      <c r="A23" s="0" t="n">
        <v>22</v>
      </c>
      <c r="B23" s="0" t="s">
        <v>83</v>
      </c>
      <c r="C23" s="0" t="s">
        <v>77</v>
      </c>
      <c r="D23" s="0" t="s">
        <v>84</v>
      </c>
      <c r="E23" s="0" t="s">
        <v>85</v>
      </c>
      <c r="F23" s="0" t="s">
        <v>13</v>
      </c>
      <c r="G23" s="0" t="s">
        <v>28</v>
      </c>
      <c r="H23" s="0" t="n">
        <v>4</v>
      </c>
    </row>
    <row r="24" customFormat="false" ht="15" hidden="false" customHeight="false" outlineLevel="0" collapsed="false">
      <c r="A24" s="0" t="n">
        <v>23</v>
      </c>
      <c r="B24" s="0" t="s">
        <v>86</v>
      </c>
      <c r="C24" s="0" t="s">
        <v>77</v>
      </c>
      <c r="D24" s="0" t="s">
        <v>87</v>
      </c>
      <c r="E24" s="0" t="s">
        <v>88</v>
      </c>
      <c r="F24" s="0" t="s">
        <v>13</v>
      </c>
      <c r="G24" s="0" t="s">
        <v>18</v>
      </c>
      <c r="H24" s="0" t="n">
        <v>6</v>
      </c>
    </row>
    <row r="25" customFormat="false" ht="15" hidden="false" customHeight="false" outlineLevel="0" collapsed="false">
      <c r="A25" s="0" t="n">
        <v>24</v>
      </c>
      <c r="B25" s="0" t="s">
        <v>89</v>
      </c>
      <c r="C25" s="0" t="s">
        <v>77</v>
      </c>
      <c r="D25" s="0" t="s">
        <v>90</v>
      </c>
      <c r="E25" s="0" t="s">
        <v>91</v>
      </c>
      <c r="F25" s="0" t="s">
        <v>13</v>
      </c>
      <c r="G25" s="0" t="s">
        <v>14</v>
      </c>
      <c r="H25" s="0" t="n">
        <v>5</v>
      </c>
    </row>
    <row r="26" customFormat="false" ht="15" hidden="false" customHeight="false" outlineLevel="0" collapsed="false">
      <c r="A26" s="0" t="n">
        <v>25</v>
      </c>
      <c r="B26" s="0" t="s">
        <v>92</v>
      </c>
      <c r="C26" s="0" t="s">
        <v>93</v>
      </c>
      <c r="D26" s="0" t="s">
        <v>94</v>
      </c>
      <c r="E26" s="0" t="s">
        <v>95</v>
      </c>
      <c r="F26" s="0" t="s">
        <v>13</v>
      </c>
      <c r="G26" s="0" t="s">
        <v>18</v>
      </c>
      <c r="H26" s="0" t="n">
        <v>5</v>
      </c>
    </row>
    <row r="27" customFormat="false" ht="15" hidden="false" customHeight="false" outlineLevel="0" collapsed="false">
      <c r="A27" s="0" t="n">
        <v>26</v>
      </c>
      <c r="B27" s="0" t="s">
        <v>96</v>
      </c>
      <c r="C27" s="0" t="s">
        <v>93</v>
      </c>
      <c r="D27" s="0" t="s">
        <v>97</v>
      </c>
      <c r="E27" s="0" t="s">
        <v>98</v>
      </c>
      <c r="F27" s="0" t="s">
        <v>13</v>
      </c>
      <c r="G27" s="0" t="s">
        <v>18</v>
      </c>
      <c r="H27" s="0" t="n">
        <v>4</v>
      </c>
    </row>
    <row r="28" customFormat="false" ht="15" hidden="false" customHeight="false" outlineLevel="0" collapsed="false">
      <c r="A28" s="0" t="n">
        <v>27</v>
      </c>
      <c r="B28" s="0" t="s">
        <v>99</v>
      </c>
      <c r="C28" s="0" t="s">
        <v>93</v>
      </c>
      <c r="D28" s="0" t="s">
        <v>100</v>
      </c>
      <c r="E28" s="0" t="s">
        <v>101</v>
      </c>
      <c r="F28" s="0" t="s">
        <v>13</v>
      </c>
      <c r="G28" s="0" t="s">
        <v>28</v>
      </c>
      <c r="H28" s="0" t="n">
        <v>4</v>
      </c>
    </row>
    <row r="29" customFormat="false" ht="15" hidden="false" customHeight="false" outlineLevel="0" collapsed="false">
      <c r="A29" s="0" t="n">
        <v>28</v>
      </c>
      <c r="B29" s="0" t="s">
        <v>102</v>
      </c>
      <c r="C29" s="0" t="s">
        <v>93</v>
      </c>
      <c r="D29" s="0" t="s">
        <v>103</v>
      </c>
      <c r="E29" s="0" t="s">
        <v>104</v>
      </c>
      <c r="F29" s="0" t="s">
        <v>13</v>
      </c>
      <c r="G29" s="0" t="s">
        <v>28</v>
      </c>
      <c r="H29" s="0" t="n">
        <v>6</v>
      </c>
    </row>
    <row r="30" customFormat="false" ht="15" hidden="false" customHeight="false" outlineLevel="0" collapsed="false">
      <c r="A30" s="0" t="n">
        <v>29</v>
      </c>
      <c r="B30" s="0" t="s">
        <v>105</v>
      </c>
      <c r="C30" s="0" t="s">
        <v>93</v>
      </c>
      <c r="D30" s="0" t="s">
        <v>106</v>
      </c>
      <c r="E30" s="0" t="s">
        <v>107</v>
      </c>
      <c r="F30" s="0" t="s">
        <v>108</v>
      </c>
      <c r="G30" s="0" t="s">
        <v>28</v>
      </c>
      <c r="H30" s="0" t="n">
        <v>2</v>
      </c>
    </row>
    <row r="31" customFormat="false" ht="15" hidden="false" customHeight="false" outlineLevel="0" collapsed="false">
      <c r="A31" s="0" t="n">
        <v>30</v>
      </c>
      <c r="B31" s="0" t="s">
        <v>109</v>
      </c>
      <c r="C31" s="0" t="s">
        <v>93</v>
      </c>
      <c r="D31" s="0" t="s">
        <v>110</v>
      </c>
      <c r="E31" s="0" t="s">
        <v>111</v>
      </c>
      <c r="F31" s="0" t="s">
        <v>13</v>
      </c>
      <c r="G31" s="0" t="s">
        <v>28</v>
      </c>
      <c r="H31" s="0" t="n">
        <v>6</v>
      </c>
    </row>
    <row r="32" customFormat="false" ht="15" hidden="false" customHeight="false" outlineLevel="0" collapsed="false">
      <c r="A32" s="0" t="n">
        <v>31</v>
      </c>
      <c r="B32" s="0" t="s">
        <v>112</v>
      </c>
      <c r="C32" s="0" t="s">
        <v>93</v>
      </c>
      <c r="D32" s="0" t="s">
        <v>113</v>
      </c>
      <c r="E32" s="0" t="s">
        <v>114</v>
      </c>
      <c r="F32" s="0" t="s">
        <v>13</v>
      </c>
      <c r="G32" s="0" t="s">
        <v>14</v>
      </c>
      <c r="H32" s="0" t="n">
        <v>8</v>
      </c>
    </row>
    <row r="33" customFormat="false" ht="15" hidden="false" customHeight="false" outlineLevel="0" collapsed="false">
      <c r="A33" s="0" t="n">
        <v>32</v>
      </c>
      <c r="B33" s="0" t="s">
        <v>115</v>
      </c>
      <c r="C33" s="0" t="s">
        <v>93</v>
      </c>
      <c r="D33" s="0" t="s">
        <v>116</v>
      </c>
      <c r="E33" s="0" t="s">
        <v>117</v>
      </c>
      <c r="F33" s="0" t="s">
        <v>13</v>
      </c>
      <c r="G33" s="0" t="s">
        <v>28</v>
      </c>
      <c r="H33" s="0" t="n">
        <v>1</v>
      </c>
    </row>
    <row r="34" customFormat="false" ht="15" hidden="false" customHeight="false" outlineLevel="0" collapsed="false">
      <c r="A34" s="0" t="n">
        <v>33</v>
      </c>
      <c r="B34" s="0" t="s">
        <v>118</v>
      </c>
      <c r="C34" s="0" t="s">
        <v>119</v>
      </c>
      <c r="D34" s="0" t="s">
        <v>120</v>
      </c>
      <c r="E34" s="0" t="s">
        <v>121</v>
      </c>
      <c r="F34" s="0" t="s">
        <v>13</v>
      </c>
      <c r="G34" s="0" t="s">
        <v>28</v>
      </c>
      <c r="H34" s="0" t="n">
        <v>8</v>
      </c>
    </row>
    <row r="35" customFormat="false" ht="15" hidden="false" customHeight="false" outlineLevel="0" collapsed="false">
      <c r="A35" s="0" t="n">
        <v>34</v>
      </c>
      <c r="B35" s="0" t="s">
        <v>122</v>
      </c>
      <c r="C35" s="0" t="s">
        <v>119</v>
      </c>
      <c r="D35" s="0" t="s">
        <v>123</v>
      </c>
      <c r="E35" s="0" t="s">
        <v>124</v>
      </c>
      <c r="F35" s="0" t="s">
        <v>13</v>
      </c>
      <c r="G35" s="0" t="s">
        <v>18</v>
      </c>
      <c r="H35" s="0" t="n">
        <v>6</v>
      </c>
    </row>
    <row r="36" customFormat="false" ht="15" hidden="false" customHeight="false" outlineLevel="0" collapsed="false">
      <c r="A36" s="0" t="n">
        <v>35</v>
      </c>
      <c r="B36" s="0" t="s">
        <v>125</v>
      </c>
      <c r="C36" s="0" t="s">
        <v>119</v>
      </c>
      <c r="D36" s="0" t="s">
        <v>126</v>
      </c>
      <c r="E36" s="0" t="s">
        <v>127</v>
      </c>
      <c r="F36" s="0" t="s">
        <v>13</v>
      </c>
      <c r="G36" s="0" t="s">
        <v>28</v>
      </c>
      <c r="H36" s="0" t="n">
        <v>5</v>
      </c>
    </row>
    <row r="37" customFormat="false" ht="15" hidden="false" customHeight="false" outlineLevel="0" collapsed="false">
      <c r="A37" s="0" t="n">
        <v>36</v>
      </c>
      <c r="B37" s="0" t="s">
        <v>128</v>
      </c>
      <c r="C37" s="0" t="s">
        <v>119</v>
      </c>
      <c r="D37" s="0" t="s">
        <v>129</v>
      </c>
      <c r="E37" s="0" t="s">
        <v>130</v>
      </c>
      <c r="F37" s="0" t="s">
        <v>13</v>
      </c>
      <c r="G37" s="0" t="s">
        <v>28</v>
      </c>
      <c r="H37" s="0" t="n">
        <v>7</v>
      </c>
    </row>
    <row r="38" customFormat="false" ht="15" hidden="false" customHeight="false" outlineLevel="0" collapsed="false">
      <c r="A38" s="0" t="n">
        <v>37</v>
      </c>
      <c r="B38" s="0" t="s">
        <v>131</v>
      </c>
      <c r="C38" s="0" t="s">
        <v>119</v>
      </c>
      <c r="D38" s="0" t="s">
        <v>132</v>
      </c>
      <c r="E38" s="0" t="s">
        <v>133</v>
      </c>
      <c r="F38" s="0" t="s">
        <v>13</v>
      </c>
      <c r="G38" s="0" t="s">
        <v>14</v>
      </c>
      <c r="H38" s="0" t="n">
        <v>9</v>
      </c>
    </row>
    <row r="39" customFormat="false" ht="15" hidden="false" customHeight="false" outlineLevel="0" collapsed="false">
      <c r="A39" s="0" t="n">
        <v>38</v>
      </c>
      <c r="B39" s="0" t="s">
        <v>134</v>
      </c>
      <c r="C39" s="0" t="s">
        <v>135</v>
      </c>
      <c r="D39" s="0" t="s">
        <v>136</v>
      </c>
      <c r="E39" s="0" t="s">
        <v>137</v>
      </c>
      <c r="F39" s="0" t="s">
        <v>13</v>
      </c>
      <c r="G39" s="0" t="s">
        <v>18</v>
      </c>
      <c r="H39" s="0" t="n">
        <v>6</v>
      </c>
    </row>
    <row r="40" customFormat="false" ht="15" hidden="false" customHeight="false" outlineLevel="0" collapsed="false">
      <c r="A40" s="0" t="n">
        <v>39</v>
      </c>
      <c r="B40" s="0" t="s">
        <v>138</v>
      </c>
      <c r="C40" s="0" t="s">
        <v>135</v>
      </c>
      <c r="D40" s="0" t="s">
        <v>139</v>
      </c>
      <c r="E40" s="0" t="s">
        <v>140</v>
      </c>
      <c r="F40" s="0" t="s">
        <v>141</v>
      </c>
      <c r="G40" s="0" t="s">
        <v>28</v>
      </c>
      <c r="H40" s="0" t="n">
        <v>1</v>
      </c>
    </row>
    <row r="41" customFormat="false" ht="15" hidden="false" customHeight="false" outlineLevel="0" collapsed="false">
      <c r="A41" s="0" t="n">
        <v>40</v>
      </c>
      <c r="B41" s="0" t="s">
        <v>142</v>
      </c>
      <c r="C41" s="0" t="s">
        <v>135</v>
      </c>
      <c r="D41" s="0" t="s">
        <v>143</v>
      </c>
      <c r="E41" s="0" t="s">
        <v>144</v>
      </c>
      <c r="F41" s="0" t="s">
        <v>13</v>
      </c>
      <c r="G41" s="0" t="s">
        <v>14</v>
      </c>
      <c r="H41" s="0" t="n">
        <v>7</v>
      </c>
    </row>
    <row r="42" customFormat="false" ht="15" hidden="false" customHeight="false" outlineLevel="0" collapsed="false">
      <c r="A42" s="0" t="n">
        <v>41</v>
      </c>
      <c r="B42" s="0" t="s">
        <v>145</v>
      </c>
      <c r="C42" s="0" t="s">
        <v>135</v>
      </c>
      <c r="D42" s="0" t="s">
        <v>146</v>
      </c>
      <c r="E42" s="0" t="s">
        <v>147</v>
      </c>
      <c r="F42" s="0" t="s">
        <v>13</v>
      </c>
      <c r="G42" s="0" t="s">
        <v>28</v>
      </c>
      <c r="H42" s="0" t="n">
        <v>3</v>
      </c>
    </row>
    <row r="43" customFormat="false" ht="15" hidden="false" customHeight="false" outlineLevel="0" collapsed="false">
      <c r="A43" s="0" t="n">
        <v>42</v>
      </c>
      <c r="B43" s="0" t="s">
        <v>148</v>
      </c>
      <c r="C43" s="0" t="s">
        <v>135</v>
      </c>
      <c r="D43" s="0" t="s">
        <v>149</v>
      </c>
      <c r="E43" s="0" t="s">
        <v>150</v>
      </c>
      <c r="F43" s="0" t="s">
        <v>151</v>
      </c>
      <c r="G43" s="0" t="s">
        <v>28</v>
      </c>
      <c r="H43" s="0" t="n">
        <v>2</v>
      </c>
    </row>
    <row r="44" customFormat="false" ht="15" hidden="false" customHeight="false" outlineLevel="0" collapsed="false">
      <c r="A44" s="0" t="n">
        <v>43</v>
      </c>
      <c r="B44" s="0" t="s">
        <v>152</v>
      </c>
      <c r="C44" s="0" t="s">
        <v>135</v>
      </c>
      <c r="D44" s="0" t="s">
        <v>153</v>
      </c>
      <c r="E44" s="0" t="s">
        <v>154</v>
      </c>
      <c r="F44" s="0" t="s">
        <v>13</v>
      </c>
      <c r="G44" s="0" t="s">
        <v>28</v>
      </c>
      <c r="H44" s="0" t="n">
        <v>5</v>
      </c>
    </row>
    <row r="45" customFormat="false" ht="15" hidden="false" customHeight="false" outlineLevel="0" collapsed="false">
      <c r="A45" s="0" t="n">
        <v>44</v>
      </c>
      <c r="B45" s="0" t="s">
        <v>155</v>
      </c>
      <c r="C45" s="0" t="s">
        <v>156</v>
      </c>
      <c r="D45" s="0" t="s">
        <v>157</v>
      </c>
      <c r="E45" s="0" t="s">
        <v>158</v>
      </c>
      <c r="F45" s="0" t="s">
        <v>13</v>
      </c>
      <c r="G45" s="0" t="s">
        <v>28</v>
      </c>
      <c r="H45" s="0" t="n">
        <v>2</v>
      </c>
    </row>
    <row r="46" customFormat="false" ht="15" hidden="false" customHeight="false" outlineLevel="0" collapsed="false">
      <c r="A46" s="0" t="n">
        <v>45</v>
      </c>
      <c r="B46" s="0" t="s">
        <v>159</v>
      </c>
      <c r="C46" s="0" t="s">
        <v>156</v>
      </c>
      <c r="D46" s="0" t="s">
        <v>160</v>
      </c>
      <c r="E46" s="0" t="s">
        <v>161</v>
      </c>
      <c r="F46" s="0" t="s">
        <v>13</v>
      </c>
      <c r="G46" s="0" t="s">
        <v>28</v>
      </c>
      <c r="H46" s="0" t="n">
        <v>5</v>
      </c>
    </row>
    <row r="47" customFormat="false" ht="15" hidden="false" customHeight="false" outlineLevel="0" collapsed="false">
      <c r="A47" s="0" t="n">
        <v>46</v>
      </c>
      <c r="B47" s="0" t="s">
        <v>162</v>
      </c>
      <c r="C47" s="0" t="s">
        <v>156</v>
      </c>
      <c r="D47" s="0" t="s">
        <v>163</v>
      </c>
      <c r="E47" s="0" t="s">
        <v>164</v>
      </c>
      <c r="F47" s="0" t="s">
        <v>13</v>
      </c>
      <c r="G47" s="0" t="s">
        <v>18</v>
      </c>
      <c r="H47" s="0" t="n">
        <v>2</v>
      </c>
    </row>
    <row r="48" customFormat="false" ht="15" hidden="false" customHeight="false" outlineLevel="0" collapsed="false">
      <c r="A48" s="0" t="n">
        <v>47</v>
      </c>
      <c r="B48" s="0" t="s">
        <v>165</v>
      </c>
      <c r="C48" s="0" t="s">
        <v>156</v>
      </c>
      <c r="D48" s="0" t="s">
        <v>166</v>
      </c>
      <c r="E48" s="0" t="s">
        <v>167</v>
      </c>
      <c r="F48" s="0" t="s">
        <v>13</v>
      </c>
      <c r="G48" s="0" t="s">
        <v>14</v>
      </c>
      <c r="H48" s="0" t="n">
        <v>7</v>
      </c>
    </row>
    <row r="49" customFormat="false" ht="15" hidden="false" customHeight="false" outlineLevel="0" collapsed="false">
      <c r="A49" s="0" t="n">
        <v>48</v>
      </c>
      <c r="B49" s="0" t="s">
        <v>168</v>
      </c>
      <c r="C49" s="0" t="s">
        <v>156</v>
      </c>
      <c r="D49" s="0" t="s">
        <v>169</v>
      </c>
      <c r="E49" s="0" t="s">
        <v>170</v>
      </c>
      <c r="F49" s="0" t="s">
        <v>13</v>
      </c>
      <c r="G49" s="0" t="s">
        <v>14</v>
      </c>
      <c r="H49" s="0" t="n">
        <v>11</v>
      </c>
    </row>
    <row r="50" customFormat="false" ht="15" hidden="false" customHeight="false" outlineLevel="0" collapsed="false">
      <c r="A50" s="0" t="n">
        <v>49</v>
      </c>
      <c r="B50" s="0" t="s">
        <v>171</v>
      </c>
      <c r="C50" s="0" t="s">
        <v>156</v>
      </c>
      <c r="D50" s="0" t="s">
        <v>172</v>
      </c>
      <c r="E50" s="0" t="s">
        <v>49</v>
      </c>
      <c r="F50" s="0" t="s">
        <v>13</v>
      </c>
      <c r="G50" s="0" t="s">
        <v>28</v>
      </c>
      <c r="H50" s="0" t="n">
        <v>3</v>
      </c>
    </row>
    <row r="51" customFormat="false" ht="15" hidden="false" customHeight="false" outlineLevel="0" collapsed="false">
      <c r="A51" s="0" t="n">
        <v>50</v>
      </c>
      <c r="B51" s="0" t="s">
        <v>173</v>
      </c>
      <c r="C51" s="0" t="s">
        <v>156</v>
      </c>
      <c r="D51" s="0" t="s">
        <v>174</v>
      </c>
      <c r="E51" s="0" t="s">
        <v>175</v>
      </c>
      <c r="F51" s="0" t="s">
        <v>13</v>
      </c>
      <c r="G51" s="0" t="s">
        <v>18</v>
      </c>
      <c r="H51" s="0" t="n">
        <v>5</v>
      </c>
    </row>
    <row r="52" customFormat="false" ht="15" hidden="false" customHeight="false" outlineLevel="0" collapsed="false">
      <c r="A52" s="0" t="n">
        <v>51</v>
      </c>
      <c r="B52" s="0" t="s">
        <v>176</v>
      </c>
      <c r="C52" s="0" t="s">
        <v>156</v>
      </c>
      <c r="D52" s="0" t="s">
        <v>177</v>
      </c>
      <c r="E52" s="0" t="s">
        <v>178</v>
      </c>
      <c r="F52" s="0" t="s">
        <v>13</v>
      </c>
      <c r="G52" s="0" t="s">
        <v>28</v>
      </c>
      <c r="H52" s="0" t="n">
        <v>4</v>
      </c>
    </row>
    <row r="53" customFormat="false" ht="15" hidden="false" customHeight="false" outlineLevel="0" collapsed="false">
      <c r="A53" s="0" t="n">
        <v>52</v>
      </c>
      <c r="B53" s="0" t="s">
        <v>179</v>
      </c>
      <c r="C53" s="0" t="s">
        <v>180</v>
      </c>
      <c r="D53" s="0" t="s">
        <v>181</v>
      </c>
      <c r="E53" s="0" t="s">
        <v>182</v>
      </c>
      <c r="F53" s="0" t="s">
        <v>183</v>
      </c>
      <c r="G53" s="0" t="s">
        <v>18</v>
      </c>
      <c r="H53" s="0" t="n">
        <v>7</v>
      </c>
    </row>
    <row r="54" customFormat="false" ht="15" hidden="false" customHeight="false" outlineLevel="0" collapsed="false">
      <c r="A54" s="0" t="n">
        <v>53</v>
      </c>
      <c r="B54" s="0" t="s">
        <v>184</v>
      </c>
      <c r="C54" s="0" t="s">
        <v>180</v>
      </c>
      <c r="D54" s="0" t="s">
        <v>185</v>
      </c>
      <c r="E54" s="0" t="s">
        <v>186</v>
      </c>
      <c r="F54" s="0" t="s">
        <v>13</v>
      </c>
      <c r="G54" s="0" t="s">
        <v>28</v>
      </c>
      <c r="H54" s="0" t="n">
        <v>4</v>
      </c>
    </row>
    <row r="55" customFormat="false" ht="15" hidden="false" customHeight="false" outlineLevel="0" collapsed="false">
      <c r="A55" s="0" t="n">
        <v>54</v>
      </c>
      <c r="B55" s="0" t="s">
        <v>187</v>
      </c>
      <c r="C55" s="0" t="s">
        <v>180</v>
      </c>
      <c r="D55" s="0" t="s">
        <v>188</v>
      </c>
      <c r="E55" s="0" t="s">
        <v>189</v>
      </c>
      <c r="F55" s="0" t="s">
        <v>13</v>
      </c>
      <c r="G55" s="0" t="s">
        <v>28</v>
      </c>
      <c r="H55" s="0" t="n">
        <v>6</v>
      </c>
    </row>
    <row r="56" customFormat="false" ht="15" hidden="false" customHeight="false" outlineLevel="0" collapsed="false">
      <c r="A56" s="0" t="n">
        <v>55</v>
      </c>
      <c r="B56" s="0" t="s">
        <v>190</v>
      </c>
      <c r="C56" s="0" t="s">
        <v>180</v>
      </c>
      <c r="D56" s="0" t="s">
        <v>191</v>
      </c>
      <c r="E56" s="0" t="s">
        <v>192</v>
      </c>
      <c r="F56" s="0" t="s">
        <v>13</v>
      </c>
      <c r="G56" s="0" t="s">
        <v>28</v>
      </c>
      <c r="H56" s="0" t="n">
        <v>4</v>
      </c>
    </row>
    <row r="57" customFormat="false" ht="15" hidden="false" customHeight="false" outlineLevel="0" collapsed="false">
      <c r="A57" s="0" t="n">
        <v>56</v>
      </c>
      <c r="B57" s="0" t="s">
        <v>193</v>
      </c>
      <c r="C57" s="0" t="s">
        <v>180</v>
      </c>
      <c r="D57" s="0" t="s">
        <v>194</v>
      </c>
      <c r="E57" s="0" t="s">
        <v>195</v>
      </c>
      <c r="F57" s="0" t="s">
        <v>13</v>
      </c>
      <c r="G57" s="0" t="s">
        <v>28</v>
      </c>
      <c r="H57" s="0" t="n">
        <v>5</v>
      </c>
    </row>
    <row r="58" customFormat="false" ht="15" hidden="false" customHeight="false" outlineLevel="0" collapsed="false">
      <c r="A58" s="0" t="n">
        <v>57</v>
      </c>
      <c r="B58" s="0" t="s">
        <v>196</v>
      </c>
      <c r="C58" s="0" t="s">
        <v>180</v>
      </c>
      <c r="D58" s="0" t="s">
        <v>197</v>
      </c>
      <c r="E58" s="0" t="s">
        <v>198</v>
      </c>
      <c r="F58" s="0" t="s">
        <v>13</v>
      </c>
      <c r="G58" s="0" t="s">
        <v>18</v>
      </c>
      <c r="H58" s="0" t="n">
        <v>6</v>
      </c>
    </row>
    <row r="59" customFormat="false" ht="15" hidden="false" customHeight="false" outlineLevel="0" collapsed="false">
      <c r="A59" s="0" t="n">
        <v>58</v>
      </c>
      <c r="B59" s="0" t="s">
        <v>199</v>
      </c>
      <c r="C59" s="0" t="s">
        <v>180</v>
      </c>
      <c r="D59" s="0" t="s">
        <v>200</v>
      </c>
      <c r="E59" s="0" t="s">
        <v>201</v>
      </c>
      <c r="F59" s="0" t="s">
        <v>13</v>
      </c>
      <c r="G59" s="0" t="s">
        <v>28</v>
      </c>
      <c r="H59" s="0" t="n">
        <v>4</v>
      </c>
    </row>
    <row r="60" customFormat="false" ht="15" hidden="false" customHeight="false" outlineLevel="0" collapsed="false">
      <c r="A60" s="0" t="n">
        <v>59</v>
      </c>
      <c r="B60" s="0" t="s">
        <v>202</v>
      </c>
      <c r="C60" s="0" t="s">
        <v>180</v>
      </c>
      <c r="D60" s="0" t="s">
        <v>203</v>
      </c>
      <c r="E60" s="0" t="s">
        <v>204</v>
      </c>
      <c r="F60" s="0" t="s">
        <v>13</v>
      </c>
      <c r="G60" s="0" t="s">
        <v>18</v>
      </c>
      <c r="H60" s="0" t="n">
        <v>5</v>
      </c>
    </row>
    <row r="61" customFormat="false" ht="15" hidden="false" customHeight="false" outlineLevel="0" collapsed="false">
      <c r="A61" s="0" t="n">
        <v>60</v>
      </c>
      <c r="B61" s="0" t="s">
        <v>205</v>
      </c>
      <c r="C61" s="0" t="s">
        <v>180</v>
      </c>
      <c r="D61" s="0" t="s">
        <v>206</v>
      </c>
      <c r="E61" s="0" t="s">
        <v>207</v>
      </c>
      <c r="F61" s="0" t="s">
        <v>13</v>
      </c>
      <c r="G61" s="0" t="s">
        <v>14</v>
      </c>
      <c r="H61" s="0" t="n">
        <v>5</v>
      </c>
    </row>
    <row r="62" customFormat="false" ht="15" hidden="false" customHeight="false" outlineLevel="0" collapsed="false">
      <c r="A62" s="0" t="n">
        <v>61</v>
      </c>
      <c r="B62" s="0" t="s">
        <v>208</v>
      </c>
      <c r="C62" s="0" t="s">
        <v>209</v>
      </c>
      <c r="D62" s="0" t="s">
        <v>210</v>
      </c>
      <c r="E62" s="0" t="s">
        <v>211</v>
      </c>
      <c r="F62" s="0" t="s">
        <v>13</v>
      </c>
      <c r="G62" s="0" t="s">
        <v>18</v>
      </c>
      <c r="H62" s="0" t="n">
        <v>4</v>
      </c>
    </row>
    <row r="63" customFormat="false" ht="15" hidden="false" customHeight="false" outlineLevel="0" collapsed="false">
      <c r="A63" s="0" t="n">
        <v>62</v>
      </c>
      <c r="B63" s="0" t="s">
        <v>212</v>
      </c>
      <c r="C63" s="0" t="s">
        <v>209</v>
      </c>
      <c r="D63" s="0" t="s">
        <v>213</v>
      </c>
      <c r="E63" s="0" t="s">
        <v>214</v>
      </c>
      <c r="F63" s="0" t="s">
        <v>13</v>
      </c>
      <c r="G63" s="0" t="s">
        <v>28</v>
      </c>
      <c r="H63" s="0" t="n">
        <v>4</v>
      </c>
    </row>
    <row r="64" customFormat="false" ht="15" hidden="false" customHeight="false" outlineLevel="0" collapsed="false">
      <c r="A64" s="0" t="n">
        <v>63</v>
      </c>
      <c r="B64" s="0" t="s">
        <v>215</v>
      </c>
      <c r="C64" s="0" t="s">
        <v>209</v>
      </c>
      <c r="D64" s="0" t="s">
        <v>216</v>
      </c>
      <c r="E64" s="0" t="s">
        <v>217</v>
      </c>
      <c r="F64" s="0" t="s">
        <v>13</v>
      </c>
      <c r="G64" s="0" t="s">
        <v>14</v>
      </c>
      <c r="H64" s="0" t="n">
        <v>4</v>
      </c>
    </row>
    <row r="65" customFormat="false" ht="15" hidden="false" customHeight="false" outlineLevel="0" collapsed="false">
      <c r="A65" s="0" t="n">
        <v>64</v>
      </c>
      <c r="B65" s="0" t="s">
        <v>218</v>
      </c>
      <c r="C65" s="0" t="s">
        <v>209</v>
      </c>
      <c r="D65" s="0" t="s">
        <v>219</v>
      </c>
      <c r="E65" s="0" t="s">
        <v>220</v>
      </c>
      <c r="F65" s="0" t="s">
        <v>13</v>
      </c>
      <c r="G65" s="0" t="s">
        <v>28</v>
      </c>
      <c r="H65" s="0" t="n">
        <v>6</v>
      </c>
    </row>
    <row r="66" customFormat="false" ht="15" hidden="false" customHeight="false" outlineLevel="0" collapsed="false">
      <c r="A66" s="0" t="n">
        <v>65</v>
      </c>
      <c r="B66" s="0" t="s">
        <v>221</v>
      </c>
      <c r="C66" s="0" t="s">
        <v>209</v>
      </c>
      <c r="D66" s="0" t="s">
        <v>222</v>
      </c>
      <c r="E66" s="0" t="s">
        <v>223</v>
      </c>
      <c r="F66" s="0" t="s">
        <v>13</v>
      </c>
      <c r="G66" s="0" t="s">
        <v>18</v>
      </c>
      <c r="H66" s="0" t="n">
        <v>5</v>
      </c>
    </row>
    <row r="67" customFormat="false" ht="15" hidden="false" customHeight="false" outlineLevel="0" collapsed="false">
      <c r="A67" s="0" t="n">
        <v>66</v>
      </c>
      <c r="B67" s="0" t="s">
        <v>224</v>
      </c>
      <c r="C67" s="0" t="s">
        <v>209</v>
      </c>
      <c r="D67" s="0" t="s">
        <v>225</v>
      </c>
      <c r="E67" s="0" t="s">
        <v>226</v>
      </c>
      <c r="F67" s="0" t="s">
        <v>13</v>
      </c>
      <c r="G67" s="0" t="s">
        <v>28</v>
      </c>
      <c r="H67" s="0" t="n">
        <v>4</v>
      </c>
    </row>
    <row r="68" customFormat="false" ht="15" hidden="false" customHeight="false" outlineLevel="0" collapsed="false">
      <c r="A68" s="0" t="n">
        <v>67</v>
      </c>
      <c r="B68" s="0" t="s">
        <v>227</v>
      </c>
      <c r="C68" s="0" t="s">
        <v>209</v>
      </c>
      <c r="D68" s="0" t="s">
        <v>228</v>
      </c>
      <c r="E68" s="0" t="s">
        <v>229</v>
      </c>
      <c r="F68" s="0" t="s">
        <v>13</v>
      </c>
      <c r="G68" s="0" t="s">
        <v>14</v>
      </c>
      <c r="H68" s="0" t="n">
        <v>5</v>
      </c>
    </row>
    <row r="69" customFormat="false" ht="15" hidden="false" customHeight="false" outlineLevel="0" collapsed="false">
      <c r="A69" s="0" t="n">
        <v>68</v>
      </c>
      <c r="B69" s="0" t="s">
        <v>230</v>
      </c>
      <c r="C69" s="0" t="s">
        <v>209</v>
      </c>
      <c r="D69" s="0" t="s">
        <v>231</v>
      </c>
      <c r="E69" s="0" t="s">
        <v>232</v>
      </c>
      <c r="F69" s="0" t="s">
        <v>13</v>
      </c>
      <c r="G69" s="0" t="s">
        <v>28</v>
      </c>
      <c r="H69" s="0" t="n">
        <v>3</v>
      </c>
    </row>
    <row r="70" customFormat="false" ht="15" hidden="false" customHeight="false" outlineLevel="0" collapsed="false">
      <c r="A70" s="0" t="n">
        <v>69</v>
      </c>
      <c r="B70" s="0" t="s">
        <v>233</v>
      </c>
      <c r="C70" s="0" t="s">
        <v>209</v>
      </c>
      <c r="D70" s="0" t="s">
        <v>234</v>
      </c>
      <c r="E70" s="0" t="s">
        <v>235</v>
      </c>
      <c r="F70" s="0" t="s">
        <v>13</v>
      </c>
      <c r="G70" s="0" t="s">
        <v>14</v>
      </c>
      <c r="H70" s="0" t="n">
        <v>5</v>
      </c>
    </row>
    <row r="71" customFormat="false" ht="15" hidden="false" customHeight="false" outlineLevel="0" collapsed="false">
      <c r="A71" s="0" t="n">
        <v>70</v>
      </c>
      <c r="B71" s="0" t="s">
        <v>236</v>
      </c>
      <c r="C71" s="0" t="s">
        <v>237</v>
      </c>
      <c r="D71" s="0" t="s">
        <v>238</v>
      </c>
      <c r="E71" s="0" t="s">
        <v>239</v>
      </c>
      <c r="F71" s="0" t="s">
        <v>13</v>
      </c>
      <c r="G71" s="0" t="s">
        <v>14</v>
      </c>
      <c r="H71" s="0" t="n">
        <v>7</v>
      </c>
    </row>
    <row r="72" customFormat="false" ht="15" hidden="false" customHeight="false" outlineLevel="0" collapsed="false">
      <c r="A72" s="0" t="n">
        <v>71</v>
      </c>
      <c r="B72" s="0" t="s">
        <v>240</v>
      </c>
      <c r="C72" s="0" t="s">
        <v>237</v>
      </c>
      <c r="D72" s="0" t="s">
        <v>241</v>
      </c>
      <c r="E72" s="0" t="s">
        <v>242</v>
      </c>
      <c r="F72" s="0" t="s">
        <v>13</v>
      </c>
      <c r="G72" s="0" t="s">
        <v>28</v>
      </c>
      <c r="H72" s="0" t="n">
        <v>4</v>
      </c>
    </row>
    <row r="73" customFormat="false" ht="15" hidden="false" customHeight="false" outlineLevel="0" collapsed="false">
      <c r="A73" s="0" t="n">
        <v>72</v>
      </c>
      <c r="B73" s="0" t="s">
        <v>243</v>
      </c>
      <c r="C73" s="0" t="s">
        <v>237</v>
      </c>
      <c r="D73" s="0" t="s">
        <v>244</v>
      </c>
      <c r="E73" s="0" t="s">
        <v>245</v>
      </c>
      <c r="F73" s="0" t="s">
        <v>13</v>
      </c>
      <c r="G73" s="0" t="s">
        <v>18</v>
      </c>
      <c r="H73" s="0" t="n">
        <v>6</v>
      </c>
    </row>
    <row r="74" customFormat="false" ht="15" hidden="false" customHeight="false" outlineLevel="0" collapsed="false">
      <c r="A74" s="0" t="n">
        <v>73</v>
      </c>
      <c r="B74" s="0" t="s">
        <v>246</v>
      </c>
      <c r="C74" s="0" t="s">
        <v>237</v>
      </c>
      <c r="D74" s="0" t="s">
        <v>247</v>
      </c>
      <c r="E74" s="0" t="s">
        <v>248</v>
      </c>
      <c r="F74" s="0" t="s">
        <v>13</v>
      </c>
      <c r="G74" s="0" t="s">
        <v>18</v>
      </c>
      <c r="H74" s="0" t="n">
        <v>5</v>
      </c>
    </row>
    <row r="75" customFormat="false" ht="15" hidden="false" customHeight="false" outlineLevel="0" collapsed="false">
      <c r="A75" s="0" t="n">
        <v>74</v>
      </c>
      <c r="B75" s="0" t="s">
        <v>249</v>
      </c>
      <c r="C75" s="0" t="s">
        <v>237</v>
      </c>
      <c r="D75" s="0" t="s">
        <v>250</v>
      </c>
      <c r="E75" s="0" t="s">
        <v>251</v>
      </c>
      <c r="F75" s="0" t="s">
        <v>13</v>
      </c>
      <c r="G75" s="0" t="s">
        <v>14</v>
      </c>
      <c r="H75" s="0" t="n">
        <v>9</v>
      </c>
    </row>
    <row r="76" customFormat="false" ht="15" hidden="false" customHeight="false" outlineLevel="0" collapsed="false">
      <c r="A76" s="0" t="n">
        <v>75</v>
      </c>
      <c r="B76" s="0" t="s">
        <v>252</v>
      </c>
      <c r="C76" s="0" t="s">
        <v>237</v>
      </c>
      <c r="D76" s="0" t="s">
        <v>253</v>
      </c>
      <c r="E76" s="0" t="s">
        <v>254</v>
      </c>
      <c r="F76" s="0" t="s">
        <v>13</v>
      </c>
      <c r="G76" s="0" t="s">
        <v>28</v>
      </c>
      <c r="H76" s="0" t="n">
        <v>4</v>
      </c>
    </row>
    <row r="77" customFormat="false" ht="15" hidden="false" customHeight="false" outlineLevel="0" collapsed="false">
      <c r="A77" s="0" t="n">
        <v>76</v>
      </c>
      <c r="B77" s="0" t="s">
        <v>255</v>
      </c>
      <c r="C77" s="0" t="s">
        <v>256</v>
      </c>
      <c r="D77" s="0" t="s">
        <v>257</v>
      </c>
      <c r="E77" s="0" t="s">
        <v>258</v>
      </c>
      <c r="F77" s="0" t="s">
        <v>13</v>
      </c>
      <c r="G77" s="0" t="s">
        <v>28</v>
      </c>
      <c r="H77" s="0" t="n">
        <v>5</v>
      </c>
    </row>
    <row r="78" customFormat="false" ht="15" hidden="false" customHeight="false" outlineLevel="0" collapsed="false">
      <c r="A78" s="0" t="n">
        <v>77</v>
      </c>
      <c r="B78" s="0" t="s">
        <v>259</v>
      </c>
      <c r="C78" s="0" t="s">
        <v>256</v>
      </c>
      <c r="D78" s="0" t="s">
        <v>260</v>
      </c>
      <c r="E78" s="0" t="s">
        <v>261</v>
      </c>
      <c r="F78" s="0" t="s">
        <v>13</v>
      </c>
      <c r="G78" s="0" t="s">
        <v>18</v>
      </c>
      <c r="H78" s="0" t="n">
        <v>6</v>
      </c>
    </row>
    <row r="79" customFormat="false" ht="15" hidden="false" customHeight="false" outlineLevel="0" collapsed="false">
      <c r="A79" s="0" t="n">
        <v>78</v>
      </c>
      <c r="B79" s="0" t="s">
        <v>262</v>
      </c>
      <c r="C79" s="0" t="s">
        <v>256</v>
      </c>
      <c r="D79" s="0" t="s">
        <v>263</v>
      </c>
      <c r="E79" s="0" t="s">
        <v>264</v>
      </c>
      <c r="F79" s="0" t="s">
        <v>13</v>
      </c>
      <c r="G79" s="0" t="s">
        <v>18</v>
      </c>
      <c r="H79" s="0" t="n">
        <v>4</v>
      </c>
    </row>
    <row r="80" customFormat="false" ht="15" hidden="false" customHeight="false" outlineLevel="0" collapsed="false">
      <c r="A80" s="0" t="n">
        <v>79</v>
      </c>
      <c r="B80" s="0" t="s">
        <v>265</v>
      </c>
      <c r="C80" s="0" t="s">
        <v>256</v>
      </c>
      <c r="D80" s="0" t="s">
        <v>266</v>
      </c>
      <c r="E80" s="0" t="s">
        <v>267</v>
      </c>
      <c r="F80" s="0" t="s">
        <v>13</v>
      </c>
      <c r="G80" s="0" t="s">
        <v>28</v>
      </c>
      <c r="H80" s="0" t="n">
        <v>3</v>
      </c>
    </row>
    <row r="81" customFormat="false" ht="15" hidden="false" customHeight="false" outlineLevel="0" collapsed="false">
      <c r="A81" s="0" t="n">
        <v>80</v>
      </c>
      <c r="B81" s="0" t="s">
        <v>268</v>
      </c>
      <c r="C81" s="0" t="s">
        <v>256</v>
      </c>
      <c r="D81" s="0" t="s">
        <v>269</v>
      </c>
      <c r="E81" s="0" t="s">
        <v>270</v>
      </c>
      <c r="F81" s="0" t="s">
        <v>13</v>
      </c>
      <c r="G81" s="0" t="s">
        <v>14</v>
      </c>
      <c r="H81" s="0" t="n">
        <v>6</v>
      </c>
    </row>
    <row r="82" customFormat="false" ht="15" hidden="false" customHeight="false" outlineLevel="0" collapsed="false">
      <c r="A82" s="0" t="n">
        <v>81</v>
      </c>
      <c r="B82" s="0" t="s">
        <v>271</v>
      </c>
      <c r="C82" s="0" t="s">
        <v>256</v>
      </c>
      <c r="D82" s="0" t="s">
        <v>272</v>
      </c>
      <c r="E82" s="0" t="s">
        <v>273</v>
      </c>
      <c r="F82" s="0" t="s">
        <v>13</v>
      </c>
      <c r="G82" s="0" t="s">
        <v>28</v>
      </c>
      <c r="H82" s="0" t="n">
        <v>3</v>
      </c>
    </row>
    <row r="83" customFormat="false" ht="15" hidden="false" customHeight="false" outlineLevel="0" collapsed="false">
      <c r="A83" s="0" t="n">
        <v>82</v>
      </c>
      <c r="B83" s="0" t="s">
        <v>274</v>
      </c>
      <c r="C83" s="0" t="s">
        <v>256</v>
      </c>
      <c r="D83" s="0" t="s">
        <v>275</v>
      </c>
      <c r="E83" s="0" t="s">
        <v>242</v>
      </c>
      <c r="F83" s="0" t="s">
        <v>13</v>
      </c>
      <c r="G83" s="0" t="s">
        <v>18</v>
      </c>
      <c r="H83" s="0" t="n">
        <v>5</v>
      </c>
    </row>
    <row r="84" customFormat="false" ht="15" hidden="false" customHeight="false" outlineLevel="0" collapsed="false">
      <c r="A84" s="0" t="n">
        <v>83</v>
      </c>
      <c r="B84" s="0" t="s">
        <v>276</v>
      </c>
      <c r="C84" s="0" t="s">
        <v>256</v>
      </c>
      <c r="D84" s="0" t="s">
        <v>277</v>
      </c>
      <c r="E84" s="0" t="s">
        <v>278</v>
      </c>
      <c r="F84" s="0" t="s">
        <v>13</v>
      </c>
      <c r="G84" s="0" t="s">
        <v>18</v>
      </c>
      <c r="H84" s="0" t="n">
        <v>6</v>
      </c>
    </row>
    <row r="85" customFormat="false" ht="15" hidden="false" customHeight="false" outlineLevel="0" collapsed="false">
      <c r="A85" s="0" t="n">
        <v>84</v>
      </c>
      <c r="B85" s="0" t="s">
        <v>279</v>
      </c>
      <c r="C85" s="0" t="s">
        <v>280</v>
      </c>
      <c r="D85" s="0" t="s">
        <v>281</v>
      </c>
      <c r="E85" s="0" t="s">
        <v>282</v>
      </c>
      <c r="F85" s="0" t="s">
        <v>13</v>
      </c>
      <c r="G85" s="0" t="s">
        <v>28</v>
      </c>
      <c r="H85" s="0" t="n">
        <v>7</v>
      </c>
    </row>
    <row r="86" customFormat="false" ht="15" hidden="false" customHeight="false" outlineLevel="0" collapsed="false">
      <c r="A86" s="0" t="n">
        <v>85</v>
      </c>
      <c r="B86" s="0" t="s">
        <v>283</v>
      </c>
      <c r="C86" s="0" t="s">
        <v>280</v>
      </c>
      <c r="D86" s="0" t="s">
        <v>284</v>
      </c>
      <c r="E86" s="0" t="s">
        <v>285</v>
      </c>
      <c r="F86" s="0" t="s">
        <v>13</v>
      </c>
      <c r="G86" s="0" t="s">
        <v>28</v>
      </c>
      <c r="H86" s="0" t="n">
        <v>2</v>
      </c>
    </row>
    <row r="87" customFormat="false" ht="15" hidden="false" customHeight="false" outlineLevel="0" collapsed="false">
      <c r="A87" s="0" t="n">
        <v>86</v>
      </c>
      <c r="B87" s="0" t="s">
        <v>286</v>
      </c>
      <c r="C87" s="0" t="s">
        <v>280</v>
      </c>
      <c r="D87" s="0" t="s">
        <v>287</v>
      </c>
      <c r="E87" s="0" t="s">
        <v>288</v>
      </c>
      <c r="F87" s="0" t="s">
        <v>13</v>
      </c>
      <c r="G87" s="0" t="s">
        <v>28</v>
      </c>
      <c r="H87" s="0" t="n">
        <v>5</v>
      </c>
    </row>
    <row r="88" customFormat="false" ht="15" hidden="false" customHeight="false" outlineLevel="0" collapsed="false">
      <c r="A88" s="0" t="n">
        <v>87</v>
      </c>
      <c r="B88" s="0" t="s">
        <v>289</v>
      </c>
      <c r="C88" s="0" t="s">
        <v>280</v>
      </c>
      <c r="D88" s="0" t="s">
        <v>290</v>
      </c>
      <c r="E88" s="0" t="s">
        <v>291</v>
      </c>
      <c r="F88" s="0" t="s">
        <v>13</v>
      </c>
      <c r="G88" s="0" t="s">
        <v>18</v>
      </c>
      <c r="H88" s="0" t="n">
        <v>5</v>
      </c>
    </row>
    <row r="89" customFormat="false" ht="15" hidden="false" customHeight="false" outlineLevel="0" collapsed="false">
      <c r="A89" s="0" t="n">
        <v>88</v>
      </c>
      <c r="B89" s="0" t="s">
        <v>292</v>
      </c>
      <c r="C89" s="0" t="s">
        <v>293</v>
      </c>
      <c r="D89" s="0" t="s">
        <v>294</v>
      </c>
      <c r="E89" s="0" t="s">
        <v>278</v>
      </c>
      <c r="F89" s="0" t="s">
        <v>13</v>
      </c>
      <c r="G89" s="0" t="s">
        <v>18</v>
      </c>
      <c r="H89" s="0" t="n">
        <v>6</v>
      </c>
    </row>
    <row r="90" customFormat="false" ht="15" hidden="false" customHeight="false" outlineLevel="0" collapsed="false">
      <c r="A90" s="0" t="n">
        <v>89</v>
      </c>
      <c r="B90" s="0" t="s">
        <v>295</v>
      </c>
      <c r="C90" s="0" t="s">
        <v>293</v>
      </c>
      <c r="D90" s="0" t="s">
        <v>296</v>
      </c>
      <c r="E90" s="0" t="s">
        <v>297</v>
      </c>
      <c r="F90" s="0" t="s">
        <v>298</v>
      </c>
      <c r="G90" s="0" t="s">
        <v>14</v>
      </c>
      <c r="H90" s="0" t="n">
        <v>4</v>
      </c>
    </row>
    <row r="91" customFormat="false" ht="15" hidden="false" customHeight="false" outlineLevel="0" collapsed="false">
      <c r="A91" s="0" t="n">
        <v>90</v>
      </c>
      <c r="B91" s="0" t="s">
        <v>299</v>
      </c>
      <c r="C91" s="0" t="s">
        <v>293</v>
      </c>
      <c r="D91" s="0" t="s">
        <v>300</v>
      </c>
      <c r="E91" s="0" t="s">
        <v>301</v>
      </c>
      <c r="F91" s="0" t="s">
        <v>13</v>
      </c>
      <c r="G91" s="0" t="s">
        <v>14</v>
      </c>
      <c r="H91" s="0" t="n">
        <v>11</v>
      </c>
    </row>
    <row r="92" customFormat="false" ht="15" hidden="false" customHeight="false" outlineLevel="0" collapsed="false">
      <c r="A92" s="0" t="n">
        <v>91</v>
      </c>
      <c r="B92" s="0" t="s">
        <v>302</v>
      </c>
      <c r="C92" s="0" t="s">
        <v>293</v>
      </c>
      <c r="D92" s="0" t="s">
        <v>303</v>
      </c>
      <c r="E92" s="0" t="s">
        <v>304</v>
      </c>
      <c r="F92" s="0" t="s">
        <v>13</v>
      </c>
      <c r="G92" s="0" t="s">
        <v>18</v>
      </c>
      <c r="H92" s="0" t="n">
        <v>4</v>
      </c>
    </row>
    <row r="93" customFormat="false" ht="15" hidden="false" customHeight="false" outlineLevel="0" collapsed="false">
      <c r="A93" s="0" t="n">
        <v>92</v>
      </c>
      <c r="B93" s="0" t="s">
        <v>305</v>
      </c>
      <c r="C93" s="0" t="s">
        <v>293</v>
      </c>
      <c r="D93" s="0" t="s">
        <v>306</v>
      </c>
      <c r="E93" s="0" t="s">
        <v>307</v>
      </c>
      <c r="F93" s="0" t="s">
        <v>13</v>
      </c>
      <c r="G93" s="0" t="s">
        <v>28</v>
      </c>
      <c r="H93" s="0" t="n">
        <v>5</v>
      </c>
    </row>
    <row r="94" customFormat="false" ht="15" hidden="false" customHeight="false" outlineLevel="0" collapsed="false">
      <c r="A94" s="0" t="n">
        <v>93</v>
      </c>
      <c r="B94" s="0" t="s">
        <v>308</v>
      </c>
      <c r="C94" s="0" t="s">
        <v>309</v>
      </c>
      <c r="D94" s="0" t="s">
        <v>310</v>
      </c>
      <c r="E94" s="0" t="s">
        <v>304</v>
      </c>
      <c r="F94" s="0" t="s">
        <v>13</v>
      </c>
      <c r="G94" s="0" t="s">
        <v>18</v>
      </c>
      <c r="H94" s="0" t="n">
        <v>4</v>
      </c>
    </row>
    <row r="95" customFormat="false" ht="15" hidden="false" customHeight="false" outlineLevel="0" collapsed="false">
      <c r="A95" s="0" t="n">
        <v>94</v>
      </c>
      <c r="B95" s="0" t="s">
        <v>311</v>
      </c>
      <c r="C95" s="0" t="s">
        <v>309</v>
      </c>
      <c r="D95" s="0" t="s">
        <v>312</v>
      </c>
      <c r="E95" s="0" t="s">
        <v>313</v>
      </c>
      <c r="F95" s="0" t="s">
        <v>13</v>
      </c>
      <c r="G95" s="0" t="s">
        <v>18</v>
      </c>
      <c r="H95" s="0" t="n">
        <v>3</v>
      </c>
    </row>
    <row r="96" customFormat="false" ht="15" hidden="false" customHeight="false" outlineLevel="0" collapsed="false">
      <c r="A96" s="0" t="n">
        <v>95</v>
      </c>
      <c r="B96" s="0" t="s">
        <v>314</v>
      </c>
      <c r="C96" s="0" t="s">
        <v>309</v>
      </c>
      <c r="D96" s="0" t="s">
        <v>315</v>
      </c>
      <c r="E96" s="0" t="s">
        <v>211</v>
      </c>
      <c r="F96" s="0" t="s">
        <v>316</v>
      </c>
      <c r="G96" s="0" t="s">
        <v>28</v>
      </c>
      <c r="H96" s="0" t="n">
        <v>3</v>
      </c>
    </row>
    <row r="97" customFormat="false" ht="15" hidden="false" customHeight="false" outlineLevel="0" collapsed="false">
      <c r="A97" s="0" t="n">
        <v>96</v>
      </c>
      <c r="B97" s="0" t="s">
        <v>317</v>
      </c>
      <c r="C97" s="0" t="s">
        <v>309</v>
      </c>
      <c r="D97" s="0" t="s">
        <v>318</v>
      </c>
      <c r="E97" s="0" t="s">
        <v>319</v>
      </c>
      <c r="F97" s="0" t="s">
        <v>13</v>
      </c>
      <c r="G97" s="0" t="s">
        <v>28</v>
      </c>
      <c r="H97" s="0" t="n">
        <v>3</v>
      </c>
    </row>
    <row r="98" customFormat="false" ht="15" hidden="false" customHeight="false" outlineLevel="0" collapsed="false">
      <c r="A98" s="0" t="n">
        <v>97</v>
      </c>
      <c r="B98" s="0" t="s">
        <v>320</v>
      </c>
      <c r="C98" s="0" t="s">
        <v>309</v>
      </c>
      <c r="D98" s="0" t="s">
        <v>321</v>
      </c>
      <c r="E98" s="0" t="s">
        <v>322</v>
      </c>
      <c r="F98" s="0" t="s">
        <v>13</v>
      </c>
      <c r="G98" s="0" t="s">
        <v>18</v>
      </c>
      <c r="H98" s="0" t="n">
        <v>6</v>
      </c>
    </row>
    <row r="99" customFormat="false" ht="15" hidden="false" customHeight="false" outlineLevel="0" collapsed="false">
      <c r="A99" s="0" t="n">
        <v>98</v>
      </c>
      <c r="B99" s="0" t="s">
        <v>323</v>
      </c>
      <c r="C99" s="0" t="s">
        <v>309</v>
      </c>
      <c r="D99" s="0" t="s">
        <v>324</v>
      </c>
      <c r="E99" s="0" t="s">
        <v>325</v>
      </c>
      <c r="F99" s="0" t="s">
        <v>13</v>
      </c>
      <c r="G99" s="0" t="s">
        <v>28</v>
      </c>
      <c r="H99" s="0" t="n">
        <v>5</v>
      </c>
    </row>
    <row r="100" customFormat="false" ht="15" hidden="false" customHeight="false" outlineLevel="0" collapsed="false">
      <c r="A100" s="0" t="n">
        <v>99</v>
      </c>
      <c r="B100" s="0" t="s">
        <v>326</v>
      </c>
      <c r="C100" s="0" t="s">
        <v>309</v>
      </c>
      <c r="D100" s="0" t="s">
        <v>327</v>
      </c>
      <c r="E100" s="0" t="s">
        <v>328</v>
      </c>
      <c r="F100" s="0" t="s">
        <v>13</v>
      </c>
      <c r="G100" s="0" t="s">
        <v>14</v>
      </c>
      <c r="H100" s="0" t="n">
        <v>12</v>
      </c>
    </row>
    <row r="101" customFormat="false" ht="15" hidden="false" customHeight="false" outlineLevel="0" collapsed="false">
      <c r="A101" s="0" t="n">
        <v>100</v>
      </c>
      <c r="B101" s="0" t="s">
        <v>329</v>
      </c>
      <c r="C101" s="0" t="s">
        <v>309</v>
      </c>
      <c r="D101" s="0" t="s">
        <v>330</v>
      </c>
      <c r="E101" s="0" t="s">
        <v>331</v>
      </c>
      <c r="F101" s="0" t="s">
        <v>332</v>
      </c>
      <c r="G101" s="0" t="s">
        <v>28</v>
      </c>
      <c r="H101" s="0" t="n">
        <v>4</v>
      </c>
    </row>
    <row r="102" customFormat="false" ht="15" hidden="false" customHeight="false" outlineLevel="0" collapsed="false">
      <c r="A102" s="0" t="n">
        <v>101</v>
      </c>
      <c r="B102" s="0" t="s">
        <v>333</v>
      </c>
      <c r="C102" s="0" t="s">
        <v>293</v>
      </c>
      <c r="D102" s="0" t="s">
        <v>334</v>
      </c>
      <c r="E102" s="0" t="s">
        <v>335</v>
      </c>
      <c r="F102" s="0" t="s">
        <v>13</v>
      </c>
      <c r="G102" s="0" t="s">
        <v>28</v>
      </c>
      <c r="H102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336</v>
      </c>
      <c r="D1" s="1" t="s">
        <v>337</v>
      </c>
      <c r="E1" s="1" t="s">
        <v>338</v>
      </c>
      <c r="F1" s="1" t="s">
        <v>339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340</v>
      </c>
      <c r="D2" s="0" t="s">
        <v>341</v>
      </c>
      <c r="F2" s="0" t="s">
        <v>340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342</v>
      </c>
      <c r="D3" s="0" t="s">
        <v>343</v>
      </c>
      <c r="F3" s="0" t="s">
        <v>344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345</v>
      </c>
      <c r="D4" s="0" t="s">
        <v>346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347</v>
      </c>
      <c r="D5" s="0" t="s">
        <v>348</v>
      </c>
      <c r="F5" s="0" t="s">
        <v>349</v>
      </c>
    </row>
    <row r="6" customFormat="false" ht="15" hidden="false" customHeight="false" outlineLevel="0" collapsed="false">
      <c r="A6" s="0" t="n">
        <v>5</v>
      </c>
      <c r="B6" s="0" t="s">
        <v>9</v>
      </c>
      <c r="C6" s="0" t="s">
        <v>350</v>
      </c>
      <c r="D6" s="0" t="s">
        <v>351</v>
      </c>
      <c r="F6" s="0" t="s">
        <v>352</v>
      </c>
    </row>
    <row r="7" customFormat="false" ht="15" hidden="false" customHeight="false" outlineLevel="0" collapsed="false">
      <c r="A7" s="0" t="n">
        <v>6</v>
      </c>
      <c r="B7" s="0" t="s">
        <v>15</v>
      </c>
      <c r="C7" s="0" t="s">
        <v>353</v>
      </c>
      <c r="D7" s="0" t="s">
        <v>354</v>
      </c>
      <c r="F7" s="0" t="s">
        <v>355</v>
      </c>
    </row>
    <row r="8" customFormat="false" ht="15" hidden="false" customHeight="false" outlineLevel="0" collapsed="false">
      <c r="A8" s="0" t="n">
        <v>7</v>
      </c>
      <c r="B8" s="0" t="s">
        <v>15</v>
      </c>
      <c r="C8" s="0" t="s">
        <v>356</v>
      </c>
      <c r="D8" s="0" t="s">
        <v>357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s">
        <v>358</v>
      </c>
      <c r="D9" s="0" t="s">
        <v>359</v>
      </c>
      <c r="F9" s="0" t="s">
        <v>355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s">
        <v>360</v>
      </c>
      <c r="D10" s="0" t="s">
        <v>361</v>
      </c>
    </row>
    <row r="11" customFormat="false" ht="15" hidden="false" customHeight="false" outlineLevel="0" collapsed="false">
      <c r="A11" s="0" t="n">
        <v>10</v>
      </c>
      <c r="B11" s="0" t="s">
        <v>19</v>
      </c>
      <c r="C11" s="0" t="s">
        <v>362</v>
      </c>
      <c r="D11" s="0" t="s">
        <v>361</v>
      </c>
      <c r="F11" s="0" t="s">
        <v>362</v>
      </c>
    </row>
    <row r="12" customFormat="false" ht="15" hidden="false" customHeight="false" outlineLevel="0" collapsed="false">
      <c r="A12" s="0" t="n">
        <v>11</v>
      </c>
      <c r="B12" s="0" t="s">
        <v>19</v>
      </c>
      <c r="C12" s="0" t="s">
        <v>363</v>
      </c>
      <c r="D12" s="0" t="s">
        <v>361</v>
      </c>
    </row>
    <row r="13" customFormat="false" ht="15" hidden="false" customHeight="false" outlineLevel="0" collapsed="false">
      <c r="A13" s="0" t="n">
        <v>12</v>
      </c>
      <c r="B13" s="0" t="s">
        <v>22</v>
      </c>
      <c r="C13" s="0" t="s">
        <v>364</v>
      </c>
      <c r="D13" s="0" t="s">
        <v>365</v>
      </c>
      <c r="F13" s="0" t="s">
        <v>366</v>
      </c>
    </row>
    <row r="14" customFormat="false" ht="15" hidden="false" customHeight="false" outlineLevel="0" collapsed="false">
      <c r="A14" s="0" t="n">
        <v>13</v>
      </c>
      <c r="B14" s="0" t="s">
        <v>22</v>
      </c>
      <c r="C14" s="0" t="s">
        <v>367</v>
      </c>
      <c r="D14" s="0" t="s">
        <v>368</v>
      </c>
      <c r="F14" s="0" t="s">
        <v>355</v>
      </c>
    </row>
    <row r="15" customFormat="false" ht="15" hidden="false" customHeight="false" outlineLevel="0" collapsed="false">
      <c r="A15" s="0" t="n">
        <v>14</v>
      </c>
      <c r="B15" s="0" t="s">
        <v>22</v>
      </c>
      <c r="C15" s="0" t="s">
        <v>369</v>
      </c>
      <c r="D15" s="0" t="s">
        <v>370</v>
      </c>
    </row>
    <row r="16" customFormat="false" ht="15" hidden="false" customHeight="false" outlineLevel="0" collapsed="false">
      <c r="A16" s="0" t="n">
        <v>15</v>
      </c>
      <c r="B16" s="0" t="s">
        <v>22</v>
      </c>
      <c r="C16" s="0" t="s">
        <v>371</v>
      </c>
      <c r="D16" s="0" t="s">
        <v>370</v>
      </c>
    </row>
    <row r="17" customFormat="false" ht="15" hidden="false" customHeight="false" outlineLevel="0" collapsed="false">
      <c r="A17" s="0" t="n">
        <v>16</v>
      </c>
      <c r="B17" s="0" t="s">
        <v>22</v>
      </c>
      <c r="C17" s="0" t="s">
        <v>372</v>
      </c>
      <c r="D17" s="0" t="s">
        <v>373</v>
      </c>
      <c r="F17" s="0" t="s">
        <v>374</v>
      </c>
    </row>
    <row r="18" customFormat="false" ht="15" hidden="false" customHeight="false" outlineLevel="0" collapsed="false">
      <c r="A18" s="0" t="n">
        <v>17</v>
      </c>
      <c r="B18" s="0" t="s">
        <v>22</v>
      </c>
      <c r="C18" s="0" t="s">
        <v>375</v>
      </c>
      <c r="D18" s="0" t="s">
        <v>376</v>
      </c>
      <c r="F18" s="0" t="s">
        <v>375</v>
      </c>
    </row>
    <row r="19" customFormat="false" ht="15" hidden="false" customHeight="false" outlineLevel="0" collapsed="false">
      <c r="A19" s="0" t="n">
        <v>18</v>
      </c>
      <c r="B19" s="0" t="s">
        <v>22</v>
      </c>
      <c r="C19" s="0" t="s">
        <v>377</v>
      </c>
      <c r="D19" s="0" t="s">
        <v>378</v>
      </c>
    </row>
    <row r="20" customFormat="false" ht="15" hidden="false" customHeight="false" outlineLevel="0" collapsed="false">
      <c r="A20" s="0" t="n">
        <v>19</v>
      </c>
      <c r="B20" s="0" t="s">
        <v>22</v>
      </c>
      <c r="C20" s="0" t="s">
        <v>340</v>
      </c>
      <c r="D20" s="0" t="s">
        <v>370</v>
      </c>
      <c r="F20" s="0" t="s">
        <v>340</v>
      </c>
    </row>
    <row r="21" customFormat="false" ht="15" hidden="false" customHeight="false" outlineLevel="0" collapsed="false">
      <c r="A21" s="0" t="n">
        <v>20</v>
      </c>
      <c r="B21" s="0" t="s">
        <v>22</v>
      </c>
      <c r="C21" s="0" t="s">
        <v>379</v>
      </c>
      <c r="D21" s="0" t="s">
        <v>380</v>
      </c>
    </row>
    <row r="22" customFormat="false" ht="15" hidden="false" customHeight="false" outlineLevel="0" collapsed="false">
      <c r="A22" s="0" t="n">
        <v>21</v>
      </c>
      <c r="B22" s="0" t="s">
        <v>22</v>
      </c>
      <c r="C22" s="0" t="s">
        <v>381</v>
      </c>
      <c r="D22" s="0" t="s">
        <v>382</v>
      </c>
    </row>
    <row r="23" customFormat="false" ht="15" hidden="false" customHeight="false" outlineLevel="0" collapsed="false">
      <c r="A23" s="0" t="n">
        <v>22</v>
      </c>
      <c r="B23" s="0" t="s">
        <v>22</v>
      </c>
      <c r="C23" s="0" t="s">
        <v>383</v>
      </c>
      <c r="D23" s="0" t="s">
        <v>354</v>
      </c>
      <c r="F23" s="0" t="s">
        <v>355</v>
      </c>
    </row>
    <row r="24" customFormat="false" ht="15" hidden="false" customHeight="false" outlineLevel="0" collapsed="false">
      <c r="A24" s="0" t="n">
        <v>23</v>
      </c>
      <c r="B24" s="0" t="s">
        <v>22</v>
      </c>
      <c r="C24" s="0" t="s">
        <v>384</v>
      </c>
      <c r="D24" s="0" t="s">
        <v>385</v>
      </c>
      <c r="F24" s="0" t="s">
        <v>366</v>
      </c>
    </row>
    <row r="25" customFormat="false" ht="15" hidden="false" customHeight="false" outlineLevel="0" collapsed="false">
      <c r="A25" s="0" t="n">
        <v>24</v>
      </c>
      <c r="B25" s="0" t="s">
        <v>25</v>
      </c>
      <c r="C25" s="0" t="s">
        <v>386</v>
      </c>
      <c r="D25" s="0" t="s">
        <v>361</v>
      </c>
    </row>
    <row r="26" customFormat="false" ht="15" hidden="false" customHeight="false" outlineLevel="0" collapsed="false">
      <c r="A26" s="0" t="n">
        <v>25</v>
      </c>
      <c r="B26" s="0" t="s">
        <v>25</v>
      </c>
      <c r="C26" s="0" t="s">
        <v>387</v>
      </c>
      <c r="D26" s="0" t="s">
        <v>361</v>
      </c>
    </row>
    <row r="27" customFormat="false" ht="15" hidden="false" customHeight="false" outlineLevel="0" collapsed="false">
      <c r="A27" s="0" t="n">
        <v>26</v>
      </c>
      <c r="B27" s="0" t="s">
        <v>25</v>
      </c>
      <c r="C27" s="0" t="s">
        <v>388</v>
      </c>
      <c r="D27" s="0" t="s">
        <v>361</v>
      </c>
    </row>
    <row r="28" customFormat="false" ht="15" hidden="false" customHeight="false" outlineLevel="0" collapsed="false">
      <c r="A28" s="0" t="n">
        <v>27</v>
      </c>
      <c r="B28" s="0" t="s">
        <v>25</v>
      </c>
      <c r="C28" s="0" t="s">
        <v>389</v>
      </c>
      <c r="D28" s="0" t="s">
        <v>361</v>
      </c>
      <c r="F28" s="0" t="s">
        <v>390</v>
      </c>
    </row>
    <row r="29" customFormat="false" ht="15" hidden="false" customHeight="false" outlineLevel="0" collapsed="false">
      <c r="A29" s="0" t="n">
        <v>28</v>
      </c>
      <c r="B29" s="0" t="s">
        <v>29</v>
      </c>
      <c r="C29" s="0" t="s">
        <v>391</v>
      </c>
      <c r="D29" s="0" t="s">
        <v>392</v>
      </c>
    </row>
    <row r="30" customFormat="false" ht="15" hidden="false" customHeight="false" outlineLevel="0" collapsed="false">
      <c r="A30" s="0" t="n">
        <v>29</v>
      </c>
      <c r="B30" s="0" t="s">
        <v>29</v>
      </c>
      <c r="C30" s="0" t="s">
        <v>393</v>
      </c>
      <c r="D30" s="0" t="s">
        <v>394</v>
      </c>
    </row>
    <row r="31" customFormat="false" ht="15" hidden="false" customHeight="false" outlineLevel="0" collapsed="false">
      <c r="A31" s="0" t="n">
        <v>30</v>
      </c>
      <c r="B31" s="0" t="s">
        <v>29</v>
      </c>
      <c r="C31" s="0" t="s">
        <v>353</v>
      </c>
      <c r="D31" s="0" t="s">
        <v>361</v>
      </c>
      <c r="F31" s="0" t="s">
        <v>355</v>
      </c>
    </row>
    <row r="32" customFormat="false" ht="15" hidden="false" customHeight="false" outlineLevel="0" collapsed="false">
      <c r="A32" s="0" t="n">
        <v>31</v>
      </c>
      <c r="B32" s="0" t="s">
        <v>32</v>
      </c>
      <c r="C32" s="0" t="s">
        <v>353</v>
      </c>
      <c r="D32" s="0" t="s">
        <v>354</v>
      </c>
      <c r="F32" s="0" t="s">
        <v>355</v>
      </c>
    </row>
    <row r="33" customFormat="false" ht="15" hidden="false" customHeight="false" outlineLevel="0" collapsed="false">
      <c r="A33" s="0" t="n">
        <v>32</v>
      </c>
      <c r="B33" s="0" t="s">
        <v>32</v>
      </c>
      <c r="C33" s="0" t="s">
        <v>395</v>
      </c>
      <c r="D33" s="0" t="s">
        <v>385</v>
      </c>
      <c r="F33" s="0" t="s">
        <v>366</v>
      </c>
    </row>
    <row r="34" customFormat="false" ht="15" hidden="false" customHeight="false" outlineLevel="0" collapsed="false">
      <c r="A34" s="0" t="n">
        <v>33</v>
      </c>
      <c r="B34" s="0" t="s">
        <v>32</v>
      </c>
      <c r="C34" s="0" t="s">
        <v>386</v>
      </c>
      <c r="D34" s="0" t="s">
        <v>361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s">
        <v>396</v>
      </c>
      <c r="D35" s="0" t="s">
        <v>361</v>
      </c>
      <c r="F35" s="0" t="s">
        <v>355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s">
        <v>397</v>
      </c>
      <c r="D36" s="0" t="s">
        <v>361</v>
      </c>
      <c r="F36" s="0" t="s">
        <v>366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s">
        <v>398</v>
      </c>
      <c r="D37" s="0" t="s">
        <v>361</v>
      </c>
      <c r="F37" s="0" t="s">
        <v>375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s">
        <v>399</v>
      </c>
      <c r="D38" s="0" t="s">
        <v>361</v>
      </c>
      <c r="F38" s="0" t="s">
        <v>352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s">
        <v>344</v>
      </c>
      <c r="D39" s="0" t="s">
        <v>361</v>
      </c>
      <c r="F39" s="0" t="s">
        <v>344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s">
        <v>400</v>
      </c>
      <c r="D40" s="0" t="s">
        <v>361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s">
        <v>401</v>
      </c>
      <c r="D41" s="0" t="s">
        <v>402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s">
        <v>403</v>
      </c>
      <c r="D42" s="0" t="s">
        <v>361</v>
      </c>
      <c r="F42" s="0" t="s">
        <v>404</v>
      </c>
    </row>
    <row r="43" customFormat="false" ht="15" hidden="false" customHeight="false" outlineLevel="0" collapsed="false">
      <c r="A43" s="0" t="n">
        <v>42</v>
      </c>
      <c r="B43" s="0" t="s">
        <v>41</v>
      </c>
      <c r="C43" s="0" t="s">
        <v>405</v>
      </c>
      <c r="D43" s="0" t="s">
        <v>361</v>
      </c>
      <c r="F43" s="0" t="s">
        <v>390</v>
      </c>
    </row>
    <row r="44" customFormat="false" ht="15" hidden="false" customHeight="false" outlineLevel="0" collapsed="false">
      <c r="A44" s="0" t="n">
        <v>43</v>
      </c>
      <c r="B44" s="0" t="s">
        <v>41</v>
      </c>
      <c r="C44" s="0" t="s">
        <v>362</v>
      </c>
      <c r="D44" s="0" t="s">
        <v>361</v>
      </c>
      <c r="F44" s="0" t="s">
        <v>362</v>
      </c>
    </row>
    <row r="45" customFormat="false" ht="15" hidden="false" customHeight="false" outlineLevel="0" collapsed="false">
      <c r="A45" s="0" t="n">
        <v>44</v>
      </c>
      <c r="B45" s="0" t="s">
        <v>41</v>
      </c>
      <c r="C45" s="0" t="s">
        <v>340</v>
      </c>
      <c r="D45" s="0" t="s">
        <v>361</v>
      </c>
      <c r="F45" s="0" t="s">
        <v>340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s">
        <v>374</v>
      </c>
      <c r="D46" s="0" t="s">
        <v>361</v>
      </c>
      <c r="F46" s="0" t="s">
        <v>374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s">
        <v>406</v>
      </c>
      <c r="D47" s="0" t="s">
        <v>361</v>
      </c>
      <c r="F47" s="0" t="s">
        <v>407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s">
        <v>353</v>
      </c>
      <c r="D48" s="0" t="s">
        <v>361</v>
      </c>
      <c r="F48" s="0" t="s">
        <v>355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s">
        <v>395</v>
      </c>
      <c r="D49" s="0" t="s">
        <v>361</v>
      </c>
      <c r="F49" s="0" t="s">
        <v>366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s">
        <v>408</v>
      </c>
      <c r="D50" s="0" t="s">
        <v>361</v>
      </c>
    </row>
    <row r="51" customFormat="false" ht="15" hidden="false" customHeight="false" outlineLevel="0" collapsed="false">
      <c r="A51" s="0" t="n">
        <v>50</v>
      </c>
      <c r="B51" s="0" t="s">
        <v>47</v>
      </c>
      <c r="C51" s="0" t="s">
        <v>353</v>
      </c>
      <c r="D51" s="0" t="s">
        <v>361</v>
      </c>
      <c r="F51" s="0" t="s">
        <v>355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s">
        <v>395</v>
      </c>
      <c r="D52" s="0" t="s">
        <v>361</v>
      </c>
      <c r="F52" s="0" t="s">
        <v>366</v>
      </c>
    </row>
    <row r="53" customFormat="false" ht="15" hidden="false" customHeight="false" outlineLevel="0" collapsed="false">
      <c r="A53" s="0" t="n">
        <v>52</v>
      </c>
      <c r="B53" s="0" t="s">
        <v>47</v>
      </c>
      <c r="C53" s="0" t="s">
        <v>386</v>
      </c>
      <c r="D53" s="0" t="s">
        <v>361</v>
      </c>
    </row>
    <row r="54" customFormat="false" ht="15" hidden="false" customHeight="false" outlineLevel="0" collapsed="false">
      <c r="A54" s="0" t="n">
        <v>53</v>
      </c>
      <c r="B54" s="0" t="s">
        <v>47</v>
      </c>
      <c r="C54" s="0" t="s">
        <v>409</v>
      </c>
      <c r="D54" s="0" t="s">
        <v>361</v>
      </c>
      <c r="F54" s="0" t="s">
        <v>390</v>
      </c>
    </row>
    <row r="55" customFormat="false" ht="15" hidden="false" customHeight="false" outlineLevel="0" collapsed="false">
      <c r="A55" s="0" t="n">
        <v>54</v>
      </c>
      <c r="B55" s="0" t="s">
        <v>50</v>
      </c>
      <c r="C55" s="0" t="s">
        <v>410</v>
      </c>
      <c r="D55" s="0" t="s">
        <v>411</v>
      </c>
    </row>
    <row r="56" customFormat="false" ht="15" hidden="false" customHeight="false" outlineLevel="0" collapsed="false">
      <c r="A56" s="0" t="n">
        <v>55</v>
      </c>
      <c r="B56" s="0" t="s">
        <v>50</v>
      </c>
      <c r="C56" s="0" t="s">
        <v>412</v>
      </c>
      <c r="D56" s="0" t="s">
        <v>361</v>
      </c>
      <c r="F56" s="0" t="s">
        <v>355</v>
      </c>
    </row>
    <row r="57" customFormat="false" ht="15" hidden="false" customHeight="false" outlineLevel="0" collapsed="false">
      <c r="A57" s="0" t="n">
        <v>56</v>
      </c>
      <c r="B57" s="0" t="s">
        <v>50</v>
      </c>
      <c r="C57" s="0" t="s">
        <v>413</v>
      </c>
      <c r="D57" s="0" t="s">
        <v>361</v>
      </c>
      <c r="F57" s="0" t="s">
        <v>414</v>
      </c>
    </row>
    <row r="58" customFormat="false" ht="15" hidden="false" customHeight="false" outlineLevel="0" collapsed="false">
      <c r="A58" s="0" t="n">
        <v>57</v>
      </c>
      <c r="B58" s="0" t="s">
        <v>50</v>
      </c>
      <c r="C58" s="0" t="s">
        <v>415</v>
      </c>
      <c r="D58" s="0" t="s">
        <v>361</v>
      </c>
    </row>
    <row r="59" customFormat="false" ht="15" hidden="false" customHeight="false" outlineLevel="0" collapsed="false">
      <c r="A59" s="0" t="n">
        <v>58</v>
      </c>
      <c r="B59" s="0" t="s">
        <v>50</v>
      </c>
      <c r="C59" s="0" t="s">
        <v>344</v>
      </c>
      <c r="D59" s="0" t="s">
        <v>361</v>
      </c>
      <c r="F59" s="0" t="s">
        <v>344</v>
      </c>
    </row>
    <row r="60" customFormat="false" ht="15" hidden="false" customHeight="false" outlineLevel="0" collapsed="false">
      <c r="A60" s="0" t="n">
        <v>59</v>
      </c>
      <c r="B60" s="0" t="s">
        <v>50</v>
      </c>
      <c r="C60" s="0" t="s">
        <v>416</v>
      </c>
      <c r="D60" s="0" t="s">
        <v>361</v>
      </c>
    </row>
    <row r="61" customFormat="false" ht="15" hidden="false" customHeight="false" outlineLevel="0" collapsed="false">
      <c r="A61" s="0" t="n">
        <v>60</v>
      </c>
      <c r="B61" s="0" t="s">
        <v>54</v>
      </c>
      <c r="C61" s="0" t="s">
        <v>353</v>
      </c>
      <c r="D61" s="0" t="s">
        <v>361</v>
      </c>
      <c r="F61" s="0" t="s">
        <v>355</v>
      </c>
    </row>
    <row r="62" customFormat="false" ht="15" hidden="false" customHeight="false" outlineLevel="0" collapsed="false">
      <c r="A62" s="0" t="n">
        <v>61</v>
      </c>
      <c r="B62" s="0" t="s">
        <v>54</v>
      </c>
      <c r="C62" s="0" t="s">
        <v>397</v>
      </c>
      <c r="D62" s="0" t="s">
        <v>361</v>
      </c>
      <c r="F62" s="0" t="s">
        <v>366</v>
      </c>
    </row>
    <row r="63" customFormat="false" ht="15" hidden="false" customHeight="false" outlineLevel="0" collapsed="false">
      <c r="A63" s="0" t="n">
        <v>62</v>
      </c>
      <c r="B63" s="0" t="s">
        <v>54</v>
      </c>
      <c r="C63" s="0" t="s">
        <v>417</v>
      </c>
      <c r="D63" s="0" t="s">
        <v>361</v>
      </c>
      <c r="F63" s="0" t="s">
        <v>417</v>
      </c>
    </row>
    <row r="64" customFormat="false" ht="15" hidden="false" customHeight="false" outlineLevel="0" collapsed="false">
      <c r="A64" s="0" t="n">
        <v>63</v>
      </c>
      <c r="B64" s="0" t="s">
        <v>54</v>
      </c>
      <c r="C64" s="0" t="s">
        <v>375</v>
      </c>
      <c r="D64" s="0" t="s">
        <v>361</v>
      </c>
      <c r="F64" s="0" t="s">
        <v>375</v>
      </c>
    </row>
    <row r="65" customFormat="false" ht="15" hidden="false" customHeight="false" outlineLevel="0" collapsed="false">
      <c r="A65" s="0" t="n">
        <v>64</v>
      </c>
      <c r="B65" s="0" t="s">
        <v>54</v>
      </c>
      <c r="C65" s="0" t="s">
        <v>409</v>
      </c>
      <c r="D65" s="0" t="s">
        <v>361</v>
      </c>
      <c r="F65" s="0" t="s">
        <v>390</v>
      </c>
    </row>
    <row r="66" customFormat="false" ht="15" hidden="false" customHeight="false" outlineLevel="0" collapsed="false">
      <c r="A66" s="0" t="n">
        <v>65</v>
      </c>
      <c r="B66" s="0" t="s">
        <v>54</v>
      </c>
      <c r="C66" s="0" t="s">
        <v>418</v>
      </c>
      <c r="D66" s="0" t="s">
        <v>361</v>
      </c>
      <c r="F66" s="0" t="s">
        <v>407</v>
      </c>
    </row>
    <row r="67" customFormat="false" ht="15" hidden="false" customHeight="false" outlineLevel="0" collapsed="false">
      <c r="A67" s="0" t="n">
        <v>66</v>
      </c>
      <c r="B67" s="0" t="s">
        <v>57</v>
      </c>
      <c r="C67" s="0" t="s">
        <v>353</v>
      </c>
      <c r="D67" s="0" t="s">
        <v>354</v>
      </c>
      <c r="F67" s="0" t="s">
        <v>355</v>
      </c>
    </row>
    <row r="68" customFormat="false" ht="15" hidden="false" customHeight="false" outlineLevel="0" collapsed="false">
      <c r="A68" s="0" t="n">
        <v>67</v>
      </c>
      <c r="B68" s="0" t="s">
        <v>57</v>
      </c>
      <c r="C68" s="0" t="s">
        <v>395</v>
      </c>
      <c r="D68" s="0" t="s">
        <v>385</v>
      </c>
      <c r="F68" s="0" t="s">
        <v>366</v>
      </c>
    </row>
    <row r="69" customFormat="false" ht="15" hidden="false" customHeight="false" outlineLevel="0" collapsed="false">
      <c r="A69" s="0" t="n">
        <v>68</v>
      </c>
      <c r="B69" s="0" t="s">
        <v>57</v>
      </c>
      <c r="C69" s="0" t="s">
        <v>419</v>
      </c>
      <c r="D69" s="0" t="s">
        <v>420</v>
      </c>
      <c r="F69" s="0" t="s">
        <v>340</v>
      </c>
    </row>
    <row r="70" customFormat="false" ht="15" hidden="false" customHeight="false" outlineLevel="0" collapsed="false">
      <c r="A70" s="0" t="n">
        <v>69</v>
      </c>
      <c r="B70" s="0" t="s">
        <v>57</v>
      </c>
      <c r="C70" s="0" t="s">
        <v>421</v>
      </c>
      <c r="D70" s="0" t="s">
        <v>422</v>
      </c>
      <c r="F70" s="0" t="s">
        <v>340</v>
      </c>
    </row>
    <row r="71" customFormat="false" ht="15" hidden="false" customHeight="false" outlineLevel="0" collapsed="false">
      <c r="A71" s="0" t="n">
        <v>70</v>
      </c>
      <c r="B71" s="0" t="s">
        <v>57</v>
      </c>
      <c r="C71" s="0" t="s">
        <v>362</v>
      </c>
      <c r="D71" s="0" t="s">
        <v>361</v>
      </c>
      <c r="F71" s="0" t="s">
        <v>362</v>
      </c>
    </row>
    <row r="72" customFormat="false" ht="15" hidden="false" customHeight="false" outlineLevel="0" collapsed="false">
      <c r="A72" s="0" t="n">
        <v>71</v>
      </c>
      <c r="B72" s="0" t="s">
        <v>61</v>
      </c>
      <c r="C72" s="0" t="s">
        <v>423</v>
      </c>
      <c r="D72" s="0" t="s">
        <v>424</v>
      </c>
      <c r="F72" s="0" t="s">
        <v>362</v>
      </c>
    </row>
    <row r="73" customFormat="false" ht="15" hidden="false" customHeight="false" outlineLevel="0" collapsed="false">
      <c r="A73" s="0" t="n">
        <v>72</v>
      </c>
      <c r="B73" s="0" t="s">
        <v>61</v>
      </c>
      <c r="C73" s="0" t="s">
        <v>340</v>
      </c>
      <c r="D73" s="0" t="s">
        <v>425</v>
      </c>
      <c r="F73" s="0" t="s">
        <v>340</v>
      </c>
    </row>
    <row r="74" customFormat="false" ht="15" hidden="false" customHeight="false" outlineLevel="0" collapsed="false">
      <c r="A74" s="0" t="n">
        <v>73</v>
      </c>
      <c r="B74" s="0" t="s">
        <v>61</v>
      </c>
      <c r="C74" s="0" t="s">
        <v>353</v>
      </c>
      <c r="D74" s="0" t="s">
        <v>361</v>
      </c>
      <c r="F74" s="0" t="s">
        <v>355</v>
      </c>
    </row>
    <row r="75" customFormat="false" ht="15" hidden="false" customHeight="false" outlineLevel="0" collapsed="false">
      <c r="A75" s="0" t="n">
        <v>74</v>
      </c>
      <c r="B75" s="0" t="s">
        <v>61</v>
      </c>
      <c r="C75" s="0" t="s">
        <v>426</v>
      </c>
      <c r="D75" s="0" t="s">
        <v>361</v>
      </c>
      <c r="F75" s="0" t="s">
        <v>366</v>
      </c>
    </row>
    <row r="76" customFormat="false" ht="15" hidden="false" customHeight="false" outlineLevel="0" collapsed="false">
      <c r="A76" s="0" t="n">
        <v>75</v>
      </c>
      <c r="B76" s="0" t="s">
        <v>61</v>
      </c>
      <c r="C76" s="0" t="s">
        <v>427</v>
      </c>
      <c r="D76" s="0" t="s">
        <v>361</v>
      </c>
      <c r="F76" s="0" t="s">
        <v>352</v>
      </c>
    </row>
    <row r="77" customFormat="false" ht="15" hidden="false" customHeight="false" outlineLevel="0" collapsed="false">
      <c r="A77" s="0" t="n">
        <v>76</v>
      </c>
      <c r="B77" s="0" t="s">
        <v>61</v>
      </c>
      <c r="C77" s="0" t="s">
        <v>428</v>
      </c>
      <c r="D77" s="0" t="s">
        <v>361</v>
      </c>
      <c r="F77" s="0" t="s">
        <v>352</v>
      </c>
    </row>
    <row r="78" customFormat="false" ht="15" hidden="false" customHeight="false" outlineLevel="0" collapsed="false">
      <c r="A78" s="0" t="n">
        <v>77</v>
      </c>
      <c r="B78" s="0" t="s">
        <v>61</v>
      </c>
      <c r="C78" s="0" t="s">
        <v>429</v>
      </c>
      <c r="D78" s="0" t="s">
        <v>361</v>
      </c>
      <c r="F78" s="0" t="s">
        <v>375</v>
      </c>
    </row>
    <row r="79" customFormat="false" ht="15" hidden="false" customHeight="false" outlineLevel="0" collapsed="false">
      <c r="A79" s="0" t="n">
        <v>78</v>
      </c>
      <c r="B79" s="0" t="s">
        <v>61</v>
      </c>
      <c r="C79" s="0" t="s">
        <v>430</v>
      </c>
      <c r="D79" s="0" t="s">
        <v>361</v>
      </c>
      <c r="F79" s="0" t="s">
        <v>431</v>
      </c>
    </row>
    <row r="80" customFormat="false" ht="15" hidden="false" customHeight="false" outlineLevel="0" collapsed="false">
      <c r="A80" s="0" t="n">
        <v>79</v>
      </c>
      <c r="B80" s="0" t="s">
        <v>61</v>
      </c>
      <c r="C80" s="0" t="s">
        <v>432</v>
      </c>
      <c r="D80" s="0" t="s">
        <v>361</v>
      </c>
      <c r="F80" s="0" t="s">
        <v>390</v>
      </c>
    </row>
    <row r="81" customFormat="false" ht="15" hidden="false" customHeight="false" outlineLevel="0" collapsed="false">
      <c r="A81" s="0" t="n">
        <v>80</v>
      </c>
      <c r="B81" s="0" t="s">
        <v>61</v>
      </c>
      <c r="C81" s="0" t="s">
        <v>433</v>
      </c>
      <c r="D81" s="0" t="s">
        <v>361</v>
      </c>
    </row>
    <row r="82" customFormat="false" ht="15" hidden="false" customHeight="false" outlineLevel="0" collapsed="false">
      <c r="A82" s="0" t="n">
        <v>81</v>
      </c>
      <c r="B82" s="0" t="s">
        <v>61</v>
      </c>
      <c r="C82" s="0" t="s">
        <v>434</v>
      </c>
      <c r="D82" s="0" t="s">
        <v>361</v>
      </c>
      <c r="F82" s="0" t="s">
        <v>435</v>
      </c>
    </row>
    <row r="83" customFormat="false" ht="15" hidden="false" customHeight="false" outlineLevel="0" collapsed="false">
      <c r="A83" s="0" t="n">
        <v>82</v>
      </c>
      <c r="B83" s="0" t="s">
        <v>64</v>
      </c>
      <c r="C83" s="0" t="s">
        <v>353</v>
      </c>
      <c r="D83" s="0" t="s">
        <v>354</v>
      </c>
      <c r="F83" s="0" t="s">
        <v>355</v>
      </c>
    </row>
    <row r="84" customFormat="false" ht="15" hidden="false" customHeight="false" outlineLevel="0" collapsed="false">
      <c r="A84" s="0" t="n">
        <v>83</v>
      </c>
      <c r="B84" s="0" t="s">
        <v>64</v>
      </c>
      <c r="C84" s="0" t="s">
        <v>395</v>
      </c>
      <c r="D84" s="0" t="s">
        <v>385</v>
      </c>
      <c r="F84" s="0" t="s">
        <v>366</v>
      </c>
    </row>
    <row r="85" customFormat="false" ht="15" hidden="false" customHeight="false" outlineLevel="0" collapsed="false">
      <c r="A85" s="0" t="n">
        <v>84</v>
      </c>
      <c r="B85" s="0" t="s">
        <v>64</v>
      </c>
      <c r="C85" s="0" t="s">
        <v>375</v>
      </c>
      <c r="D85" s="0" t="s">
        <v>361</v>
      </c>
      <c r="F85" s="0" t="s">
        <v>375</v>
      </c>
    </row>
    <row r="86" customFormat="false" ht="15" hidden="false" customHeight="false" outlineLevel="0" collapsed="false">
      <c r="A86" s="0" t="n">
        <v>85</v>
      </c>
      <c r="B86" s="0" t="s">
        <v>64</v>
      </c>
      <c r="C86" s="0" t="s">
        <v>340</v>
      </c>
      <c r="D86" s="0" t="s">
        <v>361</v>
      </c>
      <c r="F86" s="0" t="s">
        <v>340</v>
      </c>
    </row>
    <row r="87" customFormat="false" ht="15" hidden="false" customHeight="false" outlineLevel="0" collapsed="false">
      <c r="A87" s="0" t="n">
        <v>86</v>
      </c>
      <c r="B87" s="0" t="s">
        <v>64</v>
      </c>
      <c r="C87" s="0" t="s">
        <v>436</v>
      </c>
      <c r="D87" s="0" t="s">
        <v>361</v>
      </c>
      <c r="F87" s="0" t="s">
        <v>431</v>
      </c>
    </row>
    <row r="88" customFormat="false" ht="15" hidden="false" customHeight="false" outlineLevel="0" collapsed="false">
      <c r="A88" s="0" t="n">
        <v>87</v>
      </c>
      <c r="B88" s="0" t="s">
        <v>67</v>
      </c>
      <c r="C88" s="0" t="s">
        <v>437</v>
      </c>
      <c r="D88" s="0" t="s">
        <v>438</v>
      </c>
      <c r="F88" s="0" t="s">
        <v>355</v>
      </c>
    </row>
    <row r="89" customFormat="false" ht="15" hidden="false" customHeight="false" outlineLevel="0" collapsed="false">
      <c r="A89" s="0" t="n">
        <v>88</v>
      </c>
      <c r="B89" s="0" t="s">
        <v>67</v>
      </c>
      <c r="C89" s="0" t="s">
        <v>439</v>
      </c>
      <c r="D89" s="0" t="s">
        <v>440</v>
      </c>
      <c r="F89" s="0" t="s">
        <v>366</v>
      </c>
    </row>
    <row r="90" customFormat="false" ht="15" hidden="false" customHeight="false" outlineLevel="0" collapsed="false">
      <c r="A90" s="0" t="n">
        <v>89</v>
      </c>
      <c r="B90" s="0" t="s">
        <v>67</v>
      </c>
      <c r="C90" s="0" t="s">
        <v>441</v>
      </c>
      <c r="D90" s="0" t="s">
        <v>442</v>
      </c>
      <c r="F90" s="0" t="s">
        <v>344</v>
      </c>
    </row>
    <row r="91" customFormat="false" ht="15" hidden="false" customHeight="false" outlineLevel="0" collapsed="false">
      <c r="A91" s="0" t="n">
        <v>90</v>
      </c>
      <c r="B91" s="0" t="s">
        <v>67</v>
      </c>
      <c r="C91" s="0" t="s">
        <v>443</v>
      </c>
      <c r="D91" s="0" t="s">
        <v>444</v>
      </c>
      <c r="F91" s="0" t="s">
        <v>375</v>
      </c>
    </row>
    <row r="92" customFormat="false" ht="15" hidden="false" customHeight="false" outlineLevel="0" collapsed="false">
      <c r="A92" s="0" t="n">
        <v>91</v>
      </c>
      <c r="B92" s="0" t="s">
        <v>70</v>
      </c>
      <c r="C92" s="0" t="s">
        <v>353</v>
      </c>
      <c r="D92" s="0" t="s">
        <v>354</v>
      </c>
      <c r="F92" s="0" t="s">
        <v>355</v>
      </c>
    </row>
    <row r="93" customFormat="false" ht="15" hidden="false" customHeight="false" outlineLevel="0" collapsed="false">
      <c r="A93" s="0" t="n">
        <v>92</v>
      </c>
      <c r="B93" s="0" t="s">
        <v>70</v>
      </c>
      <c r="C93" s="0" t="s">
        <v>395</v>
      </c>
      <c r="D93" s="0" t="s">
        <v>385</v>
      </c>
      <c r="F93" s="0" t="s">
        <v>366</v>
      </c>
    </row>
    <row r="94" customFormat="false" ht="15" hidden="false" customHeight="false" outlineLevel="0" collapsed="false">
      <c r="A94" s="0" t="n">
        <v>93</v>
      </c>
      <c r="B94" s="0" t="s">
        <v>73</v>
      </c>
      <c r="C94" s="0" t="s">
        <v>353</v>
      </c>
      <c r="D94" s="0" t="s">
        <v>354</v>
      </c>
      <c r="F94" s="0" t="s">
        <v>355</v>
      </c>
    </row>
    <row r="95" customFormat="false" ht="15" hidden="false" customHeight="false" outlineLevel="0" collapsed="false">
      <c r="A95" s="0" t="n">
        <v>94</v>
      </c>
      <c r="B95" s="0" t="s">
        <v>73</v>
      </c>
      <c r="C95" s="0" t="s">
        <v>395</v>
      </c>
      <c r="D95" s="0" t="s">
        <v>385</v>
      </c>
      <c r="F95" s="0" t="s">
        <v>366</v>
      </c>
    </row>
    <row r="96" customFormat="false" ht="15" hidden="false" customHeight="false" outlineLevel="0" collapsed="false">
      <c r="A96" s="0" t="n">
        <v>95</v>
      </c>
      <c r="B96" s="0" t="s">
        <v>73</v>
      </c>
      <c r="C96" s="0" t="s">
        <v>445</v>
      </c>
      <c r="D96" s="0" t="s">
        <v>361</v>
      </c>
    </row>
    <row r="97" customFormat="false" ht="15" hidden="false" customHeight="false" outlineLevel="0" collapsed="false">
      <c r="A97" s="0" t="n">
        <v>96</v>
      </c>
      <c r="B97" s="0" t="s">
        <v>73</v>
      </c>
      <c r="C97" s="0" t="s">
        <v>340</v>
      </c>
      <c r="D97" s="0" t="s">
        <v>361</v>
      </c>
      <c r="F97" s="0" t="s">
        <v>340</v>
      </c>
    </row>
    <row r="98" customFormat="false" ht="15" hidden="false" customHeight="false" outlineLevel="0" collapsed="false">
      <c r="A98" s="0" t="n">
        <v>97</v>
      </c>
      <c r="B98" s="0" t="s">
        <v>73</v>
      </c>
      <c r="C98" s="0" t="s">
        <v>446</v>
      </c>
      <c r="D98" s="0" t="s">
        <v>361</v>
      </c>
    </row>
    <row r="99" customFormat="false" ht="15" hidden="false" customHeight="false" outlineLevel="0" collapsed="false">
      <c r="A99" s="0" t="n">
        <v>98</v>
      </c>
      <c r="B99" s="0" t="s">
        <v>73</v>
      </c>
      <c r="C99" s="0" t="s">
        <v>344</v>
      </c>
      <c r="D99" s="0" t="s">
        <v>361</v>
      </c>
      <c r="F99" s="0" t="s">
        <v>344</v>
      </c>
    </row>
    <row r="100" customFormat="false" ht="15" hidden="false" customHeight="false" outlineLevel="0" collapsed="false">
      <c r="A100" s="0" t="n">
        <v>99</v>
      </c>
      <c r="B100" s="0" t="s">
        <v>73</v>
      </c>
      <c r="C100" s="0" t="s">
        <v>375</v>
      </c>
      <c r="D100" s="0" t="s">
        <v>361</v>
      </c>
      <c r="F100" s="0" t="s">
        <v>375</v>
      </c>
    </row>
    <row r="101" customFormat="false" ht="15" hidden="false" customHeight="false" outlineLevel="0" collapsed="false">
      <c r="A101" s="0" t="n">
        <v>100</v>
      </c>
      <c r="B101" s="0" t="s">
        <v>73</v>
      </c>
      <c r="C101" s="0" t="s">
        <v>447</v>
      </c>
      <c r="D101" s="0" t="s">
        <v>361</v>
      </c>
    </row>
    <row r="102" customFormat="false" ht="15" hidden="false" customHeight="false" outlineLevel="0" collapsed="false">
      <c r="A102" s="0" t="n">
        <v>101</v>
      </c>
      <c r="B102" s="0" t="s">
        <v>73</v>
      </c>
      <c r="C102" s="0" t="s">
        <v>448</v>
      </c>
      <c r="D102" s="0" t="s">
        <v>361</v>
      </c>
    </row>
    <row r="103" customFormat="false" ht="15" hidden="false" customHeight="false" outlineLevel="0" collapsed="false">
      <c r="A103" s="0" t="n">
        <v>102</v>
      </c>
      <c r="B103" s="0" t="s">
        <v>76</v>
      </c>
      <c r="C103" s="0" t="s">
        <v>449</v>
      </c>
      <c r="D103" s="0" t="s">
        <v>450</v>
      </c>
      <c r="F103" s="0" t="s">
        <v>362</v>
      </c>
    </row>
    <row r="104" customFormat="false" ht="15" hidden="false" customHeight="false" outlineLevel="0" collapsed="false">
      <c r="A104" s="0" t="n">
        <v>103</v>
      </c>
      <c r="B104" s="0" t="s">
        <v>76</v>
      </c>
      <c r="C104" s="0" t="s">
        <v>451</v>
      </c>
      <c r="D104" s="0" t="s">
        <v>452</v>
      </c>
      <c r="F104" s="0" t="s">
        <v>362</v>
      </c>
    </row>
    <row r="105" customFormat="false" ht="15" hidden="false" customHeight="false" outlineLevel="0" collapsed="false">
      <c r="A105" s="0" t="n">
        <v>104</v>
      </c>
      <c r="B105" s="0" t="s">
        <v>76</v>
      </c>
      <c r="C105" s="0" t="s">
        <v>453</v>
      </c>
      <c r="D105" s="0" t="s">
        <v>454</v>
      </c>
    </row>
    <row r="106" customFormat="false" ht="15" hidden="false" customHeight="false" outlineLevel="0" collapsed="false">
      <c r="A106" s="0" t="n">
        <v>105</v>
      </c>
      <c r="B106" s="0" t="s">
        <v>76</v>
      </c>
      <c r="C106" s="0" t="s">
        <v>455</v>
      </c>
      <c r="D106" s="0" t="s">
        <v>378</v>
      </c>
    </row>
    <row r="107" customFormat="false" ht="15" hidden="false" customHeight="false" outlineLevel="0" collapsed="false">
      <c r="A107" s="0" t="n">
        <v>106</v>
      </c>
      <c r="B107" s="0" t="s">
        <v>80</v>
      </c>
      <c r="C107" s="0" t="s">
        <v>456</v>
      </c>
      <c r="D107" s="0" t="s">
        <v>457</v>
      </c>
    </row>
    <row r="108" customFormat="false" ht="15" hidden="false" customHeight="false" outlineLevel="0" collapsed="false">
      <c r="A108" s="0" t="n">
        <v>107</v>
      </c>
      <c r="B108" s="0" t="s">
        <v>80</v>
      </c>
      <c r="C108" s="0" t="s">
        <v>458</v>
      </c>
      <c r="D108" s="0" t="s">
        <v>459</v>
      </c>
    </row>
    <row r="109" customFormat="false" ht="15" hidden="false" customHeight="false" outlineLevel="0" collapsed="false">
      <c r="A109" s="0" t="n">
        <v>108</v>
      </c>
      <c r="B109" s="0" t="s">
        <v>80</v>
      </c>
      <c r="C109" s="0" t="s">
        <v>460</v>
      </c>
      <c r="D109" s="0" t="s">
        <v>461</v>
      </c>
    </row>
    <row r="110" customFormat="false" ht="15" hidden="false" customHeight="false" outlineLevel="0" collapsed="false">
      <c r="A110" s="0" t="n">
        <v>109</v>
      </c>
      <c r="B110" s="0" t="s">
        <v>80</v>
      </c>
      <c r="C110" s="0" t="s">
        <v>462</v>
      </c>
      <c r="D110" s="0" t="s">
        <v>463</v>
      </c>
    </row>
    <row r="111" customFormat="false" ht="15" hidden="false" customHeight="false" outlineLevel="0" collapsed="false">
      <c r="A111" s="0" t="n">
        <v>110</v>
      </c>
      <c r="B111" s="0" t="s">
        <v>80</v>
      </c>
      <c r="C111" s="0" t="s">
        <v>464</v>
      </c>
      <c r="D111" s="0" t="s">
        <v>465</v>
      </c>
    </row>
    <row r="112" customFormat="false" ht="15" hidden="false" customHeight="false" outlineLevel="0" collapsed="false">
      <c r="A112" s="0" t="n">
        <v>111</v>
      </c>
      <c r="B112" s="0" t="s">
        <v>83</v>
      </c>
      <c r="C112" s="0" t="s">
        <v>353</v>
      </c>
      <c r="D112" s="0" t="s">
        <v>361</v>
      </c>
      <c r="F112" s="0" t="s">
        <v>355</v>
      </c>
    </row>
    <row r="113" customFormat="false" ht="15" hidden="false" customHeight="false" outlineLevel="0" collapsed="false">
      <c r="A113" s="0" t="n">
        <v>112</v>
      </c>
      <c r="B113" s="0" t="s">
        <v>83</v>
      </c>
      <c r="C113" s="0" t="s">
        <v>466</v>
      </c>
      <c r="D113" s="0" t="s">
        <v>361</v>
      </c>
    </row>
    <row r="114" customFormat="false" ht="15" hidden="false" customHeight="false" outlineLevel="0" collapsed="false">
      <c r="A114" s="0" t="n">
        <v>113</v>
      </c>
      <c r="B114" s="0" t="s">
        <v>83</v>
      </c>
      <c r="C114" s="0" t="s">
        <v>467</v>
      </c>
      <c r="D114" s="0" t="s">
        <v>361</v>
      </c>
      <c r="F114" s="0" t="s">
        <v>352</v>
      </c>
    </row>
    <row r="115" customFormat="false" ht="15" hidden="false" customHeight="false" outlineLevel="0" collapsed="false">
      <c r="A115" s="0" t="n">
        <v>114</v>
      </c>
      <c r="B115" s="0" t="s">
        <v>83</v>
      </c>
      <c r="C115" s="0" t="s">
        <v>409</v>
      </c>
      <c r="D115" s="0" t="s">
        <v>361</v>
      </c>
      <c r="F115" s="0" t="s">
        <v>390</v>
      </c>
    </row>
    <row r="116" customFormat="false" ht="15" hidden="false" customHeight="false" outlineLevel="0" collapsed="false">
      <c r="A116" s="0" t="n">
        <v>115</v>
      </c>
      <c r="B116" s="0" t="s">
        <v>86</v>
      </c>
      <c r="C116" s="0" t="s">
        <v>353</v>
      </c>
      <c r="D116" s="0" t="s">
        <v>354</v>
      </c>
      <c r="F116" s="0" t="s">
        <v>355</v>
      </c>
    </row>
    <row r="117" customFormat="false" ht="15" hidden="false" customHeight="false" outlineLevel="0" collapsed="false">
      <c r="A117" s="0" t="n">
        <v>116</v>
      </c>
      <c r="B117" s="0" t="s">
        <v>86</v>
      </c>
      <c r="C117" s="0" t="s">
        <v>395</v>
      </c>
      <c r="D117" s="0" t="s">
        <v>385</v>
      </c>
      <c r="F117" s="0" t="s">
        <v>366</v>
      </c>
    </row>
    <row r="118" customFormat="false" ht="15" hidden="false" customHeight="false" outlineLevel="0" collapsed="false">
      <c r="A118" s="0" t="n">
        <v>117</v>
      </c>
      <c r="B118" s="0" t="s">
        <v>86</v>
      </c>
      <c r="C118" s="0" t="s">
        <v>468</v>
      </c>
      <c r="D118" s="0" t="s">
        <v>361</v>
      </c>
      <c r="F118" s="0" t="s">
        <v>390</v>
      </c>
    </row>
    <row r="119" customFormat="false" ht="15" hidden="false" customHeight="false" outlineLevel="0" collapsed="false">
      <c r="A119" s="0" t="n">
        <v>118</v>
      </c>
      <c r="B119" s="0" t="s">
        <v>86</v>
      </c>
      <c r="C119" s="0" t="s">
        <v>469</v>
      </c>
      <c r="D119" s="0" t="s">
        <v>361</v>
      </c>
      <c r="F119" s="0" t="s">
        <v>366</v>
      </c>
    </row>
    <row r="120" customFormat="false" ht="15" hidden="false" customHeight="false" outlineLevel="0" collapsed="false">
      <c r="A120" s="0" t="n">
        <v>119</v>
      </c>
      <c r="B120" s="0" t="s">
        <v>86</v>
      </c>
      <c r="C120" s="0" t="s">
        <v>470</v>
      </c>
      <c r="D120" s="0" t="s">
        <v>361</v>
      </c>
      <c r="F120" s="0" t="s">
        <v>352</v>
      </c>
    </row>
    <row r="121" customFormat="false" ht="15" hidden="false" customHeight="false" outlineLevel="0" collapsed="false">
      <c r="A121" s="0" t="n">
        <v>120</v>
      </c>
      <c r="B121" s="0" t="s">
        <v>86</v>
      </c>
      <c r="C121" s="0" t="s">
        <v>471</v>
      </c>
      <c r="D121" s="0" t="s">
        <v>361</v>
      </c>
      <c r="F121" s="0" t="s">
        <v>352</v>
      </c>
    </row>
    <row r="122" customFormat="false" ht="15" hidden="false" customHeight="false" outlineLevel="0" collapsed="false">
      <c r="A122" s="0" t="n">
        <v>121</v>
      </c>
      <c r="B122" s="0" t="s">
        <v>89</v>
      </c>
      <c r="C122" s="0" t="s">
        <v>472</v>
      </c>
      <c r="D122" s="0" t="s">
        <v>473</v>
      </c>
    </row>
    <row r="123" customFormat="false" ht="15" hidden="false" customHeight="false" outlineLevel="0" collapsed="false">
      <c r="A123" s="0" t="n">
        <v>122</v>
      </c>
      <c r="B123" s="0" t="s">
        <v>89</v>
      </c>
      <c r="C123" s="0" t="s">
        <v>474</v>
      </c>
      <c r="D123" s="0" t="s">
        <v>475</v>
      </c>
      <c r="F123" s="0" t="s">
        <v>476</v>
      </c>
    </row>
    <row r="124" customFormat="false" ht="15" hidden="false" customHeight="false" outlineLevel="0" collapsed="false">
      <c r="A124" s="0" t="n">
        <v>123</v>
      </c>
      <c r="B124" s="0" t="s">
        <v>89</v>
      </c>
      <c r="C124" s="0" t="s">
        <v>477</v>
      </c>
      <c r="D124" s="0" t="s">
        <v>478</v>
      </c>
    </row>
    <row r="125" customFormat="false" ht="15" hidden="false" customHeight="false" outlineLevel="0" collapsed="false">
      <c r="A125" s="0" t="n">
        <v>124</v>
      </c>
      <c r="B125" s="0" t="s">
        <v>89</v>
      </c>
      <c r="C125" s="0" t="s">
        <v>479</v>
      </c>
      <c r="D125" s="0" t="s">
        <v>361</v>
      </c>
      <c r="F125" s="0" t="s">
        <v>366</v>
      </c>
    </row>
    <row r="126" customFormat="false" ht="15" hidden="false" customHeight="false" outlineLevel="0" collapsed="false">
      <c r="A126" s="0" t="n">
        <v>125</v>
      </c>
      <c r="B126" s="0" t="s">
        <v>89</v>
      </c>
      <c r="C126" s="0" t="s">
        <v>480</v>
      </c>
      <c r="D126" s="0" t="s">
        <v>481</v>
      </c>
    </row>
    <row r="127" customFormat="false" ht="15" hidden="false" customHeight="false" outlineLevel="0" collapsed="false">
      <c r="A127" s="0" t="n">
        <v>126</v>
      </c>
      <c r="B127" s="0" t="s">
        <v>92</v>
      </c>
      <c r="C127" s="0" t="s">
        <v>353</v>
      </c>
      <c r="D127" s="0" t="s">
        <v>354</v>
      </c>
      <c r="F127" s="0" t="s">
        <v>355</v>
      </c>
    </row>
    <row r="128" customFormat="false" ht="15" hidden="false" customHeight="false" outlineLevel="0" collapsed="false">
      <c r="A128" s="0" t="n">
        <v>127</v>
      </c>
      <c r="B128" s="0" t="s">
        <v>92</v>
      </c>
      <c r="C128" s="0" t="s">
        <v>395</v>
      </c>
      <c r="D128" s="0" t="s">
        <v>385</v>
      </c>
      <c r="F128" s="0" t="s">
        <v>366</v>
      </c>
    </row>
    <row r="129" customFormat="false" ht="15" hidden="false" customHeight="false" outlineLevel="0" collapsed="false">
      <c r="A129" s="0" t="n">
        <v>128</v>
      </c>
      <c r="B129" s="0" t="s">
        <v>92</v>
      </c>
      <c r="C129" s="0" t="s">
        <v>433</v>
      </c>
      <c r="D129" s="0" t="s">
        <v>361</v>
      </c>
    </row>
    <row r="130" customFormat="false" ht="15" hidden="false" customHeight="false" outlineLevel="0" collapsed="false">
      <c r="A130" s="0" t="n">
        <v>129</v>
      </c>
      <c r="B130" s="0" t="s">
        <v>92</v>
      </c>
      <c r="C130" s="0" t="s">
        <v>374</v>
      </c>
      <c r="D130" s="0" t="s">
        <v>361</v>
      </c>
      <c r="F130" s="0" t="s">
        <v>374</v>
      </c>
    </row>
    <row r="131" customFormat="false" ht="15" hidden="false" customHeight="false" outlineLevel="0" collapsed="false">
      <c r="A131" s="0" t="n">
        <v>130</v>
      </c>
      <c r="B131" s="0" t="s">
        <v>92</v>
      </c>
      <c r="C131" s="0" t="s">
        <v>407</v>
      </c>
      <c r="D131" s="0" t="s">
        <v>361</v>
      </c>
      <c r="F131" s="0" t="s">
        <v>407</v>
      </c>
    </row>
    <row r="132" customFormat="false" ht="15" hidden="false" customHeight="false" outlineLevel="0" collapsed="false">
      <c r="A132" s="0" t="n">
        <v>131</v>
      </c>
      <c r="B132" s="0" t="s">
        <v>96</v>
      </c>
      <c r="C132" s="0" t="s">
        <v>353</v>
      </c>
      <c r="D132" s="0" t="s">
        <v>354</v>
      </c>
      <c r="F132" s="0" t="s">
        <v>355</v>
      </c>
    </row>
    <row r="133" customFormat="false" ht="15" hidden="false" customHeight="false" outlineLevel="0" collapsed="false">
      <c r="A133" s="0" t="n">
        <v>132</v>
      </c>
      <c r="B133" s="0" t="s">
        <v>96</v>
      </c>
      <c r="C133" s="0" t="s">
        <v>395</v>
      </c>
      <c r="D133" s="0" t="s">
        <v>385</v>
      </c>
      <c r="F133" s="0" t="s">
        <v>366</v>
      </c>
    </row>
    <row r="134" customFormat="false" ht="15" hidden="false" customHeight="false" outlineLevel="0" collapsed="false">
      <c r="A134" s="0" t="n">
        <v>133</v>
      </c>
      <c r="B134" s="0" t="s">
        <v>96</v>
      </c>
      <c r="C134" s="0" t="s">
        <v>409</v>
      </c>
      <c r="D134" s="0" t="s">
        <v>361</v>
      </c>
      <c r="F134" s="0" t="s">
        <v>390</v>
      </c>
    </row>
    <row r="135" customFormat="false" ht="15" hidden="false" customHeight="false" outlineLevel="0" collapsed="false">
      <c r="A135" s="0" t="n">
        <v>134</v>
      </c>
      <c r="B135" s="0" t="s">
        <v>96</v>
      </c>
      <c r="C135" s="0" t="s">
        <v>344</v>
      </c>
      <c r="D135" s="0" t="s">
        <v>361</v>
      </c>
      <c r="F135" s="0" t="s">
        <v>344</v>
      </c>
    </row>
    <row r="136" customFormat="false" ht="15" hidden="false" customHeight="false" outlineLevel="0" collapsed="false">
      <c r="A136" s="0" t="n">
        <v>135</v>
      </c>
      <c r="B136" s="0" t="s">
        <v>99</v>
      </c>
      <c r="C136" s="0" t="s">
        <v>353</v>
      </c>
      <c r="D136" s="0" t="s">
        <v>361</v>
      </c>
      <c r="F136" s="0" t="s">
        <v>355</v>
      </c>
    </row>
    <row r="137" customFormat="false" ht="15" hidden="false" customHeight="false" outlineLevel="0" collapsed="false">
      <c r="A137" s="0" t="n">
        <v>136</v>
      </c>
      <c r="B137" s="0" t="s">
        <v>99</v>
      </c>
      <c r="C137" s="0" t="s">
        <v>397</v>
      </c>
      <c r="D137" s="0" t="s">
        <v>361</v>
      </c>
      <c r="F137" s="0" t="s">
        <v>366</v>
      </c>
    </row>
    <row r="138" customFormat="false" ht="15" hidden="false" customHeight="false" outlineLevel="0" collapsed="false">
      <c r="A138" s="0" t="n">
        <v>137</v>
      </c>
      <c r="B138" s="0" t="s">
        <v>99</v>
      </c>
      <c r="C138" s="0" t="s">
        <v>482</v>
      </c>
      <c r="D138" s="0" t="s">
        <v>361</v>
      </c>
    </row>
    <row r="139" customFormat="false" ht="15" hidden="false" customHeight="false" outlineLevel="0" collapsed="false">
      <c r="A139" s="0" t="n">
        <v>138</v>
      </c>
      <c r="B139" s="0" t="s">
        <v>99</v>
      </c>
      <c r="C139" s="0" t="s">
        <v>418</v>
      </c>
      <c r="D139" s="0" t="s">
        <v>361</v>
      </c>
      <c r="F139" s="0" t="s">
        <v>407</v>
      </c>
    </row>
    <row r="140" customFormat="false" ht="15" hidden="false" customHeight="false" outlineLevel="0" collapsed="false">
      <c r="A140" s="0" t="n">
        <v>139</v>
      </c>
      <c r="B140" s="0" t="s">
        <v>102</v>
      </c>
      <c r="C140" s="0" t="s">
        <v>432</v>
      </c>
      <c r="D140" s="0" t="s">
        <v>361</v>
      </c>
      <c r="F140" s="0" t="s">
        <v>390</v>
      </c>
    </row>
    <row r="141" customFormat="false" ht="15" hidden="false" customHeight="false" outlineLevel="0" collapsed="false">
      <c r="A141" s="0" t="n">
        <v>140</v>
      </c>
      <c r="B141" s="0" t="s">
        <v>102</v>
      </c>
      <c r="C141" s="0" t="s">
        <v>483</v>
      </c>
      <c r="D141" s="0" t="s">
        <v>361</v>
      </c>
    </row>
    <row r="142" customFormat="false" ht="15" hidden="false" customHeight="false" outlineLevel="0" collapsed="false">
      <c r="A142" s="0" t="n">
        <v>141</v>
      </c>
      <c r="B142" s="0" t="s">
        <v>102</v>
      </c>
      <c r="C142" s="0" t="s">
        <v>446</v>
      </c>
      <c r="D142" s="0" t="s">
        <v>361</v>
      </c>
    </row>
    <row r="143" customFormat="false" ht="15" hidden="false" customHeight="false" outlineLevel="0" collapsed="false">
      <c r="A143" s="0" t="n">
        <v>142</v>
      </c>
      <c r="B143" s="0" t="s">
        <v>102</v>
      </c>
      <c r="C143" s="0" t="s">
        <v>484</v>
      </c>
      <c r="D143" s="0" t="s">
        <v>361</v>
      </c>
    </row>
    <row r="144" customFormat="false" ht="15" hidden="false" customHeight="false" outlineLevel="0" collapsed="false">
      <c r="A144" s="0" t="n">
        <v>143</v>
      </c>
      <c r="B144" s="0" t="s">
        <v>102</v>
      </c>
      <c r="C144" s="0" t="s">
        <v>375</v>
      </c>
      <c r="D144" s="0" t="s">
        <v>361</v>
      </c>
      <c r="F144" s="0" t="s">
        <v>375</v>
      </c>
    </row>
    <row r="145" customFormat="false" ht="15" hidden="false" customHeight="false" outlineLevel="0" collapsed="false">
      <c r="A145" s="0" t="n">
        <v>144</v>
      </c>
      <c r="B145" s="0" t="s">
        <v>102</v>
      </c>
      <c r="C145" s="0" t="s">
        <v>485</v>
      </c>
      <c r="D145" s="0" t="s">
        <v>361</v>
      </c>
    </row>
    <row r="146" customFormat="false" ht="15" hidden="false" customHeight="false" outlineLevel="0" collapsed="false">
      <c r="A146" s="0" t="n">
        <v>145</v>
      </c>
      <c r="B146" s="0" t="s">
        <v>105</v>
      </c>
      <c r="C146" s="0" t="s">
        <v>486</v>
      </c>
      <c r="D146" s="0" t="s">
        <v>361</v>
      </c>
      <c r="F146" s="0" t="s">
        <v>352</v>
      </c>
    </row>
    <row r="147" customFormat="false" ht="15" hidden="false" customHeight="false" outlineLevel="0" collapsed="false">
      <c r="A147" s="0" t="n">
        <v>146</v>
      </c>
      <c r="B147" s="0" t="s">
        <v>105</v>
      </c>
      <c r="C147" s="0" t="s">
        <v>487</v>
      </c>
      <c r="D147" s="0" t="s">
        <v>361</v>
      </c>
      <c r="F147" s="0" t="s">
        <v>352</v>
      </c>
    </row>
    <row r="148" customFormat="false" ht="15" hidden="false" customHeight="false" outlineLevel="0" collapsed="false">
      <c r="A148" s="0" t="n">
        <v>147</v>
      </c>
      <c r="B148" s="0" t="s">
        <v>109</v>
      </c>
      <c r="C148" s="0" t="s">
        <v>488</v>
      </c>
      <c r="D148" s="0" t="s">
        <v>361</v>
      </c>
      <c r="F148" s="0" t="s">
        <v>355</v>
      </c>
    </row>
    <row r="149" customFormat="false" ht="15" hidden="false" customHeight="false" outlineLevel="0" collapsed="false">
      <c r="A149" s="0" t="n">
        <v>148</v>
      </c>
      <c r="B149" s="0" t="s">
        <v>109</v>
      </c>
      <c r="C149" s="0" t="s">
        <v>489</v>
      </c>
      <c r="D149" s="0" t="s">
        <v>361</v>
      </c>
      <c r="F149" s="0" t="s">
        <v>390</v>
      </c>
    </row>
    <row r="150" customFormat="false" ht="15" hidden="false" customHeight="false" outlineLevel="0" collapsed="false">
      <c r="A150" s="0" t="n">
        <v>149</v>
      </c>
      <c r="B150" s="0" t="s">
        <v>109</v>
      </c>
      <c r="C150" s="0" t="s">
        <v>429</v>
      </c>
      <c r="D150" s="0" t="s">
        <v>361</v>
      </c>
      <c r="F150" s="0" t="s">
        <v>375</v>
      </c>
    </row>
    <row r="151" customFormat="false" ht="15" hidden="false" customHeight="false" outlineLevel="0" collapsed="false">
      <c r="A151" s="0" t="n">
        <v>150</v>
      </c>
      <c r="B151" s="0" t="s">
        <v>109</v>
      </c>
      <c r="C151" s="0" t="s">
        <v>490</v>
      </c>
      <c r="D151" s="0" t="s">
        <v>361</v>
      </c>
      <c r="F151" s="0" t="s">
        <v>431</v>
      </c>
    </row>
    <row r="152" customFormat="false" ht="15" hidden="false" customHeight="false" outlineLevel="0" collapsed="false">
      <c r="A152" s="0" t="n">
        <v>151</v>
      </c>
      <c r="B152" s="0" t="s">
        <v>109</v>
      </c>
      <c r="C152" s="0" t="s">
        <v>491</v>
      </c>
      <c r="D152" s="0" t="s">
        <v>361</v>
      </c>
    </row>
    <row r="153" customFormat="false" ht="15" hidden="false" customHeight="false" outlineLevel="0" collapsed="false">
      <c r="A153" s="0" t="n">
        <v>152</v>
      </c>
      <c r="B153" s="0" t="s">
        <v>109</v>
      </c>
      <c r="C153" s="0" t="s">
        <v>492</v>
      </c>
      <c r="D153" s="0" t="s">
        <v>361</v>
      </c>
    </row>
    <row r="154" customFormat="false" ht="15" hidden="false" customHeight="false" outlineLevel="0" collapsed="false">
      <c r="A154" s="0" t="n">
        <v>153</v>
      </c>
      <c r="B154" s="0" t="s">
        <v>112</v>
      </c>
      <c r="C154" s="0" t="s">
        <v>493</v>
      </c>
      <c r="D154" s="0" t="s">
        <v>494</v>
      </c>
      <c r="F154" s="0" t="s">
        <v>355</v>
      </c>
    </row>
    <row r="155" customFormat="false" ht="15" hidden="false" customHeight="false" outlineLevel="0" collapsed="false">
      <c r="A155" s="0" t="n">
        <v>154</v>
      </c>
      <c r="B155" s="0" t="s">
        <v>112</v>
      </c>
      <c r="C155" s="0" t="s">
        <v>495</v>
      </c>
      <c r="D155" s="0" t="s">
        <v>496</v>
      </c>
      <c r="F155" s="0" t="s">
        <v>355</v>
      </c>
    </row>
    <row r="156" customFormat="false" ht="15" hidden="false" customHeight="false" outlineLevel="0" collapsed="false">
      <c r="A156" s="0" t="n">
        <v>155</v>
      </c>
      <c r="B156" s="0" t="s">
        <v>112</v>
      </c>
      <c r="C156" s="0" t="s">
        <v>497</v>
      </c>
      <c r="D156" s="0" t="s">
        <v>498</v>
      </c>
      <c r="F156" s="0" t="s">
        <v>366</v>
      </c>
    </row>
    <row r="157" customFormat="false" ht="15" hidden="false" customHeight="false" outlineLevel="0" collapsed="false">
      <c r="A157" s="0" t="n">
        <v>156</v>
      </c>
      <c r="B157" s="0" t="s">
        <v>112</v>
      </c>
      <c r="C157" s="0" t="s">
        <v>499</v>
      </c>
      <c r="D157" s="0" t="s">
        <v>500</v>
      </c>
      <c r="F157" s="0" t="s">
        <v>355</v>
      </c>
    </row>
    <row r="158" customFormat="false" ht="15" hidden="false" customHeight="false" outlineLevel="0" collapsed="false">
      <c r="A158" s="0" t="n">
        <v>157</v>
      </c>
      <c r="B158" s="0" t="s">
        <v>112</v>
      </c>
      <c r="C158" s="0" t="s">
        <v>501</v>
      </c>
      <c r="D158" s="0" t="s">
        <v>361</v>
      </c>
      <c r="F158" s="0" t="s">
        <v>435</v>
      </c>
    </row>
    <row r="159" customFormat="false" ht="15" hidden="false" customHeight="false" outlineLevel="0" collapsed="false">
      <c r="A159" s="0" t="n">
        <v>158</v>
      </c>
      <c r="B159" s="0" t="s">
        <v>112</v>
      </c>
      <c r="C159" s="0" t="s">
        <v>502</v>
      </c>
      <c r="D159" s="0" t="s">
        <v>361</v>
      </c>
      <c r="F159" s="0" t="s">
        <v>366</v>
      </c>
    </row>
    <row r="160" customFormat="false" ht="15" hidden="false" customHeight="false" outlineLevel="0" collapsed="false">
      <c r="A160" s="0" t="n">
        <v>159</v>
      </c>
      <c r="B160" s="0" t="s">
        <v>112</v>
      </c>
      <c r="C160" s="0" t="s">
        <v>362</v>
      </c>
      <c r="D160" s="0" t="s">
        <v>361</v>
      </c>
      <c r="F160" s="0" t="s">
        <v>362</v>
      </c>
    </row>
    <row r="161" customFormat="false" ht="15" hidden="false" customHeight="false" outlineLevel="0" collapsed="false">
      <c r="A161" s="0" t="n">
        <v>160</v>
      </c>
      <c r="B161" s="0" t="s">
        <v>112</v>
      </c>
      <c r="C161" s="0" t="s">
        <v>503</v>
      </c>
      <c r="D161" s="0" t="s">
        <v>361</v>
      </c>
      <c r="F161" s="0" t="s">
        <v>344</v>
      </c>
    </row>
    <row r="162" customFormat="false" ht="15" hidden="false" customHeight="false" outlineLevel="0" collapsed="false">
      <c r="A162" s="0" t="n">
        <v>161</v>
      </c>
      <c r="B162" s="0" t="s">
        <v>115</v>
      </c>
      <c r="C162" s="0" t="s">
        <v>504</v>
      </c>
      <c r="D162" s="0" t="s">
        <v>361</v>
      </c>
    </row>
    <row r="163" customFormat="false" ht="15" hidden="false" customHeight="false" outlineLevel="0" collapsed="false">
      <c r="A163" s="0" t="n">
        <v>162</v>
      </c>
      <c r="B163" s="0" t="s">
        <v>118</v>
      </c>
      <c r="C163" s="0" t="s">
        <v>505</v>
      </c>
      <c r="D163" s="0" t="s">
        <v>361</v>
      </c>
      <c r="F163" s="0" t="s">
        <v>375</v>
      </c>
    </row>
    <row r="164" customFormat="false" ht="15" hidden="false" customHeight="false" outlineLevel="0" collapsed="false">
      <c r="A164" s="0" t="n">
        <v>163</v>
      </c>
      <c r="B164" s="0" t="s">
        <v>118</v>
      </c>
      <c r="C164" s="0" t="s">
        <v>506</v>
      </c>
      <c r="D164" s="0" t="s">
        <v>361</v>
      </c>
    </row>
    <row r="165" customFormat="false" ht="15" hidden="false" customHeight="false" outlineLevel="0" collapsed="false">
      <c r="A165" s="0" t="n">
        <v>164</v>
      </c>
      <c r="B165" s="0" t="s">
        <v>118</v>
      </c>
      <c r="C165" s="0" t="s">
        <v>433</v>
      </c>
      <c r="D165" s="0" t="s">
        <v>361</v>
      </c>
    </row>
    <row r="166" customFormat="false" ht="15" hidden="false" customHeight="false" outlineLevel="0" collapsed="false">
      <c r="A166" s="0" t="n">
        <v>165</v>
      </c>
      <c r="B166" s="0" t="s">
        <v>118</v>
      </c>
      <c r="C166" s="0" t="s">
        <v>507</v>
      </c>
      <c r="D166" s="0" t="s">
        <v>361</v>
      </c>
      <c r="F166" s="0" t="s">
        <v>352</v>
      </c>
    </row>
    <row r="167" customFormat="false" ht="15" hidden="false" customHeight="false" outlineLevel="0" collapsed="false">
      <c r="A167" s="0" t="n">
        <v>166</v>
      </c>
      <c r="B167" s="0" t="s">
        <v>118</v>
      </c>
      <c r="C167" s="0" t="s">
        <v>508</v>
      </c>
      <c r="D167" s="0" t="s">
        <v>361</v>
      </c>
      <c r="F167" s="0" t="s">
        <v>404</v>
      </c>
    </row>
    <row r="168" customFormat="false" ht="15" hidden="false" customHeight="false" outlineLevel="0" collapsed="false">
      <c r="A168" s="0" t="n">
        <v>167</v>
      </c>
      <c r="B168" s="0" t="s">
        <v>118</v>
      </c>
      <c r="C168" s="0" t="s">
        <v>509</v>
      </c>
      <c r="D168" s="0" t="s">
        <v>361</v>
      </c>
      <c r="F168" s="0" t="s">
        <v>435</v>
      </c>
    </row>
    <row r="169" customFormat="false" ht="15" hidden="false" customHeight="false" outlineLevel="0" collapsed="false">
      <c r="A169" s="0" t="n">
        <v>168</v>
      </c>
      <c r="B169" s="0" t="s">
        <v>118</v>
      </c>
      <c r="C169" s="0" t="s">
        <v>407</v>
      </c>
      <c r="D169" s="0" t="s">
        <v>361</v>
      </c>
      <c r="F169" s="0" t="s">
        <v>407</v>
      </c>
    </row>
    <row r="170" customFormat="false" ht="15" hidden="false" customHeight="false" outlineLevel="0" collapsed="false">
      <c r="A170" s="0" t="n">
        <v>169</v>
      </c>
      <c r="B170" s="0" t="s">
        <v>118</v>
      </c>
      <c r="C170" s="0" t="s">
        <v>510</v>
      </c>
      <c r="D170" s="0" t="s">
        <v>361</v>
      </c>
      <c r="F170" s="0" t="s">
        <v>431</v>
      </c>
    </row>
    <row r="171" customFormat="false" ht="15" hidden="false" customHeight="false" outlineLevel="0" collapsed="false">
      <c r="A171" s="0" t="n">
        <v>170</v>
      </c>
      <c r="B171" s="0" t="s">
        <v>122</v>
      </c>
      <c r="C171" s="0" t="s">
        <v>511</v>
      </c>
      <c r="D171" s="0" t="s">
        <v>512</v>
      </c>
    </row>
    <row r="172" customFormat="false" ht="15" hidden="false" customHeight="false" outlineLevel="0" collapsed="false">
      <c r="A172" s="0" t="n">
        <v>171</v>
      </c>
      <c r="B172" s="0" t="s">
        <v>122</v>
      </c>
      <c r="C172" s="0" t="s">
        <v>513</v>
      </c>
      <c r="D172" s="0" t="s">
        <v>514</v>
      </c>
    </row>
    <row r="173" customFormat="false" ht="15" hidden="false" customHeight="false" outlineLevel="0" collapsed="false">
      <c r="A173" s="0" t="n">
        <v>172</v>
      </c>
      <c r="B173" s="0" t="s">
        <v>122</v>
      </c>
      <c r="C173" s="0" t="s">
        <v>515</v>
      </c>
      <c r="D173" s="0" t="s">
        <v>361</v>
      </c>
      <c r="F173" s="0" t="s">
        <v>404</v>
      </c>
    </row>
    <row r="174" customFormat="false" ht="15" hidden="false" customHeight="false" outlineLevel="0" collapsed="false">
      <c r="A174" s="0" t="n">
        <v>173</v>
      </c>
      <c r="B174" s="0" t="s">
        <v>122</v>
      </c>
      <c r="C174" s="0" t="s">
        <v>375</v>
      </c>
      <c r="D174" s="0" t="s">
        <v>361</v>
      </c>
      <c r="F174" s="0" t="s">
        <v>375</v>
      </c>
    </row>
    <row r="175" customFormat="false" ht="15" hidden="false" customHeight="false" outlineLevel="0" collapsed="false">
      <c r="A175" s="0" t="n">
        <v>174</v>
      </c>
      <c r="B175" s="0" t="s">
        <v>122</v>
      </c>
      <c r="C175" s="0" t="s">
        <v>516</v>
      </c>
      <c r="D175" s="0" t="s">
        <v>361</v>
      </c>
    </row>
    <row r="176" customFormat="false" ht="15" hidden="false" customHeight="false" outlineLevel="0" collapsed="false">
      <c r="A176" s="0" t="n">
        <v>175</v>
      </c>
      <c r="B176" s="0" t="s">
        <v>122</v>
      </c>
      <c r="C176" s="0" t="s">
        <v>510</v>
      </c>
      <c r="D176" s="0" t="s">
        <v>361</v>
      </c>
      <c r="F176" s="0" t="s">
        <v>431</v>
      </c>
    </row>
    <row r="177" customFormat="false" ht="15" hidden="false" customHeight="false" outlineLevel="0" collapsed="false">
      <c r="A177" s="0" t="n">
        <v>176</v>
      </c>
      <c r="B177" s="0" t="s">
        <v>125</v>
      </c>
      <c r="C177" s="0" t="s">
        <v>508</v>
      </c>
      <c r="D177" s="0" t="s">
        <v>361</v>
      </c>
      <c r="F177" s="0" t="s">
        <v>404</v>
      </c>
    </row>
    <row r="178" customFormat="false" ht="15" hidden="false" customHeight="false" outlineLevel="0" collapsed="false">
      <c r="A178" s="0" t="n">
        <v>177</v>
      </c>
      <c r="B178" s="0" t="s">
        <v>125</v>
      </c>
      <c r="C178" s="0" t="s">
        <v>344</v>
      </c>
      <c r="D178" s="0" t="s">
        <v>361</v>
      </c>
      <c r="F178" s="0" t="s">
        <v>344</v>
      </c>
    </row>
    <row r="179" customFormat="false" ht="15" hidden="false" customHeight="false" outlineLevel="0" collapsed="false">
      <c r="A179" s="0" t="n">
        <v>178</v>
      </c>
      <c r="B179" s="0" t="s">
        <v>125</v>
      </c>
      <c r="C179" s="0" t="s">
        <v>517</v>
      </c>
      <c r="D179" s="0" t="s">
        <v>361</v>
      </c>
      <c r="F179" s="0" t="s">
        <v>518</v>
      </c>
    </row>
    <row r="180" customFormat="false" ht="15" hidden="false" customHeight="false" outlineLevel="0" collapsed="false">
      <c r="A180" s="0" t="n">
        <v>179</v>
      </c>
      <c r="B180" s="0" t="s">
        <v>125</v>
      </c>
      <c r="C180" s="0" t="s">
        <v>434</v>
      </c>
      <c r="D180" s="0" t="s">
        <v>361</v>
      </c>
      <c r="F180" s="0" t="s">
        <v>435</v>
      </c>
    </row>
    <row r="181" customFormat="false" ht="15" hidden="false" customHeight="false" outlineLevel="0" collapsed="false">
      <c r="A181" s="0" t="n">
        <v>180</v>
      </c>
      <c r="B181" s="0" t="s">
        <v>125</v>
      </c>
      <c r="C181" s="0" t="s">
        <v>519</v>
      </c>
      <c r="D181" s="0" t="s">
        <v>361</v>
      </c>
    </row>
    <row r="182" customFormat="false" ht="15" hidden="false" customHeight="false" outlineLevel="0" collapsed="false">
      <c r="A182" s="0" t="n">
        <v>181</v>
      </c>
      <c r="B182" s="0" t="s">
        <v>128</v>
      </c>
      <c r="C182" s="0" t="s">
        <v>508</v>
      </c>
      <c r="D182" s="0" t="s">
        <v>361</v>
      </c>
      <c r="F182" s="0" t="s">
        <v>404</v>
      </c>
    </row>
    <row r="183" customFormat="false" ht="15" hidden="false" customHeight="false" outlineLevel="0" collapsed="false">
      <c r="A183" s="0" t="n">
        <v>182</v>
      </c>
      <c r="B183" s="0" t="s">
        <v>128</v>
      </c>
      <c r="C183" s="0" t="s">
        <v>520</v>
      </c>
      <c r="D183" s="0" t="s">
        <v>361</v>
      </c>
    </row>
    <row r="184" customFormat="false" ht="15" hidden="false" customHeight="false" outlineLevel="0" collapsed="false">
      <c r="A184" s="0" t="n">
        <v>183</v>
      </c>
      <c r="B184" s="0" t="s">
        <v>128</v>
      </c>
      <c r="C184" s="0" t="s">
        <v>521</v>
      </c>
      <c r="D184" s="0" t="s">
        <v>361</v>
      </c>
      <c r="F184" s="0" t="s">
        <v>476</v>
      </c>
    </row>
    <row r="185" customFormat="false" ht="15" hidden="false" customHeight="false" outlineLevel="0" collapsed="false">
      <c r="A185" s="0" t="n">
        <v>184</v>
      </c>
      <c r="B185" s="0" t="s">
        <v>128</v>
      </c>
      <c r="C185" s="0" t="s">
        <v>417</v>
      </c>
      <c r="D185" s="0" t="s">
        <v>361</v>
      </c>
      <c r="F185" s="0" t="s">
        <v>417</v>
      </c>
    </row>
    <row r="186" customFormat="false" ht="15" hidden="false" customHeight="false" outlineLevel="0" collapsed="false">
      <c r="A186" s="0" t="n">
        <v>185</v>
      </c>
      <c r="B186" s="0" t="s">
        <v>128</v>
      </c>
      <c r="C186" s="0" t="s">
        <v>522</v>
      </c>
      <c r="D186" s="0" t="s">
        <v>361</v>
      </c>
      <c r="F186" s="0" t="s">
        <v>431</v>
      </c>
    </row>
    <row r="187" customFormat="false" ht="15" hidden="false" customHeight="false" outlineLevel="0" collapsed="false">
      <c r="A187" s="0" t="n">
        <v>186</v>
      </c>
      <c r="B187" s="0" t="s">
        <v>128</v>
      </c>
      <c r="C187" s="0" t="s">
        <v>446</v>
      </c>
      <c r="D187" s="0" t="s">
        <v>361</v>
      </c>
    </row>
    <row r="188" customFormat="false" ht="15" hidden="false" customHeight="false" outlineLevel="0" collapsed="false">
      <c r="A188" s="0" t="n">
        <v>187</v>
      </c>
      <c r="B188" s="0" t="s">
        <v>128</v>
      </c>
      <c r="C188" s="0" t="s">
        <v>344</v>
      </c>
      <c r="D188" s="0" t="s">
        <v>361</v>
      </c>
      <c r="F188" s="0" t="s">
        <v>344</v>
      </c>
    </row>
    <row r="189" customFormat="false" ht="15" hidden="false" customHeight="false" outlineLevel="0" collapsed="false">
      <c r="A189" s="0" t="n">
        <v>188</v>
      </c>
      <c r="B189" s="0" t="s">
        <v>131</v>
      </c>
      <c r="C189" s="0" t="s">
        <v>523</v>
      </c>
      <c r="D189" s="0" t="s">
        <v>524</v>
      </c>
      <c r="F189" s="0" t="s">
        <v>435</v>
      </c>
    </row>
    <row r="190" customFormat="false" ht="15" hidden="false" customHeight="false" outlineLevel="0" collapsed="false">
      <c r="A190" s="0" t="n">
        <v>189</v>
      </c>
      <c r="B190" s="0" t="s">
        <v>131</v>
      </c>
      <c r="C190" s="0" t="s">
        <v>374</v>
      </c>
      <c r="D190" s="0" t="s">
        <v>525</v>
      </c>
      <c r="F190" s="0" t="s">
        <v>374</v>
      </c>
    </row>
    <row r="191" customFormat="false" ht="15" hidden="false" customHeight="false" outlineLevel="0" collapsed="false">
      <c r="A191" s="0" t="n">
        <v>190</v>
      </c>
      <c r="B191" s="0" t="s">
        <v>131</v>
      </c>
      <c r="C191" s="0" t="s">
        <v>353</v>
      </c>
      <c r="D191" s="0" t="s">
        <v>361</v>
      </c>
      <c r="F191" s="0" t="s">
        <v>355</v>
      </c>
    </row>
    <row r="192" customFormat="false" ht="15" hidden="false" customHeight="false" outlineLevel="0" collapsed="false">
      <c r="A192" s="0" t="n">
        <v>191</v>
      </c>
      <c r="B192" s="0" t="s">
        <v>131</v>
      </c>
      <c r="C192" s="0" t="s">
        <v>468</v>
      </c>
      <c r="D192" s="0" t="s">
        <v>361</v>
      </c>
      <c r="F192" s="0" t="s">
        <v>390</v>
      </c>
    </row>
    <row r="193" customFormat="false" ht="15" hidden="false" customHeight="false" outlineLevel="0" collapsed="false">
      <c r="A193" s="0" t="n">
        <v>192</v>
      </c>
      <c r="B193" s="0" t="s">
        <v>131</v>
      </c>
      <c r="C193" s="0" t="s">
        <v>526</v>
      </c>
      <c r="D193" s="0" t="s">
        <v>361</v>
      </c>
      <c r="F193" s="0" t="s">
        <v>375</v>
      </c>
    </row>
    <row r="194" customFormat="false" ht="15" hidden="false" customHeight="false" outlineLevel="0" collapsed="false">
      <c r="A194" s="0" t="n">
        <v>193</v>
      </c>
      <c r="B194" s="0" t="s">
        <v>131</v>
      </c>
      <c r="C194" s="0" t="s">
        <v>340</v>
      </c>
      <c r="D194" s="0" t="s">
        <v>361</v>
      </c>
      <c r="F194" s="0" t="s">
        <v>340</v>
      </c>
    </row>
    <row r="195" customFormat="false" ht="15" hidden="false" customHeight="false" outlineLevel="0" collapsed="false">
      <c r="A195" s="0" t="n">
        <v>194</v>
      </c>
      <c r="B195" s="0" t="s">
        <v>131</v>
      </c>
      <c r="C195" s="0" t="s">
        <v>362</v>
      </c>
      <c r="D195" s="0" t="s">
        <v>361</v>
      </c>
      <c r="F195" s="0" t="s">
        <v>362</v>
      </c>
    </row>
    <row r="196" customFormat="false" ht="15" hidden="false" customHeight="false" outlineLevel="0" collapsed="false">
      <c r="A196" s="0" t="n">
        <v>195</v>
      </c>
      <c r="B196" s="0" t="s">
        <v>131</v>
      </c>
      <c r="C196" s="0" t="s">
        <v>527</v>
      </c>
      <c r="D196" s="0" t="s">
        <v>361</v>
      </c>
      <c r="F196" s="0" t="s">
        <v>431</v>
      </c>
    </row>
    <row r="197" customFormat="false" ht="15" hidden="false" customHeight="false" outlineLevel="0" collapsed="false">
      <c r="A197" s="0" t="n">
        <v>196</v>
      </c>
      <c r="B197" s="0" t="s">
        <v>131</v>
      </c>
      <c r="C197" s="0" t="s">
        <v>433</v>
      </c>
      <c r="D197" s="0" t="s">
        <v>361</v>
      </c>
    </row>
    <row r="198" customFormat="false" ht="15" hidden="false" customHeight="false" outlineLevel="0" collapsed="false">
      <c r="A198" s="0" t="n">
        <v>197</v>
      </c>
      <c r="B198" s="0" t="s">
        <v>134</v>
      </c>
      <c r="C198" s="0" t="s">
        <v>528</v>
      </c>
      <c r="D198" s="0" t="s">
        <v>529</v>
      </c>
    </row>
    <row r="199" customFormat="false" ht="15" hidden="false" customHeight="false" outlineLevel="0" collapsed="false">
      <c r="A199" s="0" t="n">
        <v>198</v>
      </c>
      <c r="B199" s="0" t="s">
        <v>134</v>
      </c>
      <c r="C199" s="0" t="s">
        <v>530</v>
      </c>
      <c r="D199" s="0" t="s">
        <v>454</v>
      </c>
    </row>
    <row r="200" customFormat="false" ht="15" hidden="false" customHeight="false" outlineLevel="0" collapsed="false">
      <c r="A200" s="0" t="n">
        <v>199</v>
      </c>
      <c r="B200" s="0" t="s">
        <v>134</v>
      </c>
      <c r="C200" s="0" t="s">
        <v>353</v>
      </c>
      <c r="D200" s="0" t="s">
        <v>361</v>
      </c>
      <c r="F200" s="0" t="s">
        <v>355</v>
      </c>
    </row>
    <row r="201" customFormat="false" ht="15" hidden="false" customHeight="false" outlineLevel="0" collapsed="false">
      <c r="A201" s="0" t="n">
        <v>200</v>
      </c>
      <c r="B201" s="0" t="s">
        <v>134</v>
      </c>
      <c r="C201" s="0" t="s">
        <v>531</v>
      </c>
      <c r="D201" s="0" t="s">
        <v>361</v>
      </c>
      <c r="F201" s="0" t="s">
        <v>414</v>
      </c>
    </row>
    <row r="202" customFormat="false" ht="15" hidden="false" customHeight="false" outlineLevel="0" collapsed="false">
      <c r="A202" s="0" t="n">
        <v>201</v>
      </c>
      <c r="B202" s="0" t="s">
        <v>134</v>
      </c>
      <c r="C202" s="0" t="s">
        <v>375</v>
      </c>
      <c r="D202" s="0" t="s">
        <v>361</v>
      </c>
      <c r="F202" s="0" t="s">
        <v>375</v>
      </c>
    </row>
    <row r="203" customFormat="false" ht="15" hidden="false" customHeight="false" outlineLevel="0" collapsed="false">
      <c r="A203" s="0" t="n">
        <v>202</v>
      </c>
      <c r="B203" s="0" t="s">
        <v>134</v>
      </c>
      <c r="C203" s="0" t="s">
        <v>344</v>
      </c>
      <c r="D203" s="0" t="s">
        <v>361</v>
      </c>
      <c r="F203" s="0" t="s">
        <v>344</v>
      </c>
    </row>
    <row r="204" customFormat="false" ht="15" hidden="false" customHeight="false" outlineLevel="0" collapsed="false">
      <c r="A204" s="0" t="n">
        <v>203</v>
      </c>
      <c r="B204" s="0" t="s">
        <v>138</v>
      </c>
      <c r="C204" s="0" t="s">
        <v>532</v>
      </c>
      <c r="D204" s="0" t="s">
        <v>361</v>
      </c>
    </row>
    <row r="205" customFormat="false" ht="15" hidden="false" customHeight="false" outlineLevel="0" collapsed="false">
      <c r="A205" s="0" t="n">
        <v>204</v>
      </c>
      <c r="B205" s="0" t="s">
        <v>142</v>
      </c>
      <c r="C205" s="0" t="s">
        <v>533</v>
      </c>
      <c r="D205" s="0" t="s">
        <v>534</v>
      </c>
    </row>
    <row r="206" customFormat="false" ht="15" hidden="false" customHeight="false" outlineLevel="0" collapsed="false">
      <c r="A206" s="0" t="n">
        <v>205</v>
      </c>
      <c r="B206" s="0" t="s">
        <v>142</v>
      </c>
      <c r="C206" s="0" t="s">
        <v>535</v>
      </c>
      <c r="D206" s="0" t="s">
        <v>473</v>
      </c>
    </row>
    <row r="207" customFormat="false" ht="15" hidden="false" customHeight="false" outlineLevel="0" collapsed="false">
      <c r="A207" s="0" t="n">
        <v>206</v>
      </c>
      <c r="B207" s="0" t="s">
        <v>142</v>
      </c>
      <c r="C207" s="0" t="s">
        <v>536</v>
      </c>
      <c r="D207" s="0" t="s">
        <v>537</v>
      </c>
      <c r="F207" s="0" t="s">
        <v>355</v>
      </c>
    </row>
    <row r="208" customFormat="false" ht="15" hidden="false" customHeight="false" outlineLevel="0" collapsed="false">
      <c r="A208" s="0" t="n">
        <v>207</v>
      </c>
      <c r="B208" s="0" t="s">
        <v>142</v>
      </c>
      <c r="C208" s="0" t="s">
        <v>538</v>
      </c>
      <c r="D208" s="0" t="s">
        <v>361</v>
      </c>
      <c r="F208" s="0" t="s">
        <v>404</v>
      </c>
    </row>
    <row r="209" customFormat="false" ht="15" hidden="false" customHeight="false" outlineLevel="0" collapsed="false">
      <c r="A209" s="0" t="n">
        <v>208</v>
      </c>
      <c r="B209" s="0" t="s">
        <v>142</v>
      </c>
      <c r="C209" s="0" t="s">
        <v>375</v>
      </c>
      <c r="D209" s="0" t="s">
        <v>361</v>
      </c>
      <c r="F209" s="0" t="s">
        <v>375</v>
      </c>
    </row>
    <row r="210" customFormat="false" ht="15" hidden="false" customHeight="false" outlineLevel="0" collapsed="false">
      <c r="A210" s="0" t="n">
        <v>209</v>
      </c>
      <c r="B210" s="0" t="s">
        <v>142</v>
      </c>
      <c r="C210" s="0" t="s">
        <v>344</v>
      </c>
      <c r="D210" s="0" t="s">
        <v>361</v>
      </c>
      <c r="F210" s="0" t="s">
        <v>344</v>
      </c>
    </row>
    <row r="211" customFormat="false" ht="15" hidden="false" customHeight="false" outlineLevel="0" collapsed="false">
      <c r="A211" s="0" t="n">
        <v>210</v>
      </c>
      <c r="B211" s="0" t="s">
        <v>142</v>
      </c>
      <c r="C211" s="0" t="s">
        <v>539</v>
      </c>
      <c r="D211" s="0" t="s">
        <v>361</v>
      </c>
    </row>
    <row r="212" customFormat="false" ht="15" hidden="false" customHeight="false" outlineLevel="0" collapsed="false">
      <c r="A212" s="0" t="n">
        <v>211</v>
      </c>
      <c r="B212" s="0" t="s">
        <v>145</v>
      </c>
      <c r="C212" s="0" t="s">
        <v>540</v>
      </c>
      <c r="D212" s="0" t="s">
        <v>361</v>
      </c>
    </row>
    <row r="213" customFormat="false" ht="15" hidden="false" customHeight="false" outlineLevel="0" collapsed="false">
      <c r="A213" s="0" t="n">
        <v>212</v>
      </c>
      <c r="B213" s="0" t="s">
        <v>145</v>
      </c>
      <c r="C213" s="0" t="s">
        <v>541</v>
      </c>
      <c r="D213" s="0" t="s">
        <v>361</v>
      </c>
      <c r="F213" s="0" t="s">
        <v>355</v>
      </c>
    </row>
    <row r="214" customFormat="false" ht="15" hidden="false" customHeight="false" outlineLevel="0" collapsed="false">
      <c r="A214" s="0" t="n">
        <v>213</v>
      </c>
      <c r="B214" s="0" t="s">
        <v>145</v>
      </c>
      <c r="C214" s="0" t="s">
        <v>468</v>
      </c>
      <c r="D214" s="0" t="s">
        <v>361</v>
      </c>
      <c r="F214" s="0" t="s">
        <v>390</v>
      </c>
    </row>
    <row r="215" customFormat="false" ht="15" hidden="false" customHeight="false" outlineLevel="0" collapsed="false">
      <c r="A215" s="0" t="n">
        <v>214</v>
      </c>
      <c r="B215" s="0" t="s">
        <v>148</v>
      </c>
      <c r="C215" s="0" t="s">
        <v>542</v>
      </c>
      <c r="D215" s="0" t="s">
        <v>361</v>
      </c>
    </row>
    <row r="216" customFormat="false" ht="15" hidden="false" customHeight="false" outlineLevel="0" collapsed="false">
      <c r="A216" s="0" t="n">
        <v>215</v>
      </c>
      <c r="B216" s="0" t="s">
        <v>148</v>
      </c>
      <c r="C216" s="0" t="s">
        <v>543</v>
      </c>
      <c r="D216" s="0" t="s">
        <v>361</v>
      </c>
    </row>
    <row r="217" customFormat="false" ht="15" hidden="false" customHeight="false" outlineLevel="0" collapsed="false">
      <c r="A217" s="0" t="n">
        <v>216</v>
      </c>
      <c r="B217" s="0" t="s">
        <v>152</v>
      </c>
      <c r="C217" s="0" t="s">
        <v>466</v>
      </c>
      <c r="D217" s="0" t="s">
        <v>361</v>
      </c>
    </row>
    <row r="218" customFormat="false" ht="15" hidden="false" customHeight="false" outlineLevel="0" collapsed="false">
      <c r="A218" s="0" t="n">
        <v>217</v>
      </c>
      <c r="B218" s="0" t="s">
        <v>152</v>
      </c>
      <c r="C218" s="0" t="s">
        <v>544</v>
      </c>
      <c r="D218" s="0" t="s">
        <v>361</v>
      </c>
    </row>
    <row r="219" customFormat="false" ht="15" hidden="false" customHeight="false" outlineLevel="0" collapsed="false">
      <c r="A219" s="0" t="n">
        <v>218</v>
      </c>
      <c r="B219" s="0" t="s">
        <v>152</v>
      </c>
      <c r="C219" s="0" t="s">
        <v>505</v>
      </c>
      <c r="D219" s="0" t="s">
        <v>361</v>
      </c>
      <c r="F219" s="0" t="s">
        <v>375</v>
      </c>
    </row>
    <row r="220" customFormat="false" ht="15" hidden="false" customHeight="false" outlineLevel="0" collapsed="false">
      <c r="A220" s="0" t="n">
        <v>219</v>
      </c>
      <c r="B220" s="0" t="s">
        <v>152</v>
      </c>
      <c r="C220" s="0" t="s">
        <v>386</v>
      </c>
      <c r="D220" s="0" t="s">
        <v>361</v>
      </c>
    </row>
    <row r="221" customFormat="false" ht="15" hidden="false" customHeight="false" outlineLevel="0" collapsed="false">
      <c r="A221" s="0" t="n">
        <v>220</v>
      </c>
      <c r="B221" s="0" t="s">
        <v>152</v>
      </c>
      <c r="C221" s="0" t="s">
        <v>409</v>
      </c>
      <c r="D221" s="0" t="s">
        <v>361</v>
      </c>
      <c r="F221" s="0" t="s">
        <v>390</v>
      </c>
    </row>
    <row r="222" customFormat="false" ht="15" hidden="false" customHeight="false" outlineLevel="0" collapsed="false">
      <c r="A222" s="0" t="n">
        <v>221</v>
      </c>
      <c r="B222" s="0" t="s">
        <v>155</v>
      </c>
      <c r="C222" s="0" t="s">
        <v>545</v>
      </c>
      <c r="D222" s="0" t="s">
        <v>361</v>
      </c>
    </row>
    <row r="223" customFormat="false" ht="15" hidden="false" customHeight="false" outlineLevel="0" collapsed="false">
      <c r="A223" s="0" t="n">
        <v>222</v>
      </c>
      <c r="B223" s="0" t="s">
        <v>155</v>
      </c>
      <c r="C223" s="0" t="s">
        <v>340</v>
      </c>
      <c r="D223" s="0" t="s">
        <v>361</v>
      </c>
      <c r="F223" s="0" t="s">
        <v>340</v>
      </c>
    </row>
    <row r="224" customFormat="false" ht="15" hidden="false" customHeight="false" outlineLevel="0" collapsed="false">
      <c r="A224" s="0" t="n">
        <v>223</v>
      </c>
      <c r="B224" s="0" t="s">
        <v>159</v>
      </c>
      <c r="C224" s="0" t="s">
        <v>403</v>
      </c>
      <c r="D224" s="0" t="s">
        <v>361</v>
      </c>
      <c r="F224" s="0" t="s">
        <v>404</v>
      </c>
    </row>
    <row r="225" customFormat="false" ht="15" hidden="false" customHeight="false" outlineLevel="0" collapsed="false">
      <c r="A225" s="0" t="n">
        <v>224</v>
      </c>
      <c r="B225" s="0" t="s">
        <v>159</v>
      </c>
      <c r="C225" s="0" t="s">
        <v>510</v>
      </c>
      <c r="D225" s="0" t="s">
        <v>361</v>
      </c>
      <c r="F225" s="0" t="s">
        <v>431</v>
      </c>
    </row>
    <row r="226" customFormat="false" ht="15" hidden="false" customHeight="false" outlineLevel="0" collapsed="false">
      <c r="A226" s="0" t="n">
        <v>225</v>
      </c>
      <c r="B226" s="0" t="s">
        <v>159</v>
      </c>
      <c r="C226" s="0" t="s">
        <v>417</v>
      </c>
      <c r="D226" s="0" t="s">
        <v>361</v>
      </c>
      <c r="F226" s="0" t="s">
        <v>417</v>
      </c>
    </row>
    <row r="227" customFormat="false" ht="15" hidden="false" customHeight="false" outlineLevel="0" collapsed="false">
      <c r="A227" s="0" t="n">
        <v>226</v>
      </c>
      <c r="B227" s="0" t="s">
        <v>159</v>
      </c>
      <c r="C227" s="0" t="s">
        <v>546</v>
      </c>
      <c r="D227" s="0" t="s">
        <v>361</v>
      </c>
      <c r="F227" s="0" t="s">
        <v>435</v>
      </c>
    </row>
    <row r="228" customFormat="false" ht="15" hidden="false" customHeight="false" outlineLevel="0" collapsed="false">
      <c r="A228" s="0" t="n">
        <v>227</v>
      </c>
      <c r="B228" s="0" t="s">
        <v>159</v>
      </c>
      <c r="C228" s="0" t="s">
        <v>433</v>
      </c>
      <c r="D228" s="0" t="s">
        <v>361</v>
      </c>
    </row>
    <row r="229" customFormat="false" ht="15" hidden="false" customHeight="false" outlineLevel="0" collapsed="false">
      <c r="A229" s="0" t="n">
        <v>228</v>
      </c>
      <c r="B229" s="0" t="s">
        <v>162</v>
      </c>
      <c r="C229" s="0" t="s">
        <v>401</v>
      </c>
      <c r="D229" s="0" t="s">
        <v>402</v>
      </c>
    </row>
    <row r="230" customFormat="false" ht="15" hidden="false" customHeight="false" outlineLevel="0" collapsed="false">
      <c r="A230" s="0" t="n">
        <v>229</v>
      </c>
      <c r="B230" s="0" t="s">
        <v>162</v>
      </c>
      <c r="C230" s="0" t="s">
        <v>547</v>
      </c>
      <c r="D230" s="0" t="s">
        <v>361</v>
      </c>
    </row>
    <row r="231" customFormat="false" ht="15" hidden="false" customHeight="false" outlineLevel="0" collapsed="false">
      <c r="A231" s="0" t="n">
        <v>230</v>
      </c>
      <c r="B231" s="0" t="s">
        <v>165</v>
      </c>
      <c r="C231" s="0" t="s">
        <v>353</v>
      </c>
      <c r="D231" s="0" t="s">
        <v>548</v>
      </c>
      <c r="F231" s="0" t="s">
        <v>355</v>
      </c>
    </row>
    <row r="232" customFormat="false" ht="15" hidden="false" customHeight="false" outlineLevel="0" collapsed="false">
      <c r="A232" s="0" t="n">
        <v>231</v>
      </c>
      <c r="B232" s="0" t="s">
        <v>165</v>
      </c>
      <c r="C232" s="0" t="s">
        <v>549</v>
      </c>
      <c r="D232" s="0" t="s">
        <v>550</v>
      </c>
      <c r="F232" s="0" t="s">
        <v>355</v>
      </c>
    </row>
    <row r="233" customFormat="false" ht="15" hidden="false" customHeight="false" outlineLevel="0" collapsed="false">
      <c r="A233" s="0" t="n">
        <v>232</v>
      </c>
      <c r="B233" s="0" t="s">
        <v>165</v>
      </c>
      <c r="C233" s="0" t="s">
        <v>551</v>
      </c>
      <c r="D233" s="0" t="s">
        <v>552</v>
      </c>
      <c r="F233" s="0" t="s">
        <v>355</v>
      </c>
    </row>
    <row r="234" customFormat="false" ht="15" hidden="false" customHeight="false" outlineLevel="0" collapsed="false">
      <c r="A234" s="0" t="n">
        <v>233</v>
      </c>
      <c r="B234" s="0" t="s">
        <v>165</v>
      </c>
      <c r="C234" s="0" t="s">
        <v>417</v>
      </c>
      <c r="D234" s="0" t="s">
        <v>361</v>
      </c>
      <c r="F234" s="0" t="s">
        <v>417</v>
      </c>
    </row>
    <row r="235" customFormat="false" ht="15" hidden="false" customHeight="false" outlineLevel="0" collapsed="false">
      <c r="A235" s="0" t="n">
        <v>234</v>
      </c>
      <c r="B235" s="0" t="s">
        <v>165</v>
      </c>
      <c r="C235" s="0" t="s">
        <v>553</v>
      </c>
      <c r="D235" s="0" t="s">
        <v>361</v>
      </c>
      <c r="F235" s="0" t="s">
        <v>435</v>
      </c>
    </row>
    <row r="236" customFormat="false" ht="15" hidden="false" customHeight="false" outlineLevel="0" collapsed="false">
      <c r="A236" s="0" t="n">
        <v>235</v>
      </c>
      <c r="B236" s="0" t="s">
        <v>165</v>
      </c>
      <c r="C236" s="0" t="s">
        <v>375</v>
      </c>
      <c r="D236" s="0" t="s">
        <v>361</v>
      </c>
      <c r="F236" s="0" t="s">
        <v>375</v>
      </c>
    </row>
    <row r="237" customFormat="false" ht="15" hidden="false" customHeight="false" outlineLevel="0" collapsed="false">
      <c r="A237" s="0" t="n">
        <v>236</v>
      </c>
      <c r="B237" s="0" t="s">
        <v>165</v>
      </c>
      <c r="C237" s="0" t="s">
        <v>386</v>
      </c>
      <c r="D237" s="0" t="s">
        <v>361</v>
      </c>
    </row>
    <row r="238" customFormat="false" ht="15" hidden="false" customHeight="false" outlineLevel="0" collapsed="false">
      <c r="A238" s="0" t="n">
        <v>237</v>
      </c>
      <c r="B238" s="0" t="s">
        <v>168</v>
      </c>
      <c r="C238" s="0" t="s">
        <v>554</v>
      </c>
      <c r="D238" s="0" t="s">
        <v>555</v>
      </c>
    </row>
    <row r="239" customFormat="false" ht="15" hidden="false" customHeight="false" outlineLevel="0" collapsed="false">
      <c r="A239" s="0" t="n">
        <v>238</v>
      </c>
      <c r="B239" s="0" t="s">
        <v>168</v>
      </c>
      <c r="C239" s="0" t="s">
        <v>556</v>
      </c>
      <c r="D239" s="0" t="s">
        <v>378</v>
      </c>
      <c r="F239" s="0" t="s">
        <v>344</v>
      </c>
    </row>
    <row r="240" customFormat="false" ht="15" hidden="false" customHeight="false" outlineLevel="0" collapsed="false">
      <c r="A240" s="0" t="n">
        <v>239</v>
      </c>
      <c r="B240" s="0" t="s">
        <v>168</v>
      </c>
      <c r="C240" s="0" t="s">
        <v>557</v>
      </c>
      <c r="D240" s="0" t="s">
        <v>558</v>
      </c>
    </row>
    <row r="241" customFormat="false" ht="15" hidden="false" customHeight="false" outlineLevel="0" collapsed="false">
      <c r="A241" s="0" t="n">
        <v>240</v>
      </c>
      <c r="B241" s="0" t="s">
        <v>168</v>
      </c>
      <c r="C241" s="0" t="s">
        <v>559</v>
      </c>
      <c r="D241" s="0" t="s">
        <v>560</v>
      </c>
      <c r="F241" s="0" t="s">
        <v>355</v>
      </c>
    </row>
    <row r="242" customFormat="false" ht="15" hidden="false" customHeight="false" outlineLevel="0" collapsed="false">
      <c r="A242" s="0" t="n">
        <v>241</v>
      </c>
      <c r="B242" s="0" t="s">
        <v>168</v>
      </c>
      <c r="C242" s="0" t="s">
        <v>561</v>
      </c>
      <c r="D242" s="0" t="s">
        <v>562</v>
      </c>
    </row>
    <row r="243" customFormat="false" ht="15" hidden="false" customHeight="false" outlineLevel="0" collapsed="false">
      <c r="A243" s="0" t="n">
        <v>242</v>
      </c>
      <c r="B243" s="0" t="s">
        <v>168</v>
      </c>
      <c r="C243" s="0" t="s">
        <v>563</v>
      </c>
      <c r="D243" s="0" t="s">
        <v>564</v>
      </c>
      <c r="F243" s="0" t="s">
        <v>344</v>
      </c>
    </row>
    <row r="244" customFormat="false" ht="15" hidden="false" customHeight="false" outlineLevel="0" collapsed="false">
      <c r="A244" s="0" t="n">
        <v>243</v>
      </c>
      <c r="B244" s="0" t="s">
        <v>168</v>
      </c>
      <c r="C244" s="0" t="s">
        <v>565</v>
      </c>
      <c r="D244" s="0" t="s">
        <v>566</v>
      </c>
      <c r="F244" s="0" t="s">
        <v>375</v>
      </c>
    </row>
    <row r="245" customFormat="false" ht="15" hidden="false" customHeight="false" outlineLevel="0" collapsed="false">
      <c r="A245" s="0" t="n">
        <v>244</v>
      </c>
      <c r="B245" s="0" t="s">
        <v>168</v>
      </c>
      <c r="C245" s="0" t="s">
        <v>350</v>
      </c>
      <c r="D245" s="0" t="s">
        <v>567</v>
      </c>
      <c r="F245" s="0" t="s">
        <v>352</v>
      </c>
    </row>
    <row r="246" customFormat="false" ht="15" hidden="false" customHeight="false" outlineLevel="0" collapsed="false">
      <c r="A246" s="0" t="n">
        <v>245</v>
      </c>
      <c r="B246" s="0" t="s">
        <v>168</v>
      </c>
      <c r="C246" s="0" t="s">
        <v>568</v>
      </c>
      <c r="D246" s="0" t="s">
        <v>569</v>
      </c>
      <c r="F246" s="0" t="s">
        <v>570</v>
      </c>
    </row>
    <row r="247" customFormat="false" ht="15" hidden="false" customHeight="false" outlineLevel="0" collapsed="false">
      <c r="A247" s="0" t="n">
        <v>246</v>
      </c>
      <c r="B247" s="0" t="s">
        <v>168</v>
      </c>
      <c r="C247" s="0" t="s">
        <v>571</v>
      </c>
      <c r="D247" s="0" t="s">
        <v>572</v>
      </c>
    </row>
    <row r="248" customFormat="false" ht="15" hidden="false" customHeight="false" outlineLevel="0" collapsed="false">
      <c r="A248" s="0" t="n">
        <v>247</v>
      </c>
      <c r="B248" s="0" t="s">
        <v>168</v>
      </c>
      <c r="C248" s="0" t="s">
        <v>353</v>
      </c>
      <c r="D248" s="0" t="s">
        <v>573</v>
      </c>
      <c r="F248" s="0" t="s">
        <v>355</v>
      </c>
    </row>
    <row r="249" customFormat="false" ht="15" hidden="false" customHeight="false" outlineLevel="0" collapsed="false">
      <c r="A249" s="0" t="n">
        <v>248</v>
      </c>
      <c r="B249" s="0" t="s">
        <v>171</v>
      </c>
      <c r="C249" s="0" t="s">
        <v>466</v>
      </c>
      <c r="D249" s="0" t="s">
        <v>361</v>
      </c>
    </row>
    <row r="250" customFormat="false" ht="15" hidden="false" customHeight="false" outlineLevel="0" collapsed="false">
      <c r="A250" s="0" t="n">
        <v>249</v>
      </c>
      <c r="B250" s="0" t="s">
        <v>171</v>
      </c>
      <c r="C250" s="0" t="s">
        <v>544</v>
      </c>
      <c r="D250" s="0" t="s">
        <v>361</v>
      </c>
    </row>
    <row r="251" customFormat="false" ht="15" hidden="false" customHeight="false" outlineLevel="0" collapsed="false">
      <c r="A251" s="0" t="n">
        <v>250</v>
      </c>
      <c r="B251" s="0" t="s">
        <v>171</v>
      </c>
      <c r="C251" s="0" t="s">
        <v>409</v>
      </c>
      <c r="D251" s="0" t="s">
        <v>361</v>
      </c>
      <c r="F251" s="0" t="s">
        <v>390</v>
      </c>
    </row>
    <row r="252" customFormat="false" ht="15" hidden="false" customHeight="false" outlineLevel="0" collapsed="false">
      <c r="A252" s="0" t="n">
        <v>251</v>
      </c>
      <c r="B252" s="0" t="s">
        <v>173</v>
      </c>
      <c r="C252" s="0" t="s">
        <v>574</v>
      </c>
      <c r="D252" s="0" t="s">
        <v>575</v>
      </c>
      <c r="F252" s="0" t="s">
        <v>355</v>
      </c>
    </row>
    <row r="253" customFormat="false" ht="15" hidden="false" customHeight="false" outlineLevel="0" collapsed="false">
      <c r="A253" s="0" t="n">
        <v>252</v>
      </c>
      <c r="B253" s="0" t="s">
        <v>173</v>
      </c>
      <c r="C253" s="0" t="s">
        <v>362</v>
      </c>
      <c r="D253" s="0" t="s">
        <v>361</v>
      </c>
      <c r="F253" s="0" t="s">
        <v>362</v>
      </c>
    </row>
    <row r="254" customFormat="false" ht="15" hidden="false" customHeight="false" outlineLevel="0" collapsed="false">
      <c r="A254" s="0" t="n">
        <v>253</v>
      </c>
      <c r="B254" s="0" t="s">
        <v>173</v>
      </c>
      <c r="C254" s="0" t="s">
        <v>468</v>
      </c>
      <c r="D254" s="0" t="s">
        <v>361</v>
      </c>
      <c r="F254" s="0" t="s">
        <v>390</v>
      </c>
    </row>
    <row r="255" customFormat="false" ht="15" hidden="false" customHeight="false" outlineLevel="0" collapsed="false">
      <c r="A255" s="0" t="n">
        <v>254</v>
      </c>
      <c r="B255" s="0" t="s">
        <v>173</v>
      </c>
      <c r="C255" s="0" t="s">
        <v>576</v>
      </c>
      <c r="D255" s="0" t="s">
        <v>361</v>
      </c>
      <c r="F255" s="0" t="s">
        <v>431</v>
      </c>
    </row>
    <row r="256" customFormat="false" ht="15" hidden="false" customHeight="false" outlineLevel="0" collapsed="false">
      <c r="A256" s="0" t="n">
        <v>255</v>
      </c>
      <c r="B256" s="0" t="s">
        <v>173</v>
      </c>
      <c r="C256" s="0" t="s">
        <v>397</v>
      </c>
      <c r="D256" s="0" t="s">
        <v>361</v>
      </c>
      <c r="F256" s="0" t="s">
        <v>366</v>
      </c>
    </row>
    <row r="257" customFormat="false" ht="15" hidden="false" customHeight="false" outlineLevel="0" collapsed="false">
      <c r="A257" s="0" t="n">
        <v>256</v>
      </c>
      <c r="B257" s="0" t="s">
        <v>176</v>
      </c>
      <c r="C257" s="0" t="s">
        <v>508</v>
      </c>
      <c r="D257" s="0" t="s">
        <v>361</v>
      </c>
      <c r="F257" s="0" t="s">
        <v>404</v>
      </c>
    </row>
    <row r="258" customFormat="false" ht="15" hidden="false" customHeight="false" outlineLevel="0" collapsed="false">
      <c r="A258" s="0" t="n">
        <v>257</v>
      </c>
      <c r="B258" s="0" t="s">
        <v>176</v>
      </c>
      <c r="C258" s="0" t="s">
        <v>340</v>
      </c>
      <c r="D258" s="0" t="s">
        <v>361</v>
      </c>
      <c r="F258" s="0" t="s">
        <v>340</v>
      </c>
    </row>
    <row r="259" customFormat="false" ht="15" hidden="false" customHeight="false" outlineLevel="0" collapsed="false">
      <c r="A259" s="0" t="n">
        <v>258</v>
      </c>
      <c r="B259" s="0" t="s">
        <v>176</v>
      </c>
      <c r="C259" s="0" t="s">
        <v>409</v>
      </c>
      <c r="D259" s="0" t="s">
        <v>361</v>
      </c>
      <c r="F259" s="0" t="s">
        <v>390</v>
      </c>
    </row>
    <row r="260" customFormat="false" ht="15" hidden="false" customHeight="false" outlineLevel="0" collapsed="false">
      <c r="A260" s="0" t="n">
        <v>259</v>
      </c>
      <c r="B260" s="0" t="s">
        <v>176</v>
      </c>
      <c r="C260" s="0" t="s">
        <v>374</v>
      </c>
      <c r="D260" s="0" t="s">
        <v>361</v>
      </c>
      <c r="F260" s="0" t="s">
        <v>374</v>
      </c>
    </row>
    <row r="261" customFormat="false" ht="15" hidden="false" customHeight="false" outlineLevel="0" collapsed="false">
      <c r="A261" s="0" t="n">
        <v>260</v>
      </c>
      <c r="B261" s="0" t="s">
        <v>179</v>
      </c>
      <c r="C261" s="0" t="s">
        <v>577</v>
      </c>
      <c r="D261" s="0" t="s">
        <v>578</v>
      </c>
      <c r="F261" s="0" t="s">
        <v>355</v>
      </c>
    </row>
    <row r="262" customFormat="false" ht="15" hidden="false" customHeight="false" outlineLevel="0" collapsed="false">
      <c r="A262" s="0" t="n">
        <v>261</v>
      </c>
      <c r="B262" s="0" t="s">
        <v>179</v>
      </c>
      <c r="C262" s="0" t="s">
        <v>579</v>
      </c>
      <c r="D262" s="0" t="s">
        <v>361</v>
      </c>
      <c r="F262" s="0" t="s">
        <v>366</v>
      </c>
    </row>
    <row r="263" customFormat="false" ht="15" hidden="false" customHeight="false" outlineLevel="0" collapsed="false">
      <c r="A263" s="0" t="n">
        <v>262</v>
      </c>
      <c r="B263" s="0" t="s">
        <v>179</v>
      </c>
      <c r="C263" s="0" t="s">
        <v>580</v>
      </c>
      <c r="D263" s="0" t="s">
        <v>361</v>
      </c>
      <c r="F263" s="0" t="s">
        <v>581</v>
      </c>
    </row>
    <row r="264" customFormat="false" ht="15" hidden="false" customHeight="false" outlineLevel="0" collapsed="false">
      <c r="A264" s="0" t="n">
        <v>263</v>
      </c>
      <c r="B264" s="0" t="s">
        <v>179</v>
      </c>
      <c r="C264" s="0" t="s">
        <v>582</v>
      </c>
      <c r="D264" s="0" t="s">
        <v>361</v>
      </c>
      <c r="F264" s="0" t="s">
        <v>352</v>
      </c>
    </row>
    <row r="265" customFormat="false" ht="15" hidden="false" customHeight="false" outlineLevel="0" collapsed="false">
      <c r="A265" s="0" t="n">
        <v>264</v>
      </c>
      <c r="B265" s="0" t="s">
        <v>179</v>
      </c>
      <c r="C265" s="0" t="s">
        <v>526</v>
      </c>
      <c r="D265" s="0" t="s">
        <v>361</v>
      </c>
      <c r="F265" s="0" t="s">
        <v>375</v>
      </c>
    </row>
    <row r="266" customFormat="false" ht="15" hidden="false" customHeight="false" outlineLevel="0" collapsed="false">
      <c r="A266" s="0" t="n">
        <v>265</v>
      </c>
      <c r="B266" s="0" t="s">
        <v>179</v>
      </c>
      <c r="C266" s="0" t="s">
        <v>344</v>
      </c>
      <c r="D266" s="0" t="s">
        <v>361</v>
      </c>
      <c r="F266" s="0" t="s">
        <v>344</v>
      </c>
    </row>
    <row r="267" customFormat="false" ht="15" hidden="false" customHeight="false" outlineLevel="0" collapsed="false">
      <c r="A267" s="0" t="n">
        <v>266</v>
      </c>
      <c r="B267" s="0" t="s">
        <v>179</v>
      </c>
      <c r="C267" s="0" t="s">
        <v>340</v>
      </c>
      <c r="D267" s="0" t="s">
        <v>361</v>
      </c>
      <c r="F267" s="0" t="s">
        <v>340</v>
      </c>
    </row>
    <row r="268" customFormat="false" ht="15" hidden="false" customHeight="false" outlineLevel="0" collapsed="false">
      <c r="A268" s="0" t="n">
        <v>267</v>
      </c>
      <c r="B268" s="0" t="s">
        <v>184</v>
      </c>
      <c r="C268" s="0" t="s">
        <v>466</v>
      </c>
      <c r="D268" s="0" t="s">
        <v>361</v>
      </c>
    </row>
    <row r="269" customFormat="false" ht="15" hidden="false" customHeight="false" outlineLevel="0" collapsed="false">
      <c r="A269" s="0" t="n">
        <v>268</v>
      </c>
      <c r="B269" s="0" t="s">
        <v>184</v>
      </c>
      <c r="C269" s="0" t="s">
        <v>386</v>
      </c>
      <c r="D269" s="0" t="s">
        <v>361</v>
      </c>
    </row>
    <row r="270" customFormat="false" ht="15" hidden="false" customHeight="false" outlineLevel="0" collapsed="false">
      <c r="A270" s="0" t="n">
        <v>269</v>
      </c>
      <c r="B270" s="0" t="s">
        <v>184</v>
      </c>
      <c r="C270" s="0" t="s">
        <v>583</v>
      </c>
      <c r="D270" s="0" t="s">
        <v>361</v>
      </c>
    </row>
    <row r="271" customFormat="false" ht="15" hidden="false" customHeight="false" outlineLevel="0" collapsed="false">
      <c r="A271" s="0" t="n">
        <v>270</v>
      </c>
      <c r="B271" s="0" t="s">
        <v>184</v>
      </c>
      <c r="C271" s="0" t="s">
        <v>409</v>
      </c>
      <c r="D271" s="0" t="s">
        <v>361</v>
      </c>
      <c r="F271" s="0" t="s">
        <v>390</v>
      </c>
    </row>
    <row r="272" customFormat="false" ht="15" hidden="false" customHeight="false" outlineLevel="0" collapsed="false">
      <c r="A272" s="0" t="n">
        <v>271</v>
      </c>
      <c r="B272" s="0" t="s">
        <v>187</v>
      </c>
      <c r="C272" s="0" t="s">
        <v>584</v>
      </c>
      <c r="D272" s="0" t="s">
        <v>361</v>
      </c>
      <c r="F272" s="0" t="s">
        <v>355</v>
      </c>
    </row>
    <row r="273" customFormat="false" ht="15" hidden="false" customHeight="false" outlineLevel="0" collapsed="false">
      <c r="A273" s="0" t="n">
        <v>272</v>
      </c>
      <c r="B273" s="0" t="s">
        <v>187</v>
      </c>
      <c r="C273" s="0" t="s">
        <v>585</v>
      </c>
      <c r="D273" s="0" t="s">
        <v>361</v>
      </c>
      <c r="F273" s="0" t="s">
        <v>586</v>
      </c>
    </row>
    <row r="274" customFormat="false" ht="15" hidden="false" customHeight="false" outlineLevel="0" collapsed="false">
      <c r="A274" s="0" t="n">
        <v>273</v>
      </c>
      <c r="B274" s="0" t="s">
        <v>187</v>
      </c>
      <c r="C274" s="0" t="s">
        <v>587</v>
      </c>
      <c r="D274" s="0" t="s">
        <v>361</v>
      </c>
      <c r="F274" s="0" t="s">
        <v>431</v>
      </c>
    </row>
    <row r="275" customFormat="false" ht="15" hidden="false" customHeight="false" outlineLevel="0" collapsed="false">
      <c r="A275" s="0" t="n">
        <v>274</v>
      </c>
      <c r="B275" s="0" t="s">
        <v>187</v>
      </c>
      <c r="C275" s="0" t="s">
        <v>588</v>
      </c>
      <c r="D275" s="0" t="s">
        <v>361</v>
      </c>
      <c r="F275" s="0" t="s">
        <v>374</v>
      </c>
    </row>
    <row r="276" customFormat="false" ht="15" hidden="false" customHeight="false" outlineLevel="0" collapsed="false">
      <c r="A276" s="0" t="n">
        <v>275</v>
      </c>
      <c r="B276" s="0" t="s">
        <v>187</v>
      </c>
      <c r="C276" s="0" t="s">
        <v>589</v>
      </c>
      <c r="D276" s="0" t="s">
        <v>361</v>
      </c>
      <c r="F276" s="0" t="s">
        <v>362</v>
      </c>
    </row>
    <row r="277" customFormat="false" ht="15" hidden="false" customHeight="false" outlineLevel="0" collapsed="false">
      <c r="A277" s="0" t="n">
        <v>276</v>
      </c>
      <c r="B277" s="0" t="s">
        <v>187</v>
      </c>
      <c r="C277" s="0" t="s">
        <v>590</v>
      </c>
      <c r="D277" s="0" t="s">
        <v>361</v>
      </c>
      <c r="F277" s="0" t="s">
        <v>591</v>
      </c>
    </row>
    <row r="278" customFormat="false" ht="15" hidden="false" customHeight="false" outlineLevel="0" collapsed="false">
      <c r="A278" s="0" t="n">
        <v>277</v>
      </c>
      <c r="B278" s="0" t="s">
        <v>190</v>
      </c>
      <c r="C278" s="0" t="s">
        <v>515</v>
      </c>
      <c r="D278" s="0" t="s">
        <v>361</v>
      </c>
      <c r="F278" s="0" t="s">
        <v>404</v>
      </c>
    </row>
    <row r="279" customFormat="false" ht="15" hidden="false" customHeight="false" outlineLevel="0" collapsed="false">
      <c r="A279" s="0" t="n">
        <v>278</v>
      </c>
      <c r="B279" s="0" t="s">
        <v>190</v>
      </c>
      <c r="C279" s="0" t="s">
        <v>592</v>
      </c>
      <c r="D279" s="0" t="s">
        <v>361</v>
      </c>
      <c r="F279" s="0" t="s">
        <v>593</v>
      </c>
    </row>
    <row r="280" customFormat="false" ht="15" hidden="false" customHeight="false" outlineLevel="0" collapsed="false">
      <c r="A280" s="0" t="n">
        <v>279</v>
      </c>
      <c r="B280" s="0" t="s">
        <v>190</v>
      </c>
      <c r="C280" s="0" t="s">
        <v>594</v>
      </c>
      <c r="D280" s="0" t="s">
        <v>361</v>
      </c>
      <c r="F280" s="0" t="s">
        <v>595</v>
      </c>
    </row>
    <row r="281" customFormat="false" ht="15" hidden="false" customHeight="false" outlineLevel="0" collapsed="false">
      <c r="A281" s="0" t="n">
        <v>280</v>
      </c>
      <c r="B281" s="0" t="s">
        <v>190</v>
      </c>
      <c r="C281" s="0" t="s">
        <v>596</v>
      </c>
      <c r="D281" s="0" t="s">
        <v>361</v>
      </c>
      <c r="F281" s="0" t="s">
        <v>374</v>
      </c>
    </row>
    <row r="282" customFormat="false" ht="15" hidden="false" customHeight="false" outlineLevel="0" collapsed="false">
      <c r="A282" s="0" t="n">
        <v>281</v>
      </c>
      <c r="B282" s="0" t="s">
        <v>193</v>
      </c>
      <c r="C282" s="0" t="s">
        <v>403</v>
      </c>
      <c r="D282" s="0" t="s">
        <v>361</v>
      </c>
      <c r="F282" s="0" t="s">
        <v>404</v>
      </c>
    </row>
    <row r="283" customFormat="false" ht="15" hidden="false" customHeight="false" outlineLevel="0" collapsed="false">
      <c r="A283" s="0" t="n">
        <v>282</v>
      </c>
      <c r="B283" s="0" t="s">
        <v>193</v>
      </c>
      <c r="C283" s="0" t="s">
        <v>340</v>
      </c>
      <c r="D283" s="0" t="s">
        <v>361</v>
      </c>
      <c r="F283" s="0" t="s">
        <v>340</v>
      </c>
    </row>
    <row r="284" customFormat="false" ht="15" hidden="false" customHeight="false" outlineLevel="0" collapsed="false">
      <c r="A284" s="0" t="n">
        <v>283</v>
      </c>
      <c r="B284" s="0" t="s">
        <v>193</v>
      </c>
      <c r="C284" s="0" t="s">
        <v>597</v>
      </c>
      <c r="D284" s="0" t="s">
        <v>361</v>
      </c>
      <c r="F284" s="0" t="s">
        <v>352</v>
      </c>
    </row>
    <row r="285" customFormat="false" ht="15" hidden="false" customHeight="false" outlineLevel="0" collapsed="false">
      <c r="A285" s="0" t="n">
        <v>284</v>
      </c>
      <c r="B285" s="0" t="s">
        <v>193</v>
      </c>
      <c r="C285" s="0" t="s">
        <v>344</v>
      </c>
      <c r="D285" s="0" t="s">
        <v>361</v>
      </c>
      <c r="F285" s="0" t="s">
        <v>344</v>
      </c>
    </row>
    <row r="286" customFormat="false" ht="15" hidden="false" customHeight="false" outlineLevel="0" collapsed="false">
      <c r="A286" s="0" t="n">
        <v>285</v>
      </c>
      <c r="B286" s="0" t="s">
        <v>193</v>
      </c>
      <c r="C286" s="0" t="s">
        <v>598</v>
      </c>
      <c r="D286" s="0" t="s">
        <v>361</v>
      </c>
      <c r="F286" s="0" t="s">
        <v>390</v>
      </c>
    </row>
    <row r="287" customFormat="false" ht="15" hidden="false" customHeight="false" outlineLevel="0" collapsed="false">
      <c r="A287" s="0" t="n">
        <v>286</v>
      </c>
      <c r="B287" s="0" t="s">
        <v>196</v>
      </c>
      <c r="C287" s="0" t="s">
        <v>599</v>
      </c>
      <c r="D287" s="0" t="s">
        <v>600</v>
      </c>
    </row>
    <row r="288" customFormat="false" ht="15" hidden="false" customHeight="false" outlineLevel="0" collapsed="false">
      <c r="A288" s="0" t="n">
        <v>287</v>
      </c>
      <c r="B288" s="0" t="s">
        <v>196</v>
      </c>
      <c r="C288" s="0" t="s">
        <v>601</v>
      </c>
      <c r="D288" s="0" t="s">
        <v>361</v>
      </c>
    </row>
    <row r="289" customFormat="false" ht="15" hidden="false" customHeight="false" outlineLevel="0" collapsed="false">
      <c r="A289" s="0" t="n">
        <v>288</v>
      </c>
      <c r="B289" s="0" t="s">
        <v>196</v>
      </c>
      <c r="C289" s="0" t="s">
        <v>409</v>
      </c>
      <c r="D289" s="0" t="s">
        <v>361</v>
      </c>
      <c r="F289" s="0" t="s">
        <v>390</v>
      </c>
    </row>
    <row r="290" customFormat="false" ht="15" hidden="false" customHeight="false" outlineLevel="0" collapsed="false">
      <c r="A290" s="0" t="n">
        <v>289</v>
      </c>
      <c r="B290" s="0" t="s">
        <v>196</v>
      </c>
      <c r="C290" s="0" t="s">
        <v>362</v>
      </c>
      <c r="D290" s="0" t="s">
        <v>361</v>
      </c>
      <c r="F290" s="0" t="s">
        <v>362</v>
      </c>
    </row>
    <row r="291" customFormat="false" ht="15" hidden="false" customHeight="false" outlineLevel="0" collapsed="false">
      <c r="A291" s="0" t="n">
        <v>290</v>
      </c>
      <c r="B291" s="0" t="s">
        <v>196</v>
      </c>
      <c r="C291" s="0" t="s">
        <v>602</v>
      </c>
      <c r="D291" s="0" t="s">
        <v>361</v>
      </c>
      <c r="F291" s="0" t="s">
        <v>570</v>
      </c>
    </row>
    <row r="292" customFormat="false" ht="15" hidden="false" customHeight="false" outlineLevel="0" collapsed="false">
      <c r="A292" s="0" t="n">
        <v>291</v>
      </c>
      <c r="B292" s="0" t="s">
        <v>196</v>
      </c>
      <c r="C292" s="0" t="s">
        <v>603</v>
      </c>
      <c r="D292" s="0" t="s">
        <v>361</v>
      </c>
    </row>
    <row r="293" customFormat="false" ht="15" hidden="false" customHeight="false" outlineLevel="0" collapsed="false">
      <c r="A293" s="0" t="n">
        <v>292</v>
      </c>
      <c r="B293" s="0" t="s">
        <v>199</v>
      </c>
      <c r="C293" s="0" t="s">
        <v>508</v>
      </c>
      <c r="D293" s="0" t="s">
        <v>361</v>
      </c>
      <c r="F293" s="0" t="s">
        <v>404</v>
      </c>
    </row>
    <row r="294" customFormat="false" ht="15" hidden="false" customHeight="false" outlineLevel="0" collapsed="false">
      <c r="A294" s="0" t="n">
        <v>293</v>
      </c>
      <c r="B294" s="0" t="s">
        <v>199</v>
      </c>
      <c r="C294" s="0" t="s">
        <v>467</v>
      </c>
      <c r="D294" s="0" t="s">
        <v>361</v>
      </c>
      <c r="F294" s="0" t="s">
        <v>352</v>
      </c>
    </row>
    <row r="295" customFormat="false" ht="15" hidden="false" customHeight="false" outlineLevel="0" collapsed="false">
      <c r="A295" s="0" t="n">
        <v>294</v>
      </c>
      <c r="B295" s="0" t="s">
        <v>199</v>
      </c>
      <c r="C295" s="0" t="s">
        <v>604</v>
      </c>
      <c r="D295" s="0" t="s">
        <v>361</v>
      </c>
    </row>
    <row r="296" customFormat="false" ht="15" hidden="false" customHeight="false" outlineLevel="0" collapsed="false">
      <c r="A296" s="0" t="n">
        <v>295</v>
      </c>
      <c r="B296" s="0" t="s">
        <v>199</v>
      </c>
      <c r="C296" s="0" t="s">
        <v>605</v>
      </c>
      <c r="D296" s="0" t="s">
        <v>361</v>
      </c>
      <c r="F296" s="0" t="s">
        <v>593</v>
      </c>
    </row>
    <row r="297" customFormat="false" ht="15" hidden="false" customHeight="false" outlineLevel="0" collapsed="false">
      <c r="A297" s="0" t="n">
        <v>296</v>
      </c>
      <c r="B297" s="0" t="s">
        <v>202</v>
      </c>
      <c r="C297" s="0" t="s">
        <v>606</v>
      </c>
      <c r="D297" s="0" t="s">
        <v>607</v>
      </c>
    </row>
    <row r="298" customFormat="false" ht="15" hidden="false" customHeight="false" outlineLevel="0" collapsed="false">
      <c r="A298" s="0" t="n">
        <v>297</v>
      </c>
      <c r="B298" s="0" t="s">
        <v>202</v>
      </c>
      <c r="C298" s="0" t="s">
        <v>362</v>
      </c>
      <c r="D298" s="0" t="s">
        <v>361</v>
      </c>
      <c r="F298" s="0" t="s">
        <v>362</v>
      </c>
    </row>
    <row r="299" customFormat="false" ht="15" hidden="false" customHeight="false" outlineLevel="0" collapsed="false">
      <c r="A299" s="0" t="n">
        <v>298</v>
      </c>
      <c r="B299" s="0" t="s">
        <v>202</v>
      </c>
      <c r="C299" s="0" t="s">
        <v>608</v>
      </c>
      <c r="D299" s="0" t="s">
        <v>361</v>
      </c>
      <c r="F299" s="0" t="s">
        <v>390</v>
      </c>
    </row>
    <row r="300" customFormat="false" ht="15" hidden="false" customHeight="false" outlineLevel="0" collapsed="false">
      <c r="A300" s="0" t="n">
        <v>299</v>
      </c>
      <c r="B300" s="0" t="s">
        <v>202</v>
      </c>
      <c r="C300" s="0" t="s">
        <v>609</v>
      </c>
      <c r="D300" s="0" t="s">
        <v>361</v>
      </c>
      <c r="F300" s="0" t="s">
        <v>375</v>
      </c>
    </row>
    <row r="301" customFormat="false" ht="15" hidden="false" customHeight="false" outlineLevel="0" collapsed="false">
      <c r="A301" s="0" t="n">
        <v>300</v>
      </c>
      <c r="B301" s="0" t="s">
        <v>202</v>
      </c>
      <c r="C301" s="0" t="s">
        <v>610</v>
      </c>
      <c r="D301" s="0" t="s">
        <v>361</v>
      </c>
    </row>
    <row r="302" customFormat="false" ht="15" hidden="false" customHeight="false" outlineLevel="0" collapsed="false">
      <c r="A302" s="0" t="n">
        <v>301</v>
      </c>
      <c r="B302" s="0" t="s">
        <v>205</v>
      </c>
      <c r="C302" s="0" t="s">
        <v>611</v>
      </c>
      <c r="D302" s="0" t="s">
        <v>612</v>
      </c>
      <c r="F302" s="0" t="s">
        <v>366</v>
      </c>
    </row>
    <row r="303" customFormat="false" ht="15" hidden="false" customHeight="false" outlineLevel="0" collapsed="false">
      <c r="A303" s="0" t="n">
        <v>302</v>
      </c>
      <c r="B303" s="0" t="s">
        <v>205</v>
      </c>
      <c r="C303" s="0" t="s">
        <v>613</v>
      </c>
      <c r="D303" s="0" t="s">
        <v>614</v>
      </c>
      <c r="F303" s="0" t="s">
        <v>366</v>
      </c>
    </row>
    <row r="304" customFormat="false" ht="15" hidden="false" customHeight="false" outlineLevel="0" collapsed="false">
      <c r="A304" s="0" t="n">
        <v>303</v>
      </c>
      <c r="B304" s="0" t="s">
        <v>205</v>
      </c>
      <c r="C304" s="0" t="s">
        <v>615</v>
      </c>
      <c r="D304" s="0" t="s">
        <v>616</v>
      </c>
    </row>
    <row r="305" customFormat="false" ht="15" hidden="false" customHeight="false" outlineLevel="0" collapsed="false">
      <c r="A305" s="0" t="n">
        <v>304</v>
      </c>
      <c r="B305" s="0" t="s">
        <v>205</v>
      </c>
      <c r="C305" s="0" t="s">
        <v>615</v>
      </c>
      <c r="D305" s="0" t="s">
        <v>617</v>
      </c>
    </row>
    <row r="306" customFormat="false" ht="15" hidden="false" customHeight="false" outlineLevel="0" collapsed="false">
      <c r="A306" s="0" t="n">
        <v>305</v>
      </c>
      <c r="B306" s="0" t="s">
        <v>205</v>
      </c>
      <c r="C306" s="0" t="s">
        <v>615</v>
      </c>
      <c r="D306" s="0" t="s">
        <v>618</v>
      </c>
    </row>
    <row r="307" customFormat="false" ht="15" hidden="false" customHeight="false" outlineLevel="0" collapsed="false">
      <c r="A307" s="0" t="n">
        <v>306</v>
      </c>
      <c r="B307" s="0" t="s">
        <v>208</v>
      </c>
      <c r="C307" s="0" t="s">
        <v>619</v>
      </c>
      <c r="D307" s="0" t="s">
        <v>620</v>
      </c>
    </row>
    <row r="308" customFormat="false" ht="15" hidden="false" customHeight="false" outlineLevel="0" collapsed="false">
      <c r="A308" s="0" t="n">
        <v>307</v>
      </c>
      <c r="B308" s="0" t="s">
        <v>208</v>
      </c>
      <c r="C308" s="0" t="s">
        <v>621</v>
      </c>
      <c r="D308" s="0" t="s">
        <v>361</v>
      </c>
      <c r="F308" s="0" t="s">
        <v>340</v>
      </c>
    </row>
    <row r="309" customFormat="false" ht="15" hidden="false" customHeight="false" outlineLevel="0" collapsed="false">
      <c r="A309" s="0" t="n">
        <v>308</v>
      </c>
      <c r="B309" s="0" t="s">
        <v>208</v>
      </c>
      <c r="C309" s="0" t="s">
        <v>353</v>
      </c>
      <c r="D309" s="0" t="s">
        <v>361</v>
      </c>
      <c r="F309" s="0" t="s">
        <v>355</v>
      </c>
    </row>
    <row r="310" customFormat="false" ht="15" hidden="false" customHeight="false" outlineLevel="0" collapsed="false">
      <c r="A310" s="0" t="n">
        <v>309</v>
      </c>
      <c r="B310" s="0" t="s">
        <v>208</v>
      </c>
      <c r="C310" s="0" t="s">
        <v>622</v>
      </c>
      <c r="D310" s="0" t="s">
        <v>361</v>
      </c>
      <c r="F310" s="0" t="s">
        <v>349</v>
      </c>
    </row>
    <row r="311" customFormat="false" ht="15" hidden="false" customHeight="false" outlineLevel="0" collapsed="false">
      <c r="A311" s="0" t="n">
        <v>310</v>
      </c>
      <c r="B311" s="0" t="s">
        <v>212</v>
      </c>
      <c r="C311" s="0" t="s">
        <v>623</v>
      </c>
      <c r="D311" s="0" t="s">
        <v>361</v>
      </c>
      <c r="F311" s="0" t="s">
        <v>355</v>
      </c>
    </row>
    <row r="312" customFormat="false" ht="15" hidden="false" customHeight="false" outlineLevel="0" collapsed="false">
      <c r="A312" s="0" t="n">
        <v>311</v>
      </c>
      <c r="B312" s="0" t="s">
        <v>212</v>
      </c>
      <c r="C312" s="0" t="s">
        <v>624</v>
      </c>
      <c r="D312" s="0" t="s">
        <v>361</v>
      </c>
      <c r="F312" s="0" t="s">
        <v>414</v>
      </c>
    </row>
    <row r="313" customFormat="false" ht="15" hidden="false" customHeight="false" outlineLevel="0" collapsed="false">
      <c r="A313" s="0" t="n">
        <v>312</v>
      </c>
      <c r="B313" s="0" t="s">
        <v>212</v>
      </c>
      <c r="C313" s="0" t="s">
        <v>418</v>
      </c>
      <c r="D313" s="0" t="s">
        <v>361</v>
      </c>
      <c r="F313" s="0" t="s">
        <v>407</v>
      </c>
    </row>
    <row r="314" customFormat="false" ht="15" hidden="false" customHeight="false" outlineLevel="0" collapsed="false">
      <c r="A314" s="0" t="n">
        <v>313</v>
      </c>
      <c r="B314" s="0" t="s">
        <v>212</v>
      </c>
      <c r="C314" s="0" t="s">
        <v>625</v>
      </c>
      <c r="D314" s="0" t="s">
        <v>361</v>
      </c>
      <c r="F314" s="0" t="s">
        <v>340</v>
      </c>
    </row>
    <row r="315" customFormat="false" ht="15" hidden="false" customHeight="false" outlineLevel="0" collapsed="false">
      <c r="A315" s="0" t="n">
        <v>314</v>
      </c>
      <c r="B315" s="0" t="s">
        <v>215</v>
      </c>
      <c r="C315" s="0" t="s">
        <v>626</v>
      </c>
      <c r="D315" s="0" t="s">
        <v>627</v>
      </c>
    </row>
    <row r="316" customFormat="false" ht="15" hidden="false" customHeight="false" outlineLevel="0" collapsed="false">
      <c r="A316" s="0" t="n">
        <v>315</v>
      </c>
      <c r="B316" s="0" t="s">
        <v>215</v>
      </c>
      <c r="C316" s="0" t="s">
        <v>628</v>
      </c>
      <c r="D316" s="0" t="s">
        <v>629</v>
      </c>
    </row>
    <row r="317" customFormat="false" ht="15" hidden="false" customHeight="false" outlineLevel="0" collapsed="false">
      <c r="A317" s="0" t="n">
        <v>316</v>
      </c>
      <c r="B317" s="0" t="s">
        <v>215</v>
      </c>
      <c r="C317" s="0" t="s">
        <v>630</v>
      </c>
      <c r="D317" s="0" t="s">
        <v>631</v>
      </c>
    </row>
    <row r="318" customFormat="false" ht="15" hidden="false" customHeight="false" outlineLevel="0" collapsed="false">
      <c r="A318" s="0" t="n">
        <v>317</v>
      </c>
      <c r="B318" s="0" t="s">
        <v>215</v>
      </c>
      <c r="C318" s="0" t="s">
        <v>632</v>
      </c>
      <c r="D318" s="0" t="s">
        <v>633</v>
      </c>
      <c r="F318" s="0" t="s">
        <v>355</v>
      </c>
    </row>
    <row r="319" customFormat="false" ht="15" hidden="false" customHeight="false" outlineLevel="0" collapsed="false">
      <c r="A319" s="0" t="n">
        <v>318</v>
      </c>
      <c r="B319" s="0" t="s">
        <v>218</v>
      </c>
      <c r="C319" s="0" t="s">
        <v>634</v>
      </c>
      <c r="D319" s="0" t="s">
        <v>361</v>
      </c>
      <c r="F319" s="0" t="s">
        <v>355</v>
      </c>
    </row>
    <row r="320" customFormat="false" ht="15" hidden="false" customHeight="false" outlineLevel="0" collapsed="false">
      <c r="A320" s="0" t="n">
        <v>319</v>
      </c>
      <c r="B320" s="0" t="s">
        <v>218</v>
      </c>
      <c r="C320" s="0" t="s">
        <v>635</v>
      </c>
      <c r="D320" s="0" t="s">
        <v>361</v>
      </c>
      <c r="F320" s="0" t="s">
        <v>414</v>
      </c>
    </row>
    <row r="321" customFormat="false" ht="15" hidden="false" customHeight="false" outlineLevel="0" collapsed="false">
      <c r="A321" s="0" t="n">
        <v>320</v>
      </c>
      <c r="B321" s="0" t="s">
        <v>218</v>
      </c>
      <c r="C321" s="0" t="s">
        <v>636</v>
      </c>
      <c r="D321" s="0" t="s">
        <v>361</v>
      </c>
    </row>
    <row r="322" customFormat="false" ht="15" hidden="false" customHeight="false" outlineLevel="0" collapsed="false">
      <c r="A322" s="0" t="n">
        <v>321</v>
      </c>
      <c r="B322" s="0" t="s">
        <v>218</v>
      </c>
      <c r="C322" s="0" t="s">
        <v>417</v>
      </c>
      <c r="D322" s="0" t="s">
        <v>361</v>
      </c>
      <c r="F322" s="0" t="s">
        <v>417</v>
      </c>
    </row>
    <row r="323" customFormat="false" ht="15" hidden="false" customHeight="false" outlineLevel="0" collapsed="false">
      <c r="A323" s="0" t="n">
        <v>322</v>
      </c>
      <c r="B323" s="0" t="s">
        <v>218</v>
      </c>
      <c r="C323" s="0" t="s">
        <v>510</v>
      </c>
      <c r="D323" s="0" t="s">
        <v>361</v>
      </c>
      <c r="F323" s="0" t="s">
        <v>431</v>
      </c>
    </row>
    <row r="324" customFormat="false" ht="15" hidden="false" customHeight="false" outlineLevel="0" collapsed="false">
      <c r="A324" s="0" t="n">
        <v>323</v>
      </c>
      <c r="B324" s="0" t="s">
        <v>218</v>
      </c>
      <c r="C324" s="0" t="s">
        <v>637</v>
      </c>
      <c r="D324" s="0" t="s">
        <v>638</v>
      </c>
    </row>
    <row r="325" customFormat="false" ht="15" hidden="false" customHeight="false" outlineLevel="0" collapsed="false">
      <c r="A325" s="0" t="n">
        <v>324</v>
      </c>
      <c r="B325" s="0" t="s">
        <v>221</v>
      </c>
      <c r="C325" s="0" t="s">
        <v>606</v>
      </c>
      <c r="D325" s="0" t="s">
        <v>639</v>
      </c>
    </row>
    <row r="326" customFormat="false" ht="15" hidden="false" customHeight="false" outlineLevel="0" collapsed="false">
      <c r="A326" s="0" t="n">
        <v>325</v>
      </c>
      <c r="B326" s="0" t="s">
        <v>221</v>
      </c>
      <c r="C326" s="0" t="s">
        <v>640</v>
      </c>
      <c r="D326" s="0" t="s">
        <v>361</v>
      </c>
      <c r="F326" s="0" t="s">
        <v>404</v>
      </c>
    </row>
    <row r="327" customFormat="false" ht="15" hidden="false" customHeight="false" outlineLevel="0" collapsed="false">
      <c r="A327" s="0" t="n">
        <v>326</v>
      </c>
      <c r="B327" s="0" t="s">
        <v>221</v>
      </c>
      <c r="C327" s="0" t="s">
        <v>340</v>
      </c>
      <c r="D327" s="0" t="s">
        <v>361</v>
      </c>
      <c r="F327" s="0" t="s">
        <v>340</v>
      </c>
    </row>
    <row r="328" customFormat="false" ht="15" hidden="false" customHeight="false" outlineLevel="0" collapsed="false">
      <c r="A328" s="0" t="n">
        <v>327</v>
      </c>
      <c r="B328" s="0" t="s">
        <v>221</v>
      </c>
      <c r="C328" s="0" t="s">
        <v>641</v>
      </c>
      <c r="D328" s="0" t="s">
        <v>361</v>
      </c>
    </row>
    <row r="329" customFormat="false" ht="15" hidden="false" customHeight="false" outlineLevel="0" collapsed="false">
      <c r="A329" s="0" t="n">
        <v>328</v>
      </c>
      <c r="B329" s="0" t="s">
        <v>221</v>
      </c>
      <c r="C329" s="0" t="s">
        <v>642</v>
      </c>
      <c r="D329" s="0" t="s">
        <v>361</v>
      </c>
      <c r="F329" s="0" t="s">
        <v>352</v>
      </c>
    </row>
    <row r="330" customFormat="false" ht="15" hidden="false" customHeight="false" outlineLevel="0" collapsed="false">
      <c r="A330" s="0" t="n">
        <v>329</v>
      </c>
      <c r="B330" s="0" t="s">
        <v>224</v>
      </c>
      <c r="C330" s="0" t="s">
        <v>466</v>
      </c>
      <c r="D330" s="0" t="s">
        <v>361</v>
      </c>
    </row>
    <row r="331" customFormat="false" ht="15" hidden="false" customHeight="false" outlineLevel="0" collapsed="false">
      <c r="A331" s="0" t="n">
        <v>330</v>
      </c>
      <c r="B331" s="0" t="s">
        <v>224</v>
      </c>
      <c r="C331" s="0" t="s">
        <v>643</v>
      </c>
      <c r="D331" s="0" t="s">
        <v>361</v>
      </c>
      <c r="F331" s="0" t="s">
        <v>644</v>
      </c>
    </row>
    <row r="332" customFormat="false" ht="15" hidden="false" customHeight="false" outlineLevel="0" collapsed="false">
      <c r="A332" s="0" t="n">
        <v>331</v>
      </c>
      <c r="B332" s="0" t="s">
        <v>224</v>
      </c>
      <c r="C332" s="0" t="s">
        <v>645</v>
      </c>
      <c r="D332" s="0" t="s">
        <v>361</v>
      </c>
      <c r="F332" s="0" t="s">
        <v>344</v>
      </c>
    </row>
    <row r="333" customFormat="false" ht="15" hidden="false" customHeight="false" outlineLevel="0" collapsed="false">
      <c r="A333" s="0" t="n">
        <v>332</v>
      </c>
      <c r="B333" s="0" t="s">
        <v>224</v>
      </c>
      <c r="C333" s="0" t="s">
        <v>646</v>
      </c>
      <c r="D333" s="0" t="s">
        <v>361</v>
      </c>
    </row>
    <row r="334" customFormat="false" ht="15" hidden="false" customHeight="false" outlineLevel="0" collapsed="false">
      <c r="A334" s="0" t="n">
        <v>333</v>
      </c>
      <c r="B334" s="0" t="s">
        <v>227</v>
      </c>
      <c r="C334" s="0" t="s">
        <v>353</v>
      </c>
      <c r="D334" s="0" t="s">
        <v>647</v>
      </c>
      <c r="F334" s="0" t="s">
        <v>355</v>
      </c>
    </row>
    <row r="335" customFormat="false" ht="15" hidden="false" customHeight="false" outlineLevel="0" collapsed="false">
      <c r="A335" s="0" t="n">
        <v>334</v>
      </c>
      <c r="B335" s="0" t="s">
        <v>227</v>
      </c>
      <c r="C335" s="0" t="s">
        <v>397</v>
      </c>
      <c r="D335" s="0" t="s">
        <v>361</v>
      </c>
      <c r="F335" s="0" t="s">
        <v>366</v>
      </c>
    </row>
    <row r="336" customFormat="false" ht="15" hidden="false" customHeight="false" outlineLevel="0" collapsed="false">
      <c r="A336" s="0" t="n">
        <v>335</v>
      </c>
      <c r="B336" s="0" t="s">
        <v>227</v>
      </c>
      <c r="C336" s="0" t="s">
        <v>340</v>
      </c>
      <c r="D336" s="0" t="s">
        <v>361</v>
      </c>
      <c r="F336" s="0" t="s">
        <v>340</v>
      </c>
    </row>
    <row r="337" customFormat="false" ht="15" hidden="false" customHeight="false" outlineLevel="0" collapsed="false">
      <c r="A337" s="0" t="n">
        <v>336</v>
      </c>
      <c r="B337" s="0" t="s">
        <v>227</v>
      </c>
      <c r="C337" s="0" t="s">
        <v>602</v>
      </c>
      <c r="D337" s="0" t="s">
        <v>361</v>
      </c>
      <c r="F337" s="0" t="s">
        <v>570</v>
      </c>
    </row>
    <row r="338" customFormat="false" ht="15" hidden="false" customHeight="false" outlineLevel="0" collapsed="false">
      <c r="A338" s="0" t="n">
        <v>337</v>
      </c>
      <c r="B338" s="0" t="s">
        <v>227</v>
      </c>
      <c r="C338" s="0" t="s">
        <v>648</v>
      </c>
      <c r="D338" s="0" t="s">
        <v>361</v>
      </c>
    </row>
    <row r="339" customFormat="false" ht="15" hidden="false" customHeight="false" outlineLevel="0" collapsed="false">
      <c r="A339" s="0" t="n">
        <v>338</v>
      </c>
      <c r="B339" s="0" t="s">
        <v>230</v>
      </c>
      <c r="C339" s="0" t="s">
        <v>649</v>
      </c>
      <c r="D339" s="0" t="s">
        <v>361</v>
      </c>
      <c r="F339" s="0" t="s">
        <v>650</v>
      </c>
    </row>
    <row r="340" customFormat="false" ht="15" hidden="false" customHeight="false" outlineLevel="0" collapsed="false">
      <c r="A340" s="0" t="n">
        <v>339</v>
      </c>
      <c r="B340" s="0" t="s">
        <v>230</v>
      </c>
      <c r="C340" s="0" t="s">
        <v>509</v>
      </c>
      <c r="D340" s="0" t="s">
        <v>361</v>
      </c>
      <c r="F340" s="0" t="s">
        <v>435</v>
      </c>
    </row>
    <row r="341" customFormat="false" ht="15" hidden="false" customHeight="false" outlineLevel="0" collapsed="false">
      <c r="A341" s="0" t="n">
        <v>340</v>
      </c>
      <c r="B341" s="0" t="s">
        <v>230</v>
      </c>
      <c r="C341" s="0" t="s">
        <v>544</v>
      </c>
      <c r="D341" s="0" t="s">
        <v>361</v>
      </c>
    </row>
    <row r="342" customFormat="false" ht="15" hidden="false" customHeight="false" outlineLevel="0" collapsed="false">
      <c r="A342" s="0" t="n">
        <v>341</v>
      </c>
      <c r="B342" s="0" t="s">
        <v>233</v>
      </c>
      <c r="C342" s="0" t="s">
        <v>651</v>
      </c>
      <c r="D342" s="0" t="s">
        <v>652</v>
      </c>
      <c r="F342" s="0" t="s">
        <v>518</v>
      </c>
    </row>
    <row r="343" customFormat="false" ht="15" hidden="false" customHeight="false" outlineLevel="0" collapsed="false">
      <c r="A343" s="0" t="n">
        <v>342</v>
      </c>
      <c r="B343" s="0" t="s">
        <v>233</v>
      </c>
      <c r="C343" s="0" t="s">
        <v>653</v>
      </c>
      <c r="D343" s="0" t="s">
        <v>394</v>
      </c>
    </row>
    <row r="344" customFormat="false" ht="15" hidden="false" customHeight="false" outlineLevel="0" collapsed="false">
      <c r="A344" s="0" t="n">
        <v>343</v>
      </c>
      <c r="B344" s="0" t="s">
        <v>233</v>
      </c>
      <c r="C344" s="0" t="s">
        <v>654</v>
      </c>
      <c r="D344" s="0" t="s">
        <v>361</v>
      </c>
      <c r="F344" s="0" t="s">
        <v>414</v>
      </c>
    </row>
    <row r="345" customFormat="false" ht="15" hidden="false" customHeight="false" outlineLevel="0" collapsed="false">
      <c r="A345" s="0" t="n">
        <v>344</v>
      </c>
      <c r="B345" s="0" t="s">
        <v>233</v>
      </c>
      <c r="C345" s="0" t="s">
        <v>655</v>
      </c>
      <c r="D345" s="0" t="s">
        <v>361</v>
      </c>
      <c r="F345" s="0" t="s">
        <v>355</v>
      </c>
    </row>
    <row r="346" customFormat="false" ht="15" hidden="false" customHeight="false" outlineLevel="0" collapsed="false">
      <c r="A346" s="0" t="n">
        <v>345</v>
      </c>
      <c r="B346" s="0" t="s">
        <v>233</v>
      </c>
      <c r="C346" s="0" t="s">
        <v>656</v>
      </c>
      <c r="D346" s="0" t="s">
        <v>361</v>
      </c>
      <c r="F346" s="0" t="s">
        <v>644</v>
      </c>
    </row>
    <row r="347" customFormat="false" ht="15" hidden="false" customHeight="false" outlineLevel="0" collapsed="false">
      <c r="A347" s="0" t="n">
        <v>346</v>
      </c>
      <c r="B347" s="0" t="s">
        <v>236</v>
      </c>
      <c r="C347" s="0" t="s">
        <v>657</v>
      </c>
      <c r="D347" s="0" t="s">
        <v>658</v>
      </c>
    </row>
    <row r="348" customFormat="false" ht="15" hidden="false" customHeight="false" outlineLevel="0" collapsed="false">
      <c r="A348" s="0" t="n">
        <v>347</v>
      </c>
      <c r="B348" s="0" t="s">
        <v>236</v>
      </c>
      <c r="C348" s="0" t="s">
        <v>659</v>
      </c>
      <c r="D348" s="0" t="s">
        <v>660</v>
      </c>
    </row>
    <row r="349" customFormat="false" ht="15" hidden="false" customHeight="false" outlineLevel="0" collapsed="false">
      <c r="A349" s="0" t="n">
        <v>348</v>
      </c>
      <c r="B349" s="0" t="s">
        <v>236</v>
      </c>
      <c r="C349" s="0" t="s">
        <v>661</v>
      </c>
      <c r="D349" s="0" t="s">
        <v>662</v>
      </c>
    </row>
    <row r="350" customFormat="false" ht="15" hidden="false" customHeight="false" outlineLevel="0" collapsed="false">
      <c r="A350" s="0" t="n">
        <v>349</v>
      </c>
      <c r="B350" s="0" t="s">
        <v>236</v>
      </c>
      <c r="C350" s="0" t="s">
        <v>663</v>
      </c>
      <c r="D350" s="0" t="s">
        <v>664</v>
      </c>
    </row>
    <row r="351" customFormat="false" ht="15" hidden="false" customHeight="false" outlineLevel="0" collapsed="false">
      <c r="A351" s="0" t="n">
        <v>350</v>
      </c>
      <c r="B351" s="0" t="s">
        <v>236</v>
      </c>
      <c r="C351" s="0" t="s">
        <v>665</v>
      </c>
      <c r="D351" s="0" t="s">
        <v>666</v>
      </c>
      <c r="F351" s="0" t="s">
        <v>362</v>
      </c>
    </row>
    <row r="352" customFormat="false" ht="15" hidden="false" customHeight="false" outlineLevel="0" collapsed="false">
      <c r="A352" s="0" t="n">
        <v>351</v>
      </c>
      <c r="B352" s="0" t="s">
        <v>236</v>
      </c>
      <c r="C352" s="0" t="s">
        <v>667</v>
      </c>
      <c r="D352" s="0" t="s">
        <v>668</v>
      </c>
      <c r="F352" s="0" t="s">
        <v>362</v>
      </c>
    </row>
    <row r="353" customFormat="false" ht="15" hidden="false" customHeight="false" outlineLevel="0" collapsed="false">
      <c r="A353" s="0" t="n">
        <v>352</v>
      </c>
      <c r="B353" s="0" t="s">
        <v>236</v>
      </c>
      <c r="C353" s="0" t="s">
        <v>669</v>
      </c>
      <c r="D353" s="0" t="s">
        <v>670</v>
      </c>
      <c r="F353" s="0" t="s">
        <v>362</v>
      </c>
    </row>
    <row r="354" customFormat="false" ht="15" hidden="false" customHeight="false" outlineLevel="0" collapsed="false">
      <c r="A354" s="0" t="n">
        <v>353</v>
      </c>
      <c r="B354" s="0" t="s">
        <v>240</v>
      </c>
      <c r="C354" s="0" t="s">
        <v>671</v>
      </c>
      <c r="D354" s="0" t="s">
        <v>361</v>
      </c>
      <c r="F354" s="0" t="s">
        <v>390</v>
      </c>
    </row>
    <row r="355" customFormat="false" ht="15" hidden="false" customHeight="false" outlineLevel="0" collapsed="false">
      <c r="A355" s="0" t="n">
        <v>354</v>
      </c>
      <c r="B355" s="0" t="s">
        <v>240</v>
      </c>
      <c r="C355" s="0" t="s">
        <v>672</v>
      </c>
      <c r="D355" s="0" t="s">
        <v>361</v>
      </c>
      <c r="F355" s="0" t="s">
        <v>518</v>
      </c>
    </row>
    <row r="356" customFormat="false" ht="15" hidden="false" customHeight="false" outlineLevel="0" collapsed="false">
      <c r="A356" s="0" t="n">
        <v>355</v>
      </c>
      <c r="B356" s="0" t="s">
        <v>240</v>
      </c>
      <c r="C356" s="0" t="s">
        <v>362</v>
      </c>
      <c r="D356" s="0" t="s">
        <v>361</v>
      </c>
      <c r="F356" s="0" t="s">
        <v>362</v>
      </c>
    </row>
    <row r="357" customFormat="false" ht="15" hidden="false" customHeight="false" outlineLevel="0" collapsed="false">
      <c r="A357" s="0" t="n">
        <v>356</v>
      </c>
      <c r="B357" s="0" t="s">
        <v>240</v>
      </c>
      <c r="C357" s="0" t="s">
        <v>466</v>
      </c>
      <c r="D357" s="0" t="s">
        <v>361</v>
      </c>
    </row>
    <row r="358" customFormat="false" ht="15" hidden="false" customHeight="false" outlineLevel="0" collapsed="false">
      <c r="A358" s="0" t="n">
        <v>357</v>
      </c>
      <c r="B358" s="0" t="s">
        <v>243</v>
      </c>
      <c r="C358" s="0" t="s">
        <v>673</v>
      </c>
      <c r="D358" s="0" t="s">
        <v>674</v>
      </c>
      <c r="F358" s="0" t="s">
        <v>366</v>
      </c>
    </row>
    <row r="359" customFormat="false" ht="15" hidden="false" customHeight="false" outlineLevel="0" collapsed="false">
      <c r="A359" s="0" t="n">
        <v>358</v>
      </c>
      <c r="B359" s="0" t="s">
        <v>243</v>
      </c>
      <c r="C359" s="0" t="s">
        <v>675</v>
      </c>
      <c r="D359" s="0" t="s">
        <v>361</v>
      </c>
    </row>
    <row r="360" customFormat="false" ht="15" hidden="false" customHeight="false" outlineLevel="0" collapsed="false">
      <c r="A360" s="0" t="n">
        <v>359</v>
      </c>
      <c r="B360" s="0" t="s">
        <v>243</v>
      </c>
      <c r="C360" s="0" t="s">
        <v>505</v>
      </c>
      <c r="D360" s="0" t="s">
        <v>361</v>
      </c>
      <c r="F360" s="0" t="s">
        <v>375</v>
      </c>
    </row>
    <row r="361" customFormat="false" ht="15" hidden="false" customHeight="false" outlineLevel="0" collapsed="false">
      <c r="A361" s="0" t="n">
        <v>360</v>
      </c>
      <c r="B361" s="0" t="s">
        <v>243</v>
      </c>
      <c r="C361" s="0" t="s">
        <v>676</v>
      </c>
      <c r="D361" s="0" t="s">
        <v>361</v>
      </c>
      <c r="F361" s="0" t="s">
        <v>366</v>
      </c>
    </row>
    <row r="362" customFormat="false" ht="15" hidden="false" customHeight="false" outlineLevel="0" collapsed="false">
      <c r="A362" s="0" t="n">
        <v>361</v>
      </c>
      <c r="B362" s="0" t="s">
        <v>243</v>
      </c>
      <c r="C362" s="0" t="s">
        <v>353</v>
      </c>
      <c r="D362" s="0" t="s">
        <v>361</v>
      </c>
      <c r="F362" s="0" t="s">
        <v>355</v>
      </c>
    </row>
    <row r="363" customFormat="false" ht="15" hidden="false" customHeight="false" outlineLevel="0" collapsed="false">
      <c r="A363" s="0" t="n">
        <v>362</v>
      </c>
      <c r="B363" s="0" t="s">
        <v>243</v>
      </c>
      <c r="C363" s="0" t="s">
        <v>344</v>
      </c>
      <c r="D363" s="0" t="s">
        <v>361</v>
      </c>
      <c r="F363" s="0" t="s">
        <v>344</v>
      </c>
    </row>
    <row r="364" customFormat="false" ht="15" hidden="false" customHeight="false" outlineLevel="0" collapsed="false">
      <c r="A364" s="0" t="n">
        <v>363</v>
      </c>
      <c r="B364" s="0" t="s">
        <v>246</v>
      </c>
      <c r="C364" s="0" t="s">
        <v>511</v>
      </c>
      <c r="D364" s="0" t="s">
        <v>677</v>
      </c>
    </row>
    <row r="365" customFormat="false" ht="15" hidden="false" customHeight="false" outlineLevel="0" collapsed="false">
      <c r="A365" s="0" t="n">
        <v>364</v>
      </c>
      <c r="B365" s="0" t="s">
        <v>246</v>
      </c>
      <c r="C365" s="0" t="s">
        <v>678</v>
      </c>
      <c r="D365" s="0" t="s">
        <v>361</v>
      </c>
      <c r="F365" s="0" t="s">
        <v>355</v>
      </c>
    </row>
    <row r="366" customFormat="false" ht="15" hidden="false" customHeight="false" outlineLevel="0" collapsed="false">
      <c r="A366" s="0" t="n">
        <v>365</v>
      </c>
      <c r="B366" s="0" t="s">
        <v>246</v>
      </c>
      <c r="C366" s="0" t="s">
        <v>679</v>
      </c>
      <c r="D366" s="0" t="s">
        <v>361</v>
      </c>
      <c r="F366" s="0" t="s">
        <v>366</v>
      </c>
    </row>
    <row r="367" customFormat="false" ht="15" hidden="false" customHeight="false" outlineLevel="0" collapsed="false">
      <c r="A367" s="0" t="n">
        <v>366</v>
      </c>
      <c r="B367" s="0" t="s">
        <v>246</v>
      </c>
      <c r="C367" s="0" t="s">
        <v>680</v>
      </c>
      <c r="D367" s="0" t="s">
        <v>361</v>
      </c>
      <c r="F367" s="0" t="s">
        <v>681</v>
      </c>
    </row>
    <row r="368" customFormat="false" ht="15" hidden="false" customHeight="false" outlineLevel="0" collapsed="false">
      <c r="A368" s="0" t="n">
        <v>367</v>
      </c>
      <c r="B368" s="0" t="s">
        <v>246</v>
      </c>
      <c r="C368" s="0" t="s">
        <v>682</v>
      </c>
      <c r="D368" s="0" t="s">
        <v>361</v>
      </c>
      <c r="F368" s="0" t="s">
        <v>683</v>
      </c>
    </row>
    <row r="369" customFormat="false" ht="15" hidden="false" customHeight="false" outlineLevel="0" collapsed="false">
      <c r="A369" s="0" t="n">
        <v>368</v>
      </c>
      <c r="B369" s="0" t="s">
        <v>249</v>
      </c>
      <c r="C369" s="0" t="s">
        <v>340</v>
      </c>
      <c r="D369" s="0" t="s">
        <v>684</v>
      </c>
      <c r="F369" s="0" t="s">
        <v>340</v>
      </c>
    </row>
    <row r="370" customFormat="false" ht="15" hidden="false" customHeight="false" outlineLevel="0" collapsed="false">
      <c r="A370" s="0" t="n">
        <v>369</v>
      </c>
      <c r="B370" s="0" t="s">
        <v>249</v>
      </c>
      <c r="C370" s="0" t="s">
        <v>685</v>
      </c>
      <c r="D370" s="0" t="s">
        <v>686</v>
      </c>
    </row>
    <row r="371" customFormat="false" ht="15" hidden="false" customHeight="false" outlineLevel="0" collapsed="false">
      <c r="A371" s="0" t="n">
        <v>370</v>
      </c>
      <c r="B371" s="0" t="s">
        <v>249</v>
      </c>
      <c r="C371" s="0" t="s">
        <v>687</v>
      </c>
      <c r="D371" s="0" t="s">
        <v>688</v>
      </c>
    </row>
    <row r="372" customFormat="false" ht="15" hidden="false" customHeight="false" outlineLevel="0" collapsed="false">
      <c r="A372" s="0" t="n">
        <v>371</v>
      </c>
      <c r="B372" s="0" t="s">
        <v>249</v>
      </c>
      <c r="C372" s="0" t="s">
        <v>689</v>
      </c>
      <c r="D372" s="0" t="s">
        <v>690</v>
      </c>
      <c r="F372" s="0" t="s">
        <v>390</v>
      </c>
    </row>
    <row r="373" customFormat="false" ht="15" hidden="false" customHeight="false" outlineLevel="0" collapsed="false">
      <c r="A373" s="0" t="n">
        <v>372</v>
      </c>
      <c r="B373" s="0" t="s">
        <v>249</v>
      </c>
      <c r="C373" s="0" t="s">
        <v>691</v>
      </c>
      <c r="D373" s="0" t="s">
        <v>692</v>
      </c>
    </row>
    <row r="374" customFormat="false" ht="15" hidden="false" customHeight="false" outlineLevel="0" collapsed="false">
      <c r="A374" s="0" t="n">
        <v>373</v>
      </c>
      <c r="B374" s="0" t="s">
        <v>249</v>
      </c>
      <c r="C374" s="0" t="s">
        <v>468</v>
      </c>
      <c r="D374" s="0" t="s">
        <v>693</v>
      </c>
      <c r="F374" s="0" t="s">
        <v>390</v>
      </c>
    </row>
    <row r="375" customFormat="false" ht="15" hidden="false" customHeight="false" outlineLevel="0" collapsed="false">
      <c r="A375" s="0" t="n">
        <v>374</v>
      </c>
      <c r="B375" s="0" t="s">
        <v>249</v>
      </c>
      <c r="C375" s="0" t="s">
        <v>694</v>
      </c>
      <c r="D375" s="0" t="s">
        <v>695</v>
      </c>
    </row>
    <row r="376" customFormat="false" ht="15" hidden="false" customHeight="false" outlineLevel="0" collapsed="false">
      <c r="A376" s="0" t="n">
        <v>375</v>
      </c>
      <c r="B376" s="0" t="s">
        <v>249</v>
      </c>
      <c r="C376" s="0" t="s">
        <v>696</v>
      </c>
      <c r="D376" s="0" t="s">
        <v>697</v>
      </c>
    </row>
    <row r="377" customFormat="false" ht="15" hidden="false" customHeight="false" outlineLevel="0" collapsed="false">
      <c r="A377" s="0" t="n">
        <v>376</v>
      </c>
      <c r="B377" s="0" t="s">
        <v>249</v>
      </c>
      <c r="C377" s="0" t="s">
        <v>698</v>
      </c>
      <c r="D377" s="0" t="s">
        <v>699</v>
      </c>
    </row>
    <row r="378" customFormat="false" ht="15" hidden="false" customHeight="false" outlineLevel="0" collapsed="false">
      <c r="A378" s="0" t="n">
        <v>377</v>
      </c>
      <c r="B378" s="0" t="s">
        <v>252</v>
      </c>
      <c r="C378" s="0" t="s">
        <v>432</v>
      </c>
      <c r="D378" s="0" t="s">
        <v>361</v>
      </c>
      <c r="F378" s="0" t="s">
        <v>390</v>
      </c>
    </row>
    <row r="379" customFormat="false" ht="15" hidden="false" customHeight="false" outlineLevel="0" collapsed="false">
      <c r="A379" s="0" t="n">
        <v>378</v>
      </c>
      <c r="B379" s="0" t="s">
        <v>252</v>
      </c>
      <c r="C379" s="0" t="s">
        <v>700</v>
      </c>
      <c r="D379" s="0" t="s">
        <v>361</v>
      </c>
    </row>
    <row r="380" customFormat="false" ht="15" hidden="false" customHeight="false" outlineLevel="0" collapsed="false">
      <c r="A380" s="0" t="n">
        <v>379</v>
      </c>
      <c r="B380" s="0" t="s">
        <v>252</v>
      </c>
      <c r="C380" s="0" t="s">
        <v>701</v>
      </c>
      <c r="D380" s="0" t="s">
        <v>361</v>
      </c>
    </row>
    <row r="381" customFormat="false" ht="15" hidden="false" customHeight="false" outlineLevel="0" collapsed="false">
      <c r="A381" s="0" t="n">
        <v>380</v>
      </c>
      <c r="B381" s="0" t="s">
        <v>252</v>
      </c>
      <c r="C381" s="0" t="s">
        <v>702</v>
      </c>
      <c r="D381" s="0" t="s">
        <v>361</v>
      </c>
      <c r="F381" s="0" t="s">
        <v>390</v>
      </c>
    </row>
    <row r="382" customFormat="false" ht="15" hidden="false" customHeight="false" outlineLevel="0" collapsed="false">
      <c r="A382" s="0" t="n">
        <v>381</v>
      </c>
      <c r="B382" s="0" t="s">
        <v>255</v>
      </c>
      <c r="C382" s="0" t="s">
        <v>703</v>
      </c>
      <c r="D382" s="0" t="s">
        <v>361</v>
      </c>
      <c r="F382" s="0" t="s">
        <v>404</v>
      </c>
    </row>
    <row r="383" customFormat="false" ht="15" hidden="false" customHeight="false" outlineLevel="0" collapsed="false">
      <c r="A383" s="0" t="n">
        <v>382</v>
      </c>
      <c r="B383" s="0" t="s">
        <v>255</v>
      </c>
      <c r="C383" s="0" t="s">
        <v>340</v>
      </c>
      <c r="D383" s="0" t="s">
        <v>361</v>
      </c>
      <c r="F383" s="0" t="s">
        <v>340</v>
      </c>
    </row>
    <row r="384" customFormat="false" ht="15" hidden="false" customHeight="false" outlineLevel="0" collapsed="false">
      <c r="A384" s="0" t="n">
        <v>383</v>
      </c>
      <c r="B384" s="0" t="s">
        <v>255</v>
      </c>
      <c r="C384" s="0" t="s">
        <v>704</v>
      </c>
      <c r="D384" s="0" t="s">
        <v>361</v>
      </c>
      <c r="F384" s="0" t="s">
        <v>435</v>
      </c>
    </row>
    <row r="385" customFormat="false" ht="15" hidden="false" customHeight="false" outlineLevel="0" collapsed="false">
      <c r="A385" s="0" t="n">
        <v>384</v>
      </c>
      <c r="B385" s="0" t="s">
        <v>255</v>
      </c>
      <c r="C385" s="0" t="s">
        <v>705</v>
      </c>
      <c r="D385" s="0" t="s">
        <v>361</v>
      </c>
      <c r="F385" s="0" t="s">
        <v>390</v>
      </c>
    </row>
    <row r="386" customFormat="false" ht="15" hidden="false" customHeight="false" outlineLevel="0" collapsed="false">
      <c r="A386" s="0" t="n">
        <v>385</v>
      </c>
      <c r="B386" s="0" t="s">
        <v>255</v>
      </c>
      <c r="C386" s="0" t="s">
        <v>374</v>
      </c>
      <c r="D386" s="0" t="s">
        <v>361</v>
      </c>
      <c r="F386" s="0" t="s">
        <v>374</v>
      </c>
    </row>
    <row r="387" customFormat="false" ht="15" hidden="false" customHeight="false" outlineLevel="0" collapsed="false">
      <c r="A387" s="0" t="n">
        <v>386</v>
      </c>
      <c r="B387" s="0" t="s">
        <v>259</v>
      </c>
      <c r="C387" s="0" t="s">
        <v>706</v>
      </c>
      <c r="D387" s="0" t="s">
        <v>707</v>
      </c>
    </row>
    <row r="388" customFormat="false" ht="15" hidden="false" customHeight="false" outlineLevel="0" collapsed="false">
      <c r="A388" s="0" t="n">
        <v>387</v>
      </c>
      <c r="B388" s="0" t="s">
        <v>259</v>
      </c>
      <c r="C388" s="0" t="s">
        <v>708</v>
      </c>
      <c r="D388" s="0" t="s">
        <v>709</v>
      </c>
      <c r="F388" s="0" t="s">
        <v>355</v>
      </c>
    </row>
    <row r="389" customFormat="false" ht="15" hidden="false" customHeight="false" outlineLevel="0" collapsed="false">
      <c r="A389" s="0" t="n">
        <v>388</v>
      </c>
      <c r="B389" s="0" t="s">
        <v>259</v>
      </c>
      <c r="C389" s="0" t="s">
        <v>710</v>
      </c>
      <c r="D389" s="0" t="s">
        <v>361</v>
      </c>
      <c r="F389" s="0" t="s">
        <v>344</v>
      </c>
    </row>
    <row r="390" customFormat="false" ht="15" hidden="false" customHeight="false" outlineLevel="0" collapsed="false">
      <c r="A390" s="0" t="n">
        <v>389</v>
      </c>
      <c r="B390" s="0" t="s">
        <v>259</v>
      </c>
      <c r="C390" s="0" t="s">
        <v>711</v>
      </c>
      <c r="D390" s="0" t="s">
        <v>361</v>
      </c>
      <c r="F390" s="0" t="s">
        <v>366</v>
      </c>
    </row>
    <row r="391" customFormat="false" ht="15" hidden="false" customHeight="false" outlineLevel="0" collapsed="false">
      <c r="A391" s="0" t="n">
        <v>390</v>
      </c>
      <c r="B391" s="0" t="s">
        <v>259</v>
      </c>
      <c r="C391" s="0" t="s">
        <v>712</v>
      </c>
      <c r="D391" s="0" t="s">
        <v>361</v>
      </c>
      <c r="F391" s="0" t="s">
        <v>390</v>
      </c>
    </row>
    <row r="392" customFormat="false" ht="15" hidden="false" customHeight="false" outlineLevel="0" collapsed="false">
      <c r="A392" s="0" t="n">
        <v>391</v>
      </c>
      <c r="B392" s="0" t="s">
        <v>259</v>
      </c>
      <c r="C392" s="0" t="s">
        <v>713</v>
      </c>
      <c r="D392" s="0" t="s">
        <v>361</v>
      </c>
      <c r="F392" s="0" t="s">
        <v>407</v>
      </c>
    </row>
    <row r="393" customFormat="false" ht="15" hidden="false" customHeight="false" outlineLevel="0" collapsed="false">
      <c r="A393" s="0" t="n">
        <v>392</v>
      </c>
      <c r="B393" s="0" t="s">
        <v>262</v>
      </c>
      <c r="C393" s="0" t="s">
        <v>599</v>
      </c>
      <c r="D393" s="0" t="s">
        <v>714</v>
      </c>
    </row>
    <row r="394" customFormat="false" ht="15" hidden="false" customHeight="false" outlineLevel="0" collapsed="false">
      <c r="A394" s="0" t="n">
        <v>393</v>
      </c>
      <c r="B394" s="0" t="s">
        <v>262</v>
      </c>
      <c r="C394" s="0" t="s">
        <v>715</v>
      </c>
      <c r="D394" s="0" t="s">
        <v>716</v>
      </c>
    </row>
    <row r="395" customFormat="false" ht="15" hidden="false" customHeight="false" outlineLevel="0" collapsed="false">
      <c r="A395" s="0" t="n">
        <v>394</v>
      </c>
      <c r="B395" s="0" t="s">
        <v>262</v>
      </c>
      <c r="C395" s="0" t="s">
        <v>508</v>
      </c>
      <c r="D395" s="0" t="s">
        <v>361</v>
      </c>
      <c r="F395" s="0" t="s">
        <v>404</v>
      </c>
    </row>
    <row r="396" customFormat="false" ht="15" hidden="false" customHeight="false" outlineLevel="0" collapsed="false">
      <c r="A396" s="0" t="n">
        <v>395</v>
      </c>
      <c r="B396" s="0" t="s">
        <v>262</v>
      </c>
      <c r="C396" s="0" t="s">
        <v>717</v>
      </c>
      <c r="D396" s="0" t="s">
        <v>361</v>
      </c>
      <c r="F396" s="0" t="s">
        <v>718</v>
      </c>
    </row>
    <row r="397" customFormat="false" ht="15" hidden="false" customHeight="false" outlineLevel="0" collapsed="false">
      <c r="A397" s="0" t="n">
        <v>396</v>
      </c>
      <c r="B397" s="0" t="s">
        <v>265</v>
      </c>
      <c r="C397" s="0" t="s">
        <v>353</v>
      </c>
      <c r="D397" s="0" t="s">
        <v>361</v>
      </c>
      <c r="F397" s="0" t="s">
        <v>355</v>
      </c>
    </row>
    <row r="398" customFormat="false" ht="15" hidden="false" customHeight="false" outlineLevel="0" collapsed="false">
      <c r="A398" s="0" t="n">
        <v>397</v>
      </c>
      <c r="B398" s="0" t="s">
        <v>265</v>
      </c>
      <c r="C398" s="0" t="s">
        <v>375</v>
      </c>
      <c r="D398" s="0" t="s">
        <v>361</v>
      </c>
      <c r="F398" s="0" t="s">
        <v>375</v>
      </c>
    </row>
    <row r="399" customFormat="false" ht="15" hidden="false" customHeight="false" outlineLevel="0" collapsed="false">
      <c r="A399" s="0" t="n">
        <v>398</v>
      </c>
      <c r="B399" s="0" t="s">
        <v>265</v>
      </c>
      <c r="C399" s="0" t="s">
        <v>719</v>
      </c>
      <c r="D399" s="0" t="s">
        <v>361</v>
      </c>
      <c r="F399" s="0" t="s">
        <v>720</v>
      </c>
    </row>
    <row r="400" customFormat="false" ht="15" hidden="false" customHeight="false" outlineLevel="0" collapsed="false">
      <c r="A400" s="0" t="n">
        <v>399</v>
      </c>
      <c r="B400" s="0" t="s">
        <v>268</v>
      </c>
      <c r="C400" s="0" t="s">
        <v>721</v>
      </c>
      <c r="D400" s="0" t="s">
        <v>722</v>
      </c>
      <c r="F400" s="0" t="s">
        <v>340</v>
      </c>
    </row>
    <row r="401" customFormat="false" ht="15" hidden="false" customHeight="false" outlineLevel="0" collapsed="false">
      <c r="A401" s="0" t="n">
        <v>400</v>
      </c>
      <c r="B401" s="0" t="s">
        <v>268</v>
      </c>
      <c r="C401" s="0" t="s">
        <v>723</v>
      </c>
      <c r="D401" s="0" t="s">
        <v>724</v>
      </c>
      <c r="F401" s="0" t="s">
        <v>518</v>
      </c>
    </row>
    <row r="402" customFormat="false" ht="15" hidden="false" customHeight="false" outlineLevel="0" collapsed="false">
      <c r="A402" s="0" t="n">
        <v>401</v>
      </c>
      <c r="B402" s="0" t="s">
        <v>268</v>
      </c>
      <c r="C402" s="0" t="s">
        <v>725</v>
      </c>
      <c r="D402" s="0" t="s">
        <v>726</v>
      </c>
      <c r="F402" s="0" t="s">
        <v>352</v>
      </c>
    </row>
    <row r="403" customFormat="false" ht="15" hidden="false" customHeight="false" outlineLevel="0" collapsed="false">
      <c r="A403" s="0" t="n">
        <v>402</v>
      </c>
      <c r="B403" s="0" t="s">
        <v>268</v>
      </c>
      <c r="C403" s="0" t="s">
        <v>727</v>
      </c>
      <c r="D403" s="0" t="s">
        <v>728</v>
      </c>
      <c r="F403" s="0" t="s">
        <v>729</v>
      </c>
    </row>
    <row r="404" customFormat="false" ht="15" hidden="false" customHeight="false" outlineLevel="0" collapsed="false">
      <c r="A404" s="0" t="n">
        <v>403</v>
      </c>
      <c r="B404" s="0" t="s">
        <v>268</v>
      </c>
      <c r="C404" s="0" t="s">
        <v>730</v>
      </c>
      <c r="D404" s="0" t="s">
        <v>731</v>
      </c>
    </row>
    <row r="405" customFormat="false" ht="15" hidden="false" customHeight="false" outlineLevel="0" collapsed="false">
      <c r="A405" s="0" t="n">
        <v>404</v>
      </c>
      <c r="B405" s="0" t="s">
        <v>268</v>
      </c>
      <c r="C405" s="0" t="s">
        <v>732</v>
      </c>
      <c r="D405" s="0" t="s">
        <v>733</v>
      </c>
      <c r="F405" s="0" t="s">
        <v>366</v>
      </c>
    </row>
    <row r="406" customFormat="false" ht="15" hidden="false" customHeight="false" outlineLevel="0" collapsed="false">
      <c r="A406" s="0" t="n">
        <v>405</v>
      </c>
      <c r="B406" s="0" t="s">
        <v>271</v>
      </c>
      <c r="C406" s="0" t="s">
        <v>466</v>
      </c>
      <c r="D406" s="0" t="s">
        <v>361</v>
      </c>
    </row>
    <row r="407" customFormat="false" ht="15" hidden="false" customHeight="false" outlineLevel="0" collapsed="false">
      <c r="A407" s="0" t="n">
        <v>406</v>
      </c>
      <c r="B407" s="0" t="s">
        <v>271</v>
      </c>
      <c r="C407" s="0" t="s">
        <v>734</v>
      </c>
      <c r="D407" s="0" t="s">
        <v>361</v>
      </c>
    </row>
    <row r="408" customFormat="false" ht="15" hidden="false" customHeight="false" outlineLevel="0" collapsed="false">
      <c r="A408" s="0" t="n">
        <v>407</v>
      </c>
      <c r="B408" s="0" t="s">
        <v>271</v>
      </c>
      <c r="C408" s="0" t="s">
        <v>735</v>
      </c>
      <c r="D408" s="0" t="s">
        <v>361</v>
      </c>
      <c r="F408" s="0" t="s">
        <v>595</v>
      </c>
    </row>
    <row r="409" customFormat="false" ht="15" hidden="false" customHeight="false" outlineLevel="0" collapsed="false">
      <c r="A409" s="0" t="n">
        <v>408</v>
      </c>
      <c r="B409" s="0" t="s">
        <v>274</v>
      </c>
      <c r="C409" s="0" t="s">
        <v>736</v>
      </c>
      <c r="D409" s="0" t="s">
        <v>737</v>
      </c>
    </row>
    <row r="410" customFormat="false" ht="15" hidden="false" customHeight="false" outlineLevel="0" collapsed="false">
      <c r="A410" s="0" t="n">
        <v>409</v>
      </c>
      <c r="B410" s="0" t="s">
        <v>274</v>
      </c>
      <c r="C410" s="0" t="s">
        <v>738</v>
      </c>
      <c r="D410" s="0" t="s">
        <v>361</v>
      </c>
      <c r="F410" s="0" t="s">
        <v>374</v>
      </c>
    </row>
    <row r="411" customFormat="false" ht="15" hidden="false" customHeight="false" outlineLevel="0" collapsed="false">
      <c r="A411" s="0" t="n">
        <v>410</v>
      </c>
      <c r="B411" s="0" t="s">
        <v>274</v>
      </c>
      <c r="C411" s="0" t="s">
        <v>739</v>
      </c>
      <c r="D411" s="0" t="s">
        <v>361</v>
      </c>
      <c r="F411" s="0" t="s">
        <v>644</v>
      </c>
    </row>
    <row r="412" customFormat="false" ht="15" hidden="false" customHeight="false" outlineLevel="0" collapsed="false">
      <c r="A412" s="0" t="n">
        <v>411</v>
      </c>
      <c r="B412" s="0" t="s">
        <v>274</v>
      </c>
      <c r="C412" s="0" t="s">
        <v>740</v>
      </c>
      <c r="D412" s="0" t="s">
        <v>361</v>
      </c>
      <c r="F412" s="0" t="s">
        <v>518</v>
      </c>
    </row>
    <row r="413" customFormat="false" ht="15" hidden="false" customHeight="false" outlineLevel="0" collapsed="false">
      <c r="A413" s="0" t="n">
        <v>412</v>
      </c>
      <c r="B413" s="0" t="s">
        <v>274</v>
      </c>
      <c r="C413" s="0" t="s">
        <v>741</v>
      </c>
      <c r="D413" s="0" t="s">
        <v>361</v>
      </c>
      <c r="F413" s="0" t="s">
        <v>435</v>
      </c>
    </row>
    <row r="414" customFormat="false" ht="15" hidden="false" customHeight="false" outlineLevel="0" collapsed="false">
      <c r="A414" s="0" t="n">
        <v>413</v>
      </c>
      <c r="B414" s="0" t="s">
        <v>276</v>
      </c>
      <c r="C414" s="0" t="s">
        <v>606</v>
      </c>
      <c r="D414" s="0" t="s">
        <v>742</v>
      </c>
    </row>
    <row r="415" customFormat="false" ht="15" hidden="false" customHeight="false" outlineLevel="0" collapsed="false">
      <c r="A415" s="0" t="n">
        <v>414</v>
      </c>
      <c r="B415" s="0" t="s">
        <v>276</v>
      </c>
      <c r="C415" s="0" t="s">
        <v>362</v>
      </c>
      <c r="D415" s="0" t="s">
        <v>361</v>
      </c>
      <c r="F415" s="0" t="s">
        <v>362</v>
      </c>
    </row>
    <row r="416" customFormat="false" ht="15" hidden="false" customHeight="false" outlineLevel="0" collapsed="false">
      <c r="A416" s="0" t="n">
        <v>415</v>
      </c>
      <c r="B416" s="0" t="s">
        <v>276</v>
      </c>
      <c r="C416" s="0" t="s">
        <v>743</v>
      </c>
      <c r="D416" s="0" t="s">
        <v>361</v>
      </c>
    </row>
    <row r="417" customFormat="false" ht="15" hidden="false" customHeight="false" outlineLevel="0" collapsed="false">
      <c r="A417" s="0" t="n">
        <v>416</v>
      </c>
      <c r="B417" s="0" t="s">
        <v>276</v>
      </c>
      <c r="C417" s="0" t="s">
        <v>409</v>
      </c>
      <c r="D417" s="0" t="s">
        <v>361</v>
      </c>
      <c r="F417" s="0" t="s">
        <v>390</v>
      </c>
    </row>
    <row r="418" customFormat="false" ht="15" hidden="false" customHeight="false" outlineLevel="0" collapsed="false">
      <c r="A418" s="0" t="n">
        <v>417</v>
      </c>
      <c r="B418" s="0" t="s">
        <v>276</v>
      </c>
      <c r="C418" s="0" t="s">
        <v>744</v>
      </c>
      <c r="D418" s="0" t="s">
        <v>361</v>
      </c>
    </row>
    <row r="419" customFormat="false" ht="15" hidden="false" customHeight="false" outlineLevel="0" collapsed="false">
      <c r="A419" s="0" t="n">
        <v>418</v>
      </c>
      <c r="B419" s="0" t="s">
        <v>276</v>
      </c>
      <c r="C419" s="0" t="s">
        <v>745</v>
      </c>
      <c r="D419" s="0" t="s">
        <v>361</v>
      </c>
    </row>
    <row r="420" customFormat="false" ht="15" hidden="false" customHeight="false" outlineLevel="0" collapsed="false">
      <c r="A420" s="0" t="n">
        <v>419</v>
      </c>
      <c r="B420" s="0" t="s">
        <v>279</v>
      </c>
      <c r="C420" s="0" t="s">
        <v>746</v>
      </c>
      <c r="D420" s="0" t="s">
        <v>361</v>
      </c>
      <c r="F420" s="0" t="s">
        <v>355</v>
      </c>
    </row>
    <row r="421" customFormat="false" ht="15" hidden="false" customHeight="false" outlineLevel="0" collapsed="false">
      <c r="A421" s="0" t="n">
        <v>420</v>
      </c>
      <c r="B421" s="0" t="s">
        <v>279</v>
      </c>
      <c r="C421" s="0" t="s">
        <v>747</v>
      </c>
      <c r="D421" s="0" t="s">
        <v>361</v>
      </c>
      <c r="F421" s="0" t="s">
        <v>366</v>
      </c>
    </row>
    <row r="422" customFormat="false" ht="15" hidden="false" customHeight="false" outlineLevel="0" collapsed="false">
      <c r="A422" s="0" t="n">
        <v>421</v>
      </c>
      <c r="B422" s="0" t="s">
        <v>279</v>
      </c>
      <c r="C422" s="0" t="s">
        <v>521</v>
      </c>
      <c r="D422" s="0" t="s">
        <v>361</v>
      </c>
      <c r="F422" s="0" t="s">
        <v>476</v>
      </c>
    </row>
    <row r="423" customFormat="false" ht="15" hidden="false" customHeight="false" outlineLevel="0" collapsed="false">
      <c r="A423" s="0" t="n">
        <v>422</v>
      </c>
      <c r="B423" s="0" t="s">
        <v>279</v>
      </c>
      <c r="C423" s="0" t="s">
        <v>748</v>
      </c>
      <c r="D423" s="0" t="s">
        <v>361</v>
      </c>
      <c r="F423" s="0" t="s">
        <v>749</v>
      </c>
    </row>
    <row r="424" customFormat="false" ht="15" hidden="false" customHeight="false" outlineLevel="0" collapsed="false">
      <c r="A424" s="0" t="n">
        <v>423</v>
      </c>
      <c r="B424" s="0" t="s">
        <v>279</v>
      </c>
      <c r="C424" s="0" t="s">
        <v>375</v>
      </c>
      <c r="D424" s="0" t="s">
        <v>361</v>
      </c>
      <c r="F424" s="0" t="s">
        <v>375</v>
      </c>
    </row>
    <row r="425" customFormat="false" ht="15" hidden="false" customHeight="false" outlineLevel="0" collapsed="false">
      <c r="A425" s="0" t="n">
        <v>424</v>
      </c>
      <c r="B425" s="0" t="s">
        <v>279</v>
      </c>
      <c r="C425" s="0" t="s">
        <v>487</v>
      </c>
      <c r="D425" s="0" t="s">
        <v>361</v>
      </c>
      <c r="F425" s="0" t="s">
        <v>352</v>
      </c>
    </row>
    <row r="426" customFormat="false" ht="15" hidden="false" customHeight="false" outlineLevel="0" collapsed="false">
      <c r="A426" s="0" t="n">
        <v>425</v>
      </c>
      <c r="B426" s="0" t="s">
        <v>279</v>
      </c>
      <c r="C426" s="0" t="s">
        <v>486</v>
      </c>
      <c r="D426" s="0" t="s">
        <v>361</v>
      </c>
      <c r="F426" s="0" t="s">
        <v>352</v>
      </c>
    </row>
    <row r="427" customFormat="false" ht="15" hidden="false" customHeight="false" outlineLevel="0" collapsed="false">
      <c r="A427" s="0" t="n">
        <v>426</v>
      </c>
      <c r="B427" s="0" t="s">
        <v>283</v>
      </c>
      <c r="C427" s="0" t="s">
        <v>750</v>
      </c>
      <c r="D427" s="0" t="s">
        <v>361</v>
      </c>
      <c r="F427" s="0" t="s">
        <v>362</v>
      </c>
    </row>
    <row r="428" customFormat="false" ht="15" hidden="false" customHeight="false" outlineLevel="0" collapsed="false">
      <c r="A428" s="0" t="n">
        <v>427</v>
      </c>
      <c r="B428" s="0" t="s">
        <v>283</v>
      </c>
      <c r="C428" s="0" t="s">
        <v>340</v>
      </c>
      <c r="D428" s="0" t="s">
        <v>361</v>
      </c>
      <c r="F428" s="0" t="s">
        <v>340</v>
      </c>
    </row>
    <row r="429" customFormat="false" ht="15" hidden="false" customHeight="false" outlineLevel="0" collapsed="false">
      <c r="A429" s="0" t="n">
        <v>428</v>
      </c>
      <c r="B429" s="0" t="s">
        <v>286</v>
      </c>
      <c r="C429" s="0" t="s">
        <v>751</v>
      </c>
      <c r="D429" s="0" t="s">
        <v>361</v>
      </c>
    </row>
    <row r="430" customFormat="false" ht="15" hidden="false" customHeight="false" outlineLevel="0" collapsed="false">
      <c r="A430" s="0" t="n">
        <v>429</v>
      </c>
      <c r="B430" s="0" t="s">
        <v>286</v>
      </c>
      <c r="C430" s="0" t="s">
        <v>544</v>
      </c>
      <c r="D430" s="0" t="s">
        <v>361</v>
      </c>
    </row>
    <row r="431" customFormat="false" ht="15" hidden="false" customHeight="false" outlineLevel="0" collapsed="false">
      <c r="A431" s="0" t="n">
        <v>430</v>
      </c>
      <c r="B431" s="0" t="s">
        <v>286</v>
      </c>
      <c r="C431" s="0" t="s">
        <v>603</v>
      </c>
      <c r="D431" s="0" t="s">
        <v>361</v>
      </c>
    </row>
    <row r="432" customFormat="false" ht="15" hidden="false" customHeight="false" outlineLevel="0" collapsed="false">
      <c r="A432" s="0" t="n">
        <v>431</v>
      </c>
      <c r="B432" s="0" t="s">
        <v>286</v>
      </c>
      <c r="C432" s="0" t="s">
        <v>752</v>
      </c>
      <c r="D432" s="0" t="s">
        <v>361</v>
      </c>
    </row>
    <row r="433" customFormat="false" ht="15" hidden="false" customHeight="false" outlineLevel="0" collapsed="false">
      <c r="A433" s="0" t="n">
        <v>432</v>
      </c>
      <c r="B433" s="0" t="s">
        <v>286</v>
      </c>
      <c r="C433" s="0" t="s">
        <v>753</v>
      </c>
      <c r="D433" s="0" t="s">
        <v>361</v>
      </c>
    </row>
    <row r="434" customFormat="false" ht="15" hidden="false" customHeight="false" outlineLevel="0" collapsed="false">
      <c r="A434" s="0" t="n">
        <v>433</v>
      </c>
      <c r="B434" s="0" t="s">
        <v>289</v>
      </c>
      <c r="C434" s="0" t="s">
        <v>754</v>
      </c>
      <c r="D434" s="0" t="s">
        <v>755</v>
      </c>
      <c r="F434" s="0" t="s">
        <v>355</v>
      </c>
    </row>
    <row r="435" customFormat="false" ht="15" hidden="false" customHeight="false" outlineLevel="0" collapsed="false">
      <c r="A435" s="0" t="n">
        <v>434</v>
      </c>
      <c r="B435" s="0" t="s">
        <v>289</v>
      </c>
      <c r="C435" s="0" t="s">
        <v>756</v>
      </c>
      <c r="D435" s="0" t="s">
        <v>361</v>
      </c>
    </row>
    <row r="436" customFormat="false" ht="15" hidden="false" customHeight="false" outlineLevel="0" collapsed="false">
      <c r="A436" s="0" t="n">
        <v>435</v>
      </c>
      <c r="B436" s="0" t="s">
        <v>289</v>
      </c>
      <c r="C436" s="0" t="s">
        <v>375</v>
      </c>
      <c r="D436" s="0" t="s">
        <v>361</v>
      </c>
      <c r="F436" s="0" t="s">
        <v>375</v>
      </c>
    </row>
    <row r="437" customFormat="false" ht="15" hidden="false" customHeight="false" outlineLevel="0" collapsed="false">
      <c r="A437" s="0" t="n">
        <v>436</v>
      </c>
      <c r="B437" s="0" t="s">
        <v>289</v>
      </c>
      <c r="C437" s="0" t="s">
        <v>508</v>
      </c>
      <c r="D437" s="0" t="s">
        <v>361</v>
      </c>
      <c r="F437" s="0" t="s">
        <v>404</v>
      </c>
    </row>
    <row r="438" customFormat="false" ht="15" hidden="false" customHeight="false" outlineLevel="0" collapsed="false">
      <c r="A438" s="0" t="n">
        <v>437</v>
      </c>
      <c r="B438" s="0" t="s">
        <v>289</v>
      </c>
      <c r="C438" s="0" t="s">
        <v>757</v>
      </c>
      <c r="D438" s="0" t="s">
        <v>361</v>
      </c>
    </row>
    <row r="439" customFormat="false" ht="15" hidden="false" customHeight="false" outlineLevel="0" collapsed="false">
      <c r="A439" s="0" t="n">
        <v>438</v>
      </c>
      <c r="B439" s="0" t="s">
        <v>292</v>
      </c>
      <c r="C439" s="0" t="s">
        <v>606</v>
      </c>
      <c r="D439" s="0" t="s">
        <v>742</v>
      </c>
    </row>
    <row r="440" customFormat="false" ht="15" hidden="false" customHeight="false" outlineLevel="0" collapsed="false">
      <c r="A440" s="0" t="n">
        <v>439</v>
      </c>
      <c r="B440" s="0" t="s">
        <v>292</v>
      </c>
      <c r="C440" s="0" t="s">
        <v>362</v>
      </c>
      <c r="D440" s="0" t="s">
        <v>361</v>
      </c>
      <c r="F440" s="0" t="s">
        <v>362</v>
      </c>
    </row>
    <row r="441" customFormat="false" ht="15" hidden="false" customHeight="false" outlineLevel="0" collapsed="false">
      <c r="A441" s="0" t="n">
        <v>440</v>
      </c>
      <c r="B441" s="0" t="s">
        <v>292</v>
      </c>
      <c r="C441" s="0" t="s">
        <v>743</v>
      </c>
      <c r="D441" s="0" t="s">
        <v>361</v>
      </c>
    </row>
    <row r="442" customFormat="false" ht="15" hidden="false" customHeight="false" outlineLevel="0" collapsed="false">
      <c r="A442" s="0" t="n">
        <v>441</v>
      </c>
      <c r="B442" s="0" t="s">
        <v>292</v>
      </c>
      <c r="C442" s="0" t="s">
        <v>409</v>
      </c>
      <c r="D442" s="0" t="s">
        <v>361</v>
      </c>
      <c r="F442" s="0" t="s">
        <v>390</v>
      </c>
    </row>
    <row r="443" customFormat="false" ht="15" hidden="false" customHeight="false" outlineLevel="0" collapsed="false">
      <c r="A443" s="0" t="n">
        <v>442</v>
      </c>
      <c r="B443" s="0" t="s">
        <v>292</v>
      </c>
      <c r="C443" s="0" t="s">
        <v>744</v>
      </c>
      <c r="D443" s="0" t="s">
        <v>361</v>
      </c>
    </row>
    <row r="444" customFormat="false" ht="15" hidden="false" customHeight="false" outlineLevel="0" collapsed="false">
      <c r="A444" s="0" t="n">
        <v>443</v>
      </c>
      <c r="B444" s="0" t="s">
        <v>292</v>
      </c>
      <c r="C444" s="0" t="s">
        <v>745</v>
      </c>
      <c r="D444" s="0" t="s">
        <v>361</v>
      </c>
    </row>
    <row r="445" customFormat="false" ht="15" hidden="false" customHeight="false" outlineLevel="0" collapsed="false">
      <c r="A445" s="0" t="n">
        <v>444</v>
      </c>
      <c r="B445" s="0" t="s">
        <v>295</v>
      </c>
      <c r="C445" s="0" t="s">
        <v>468</v>
      </c>
      <c r="D445" s="0" t="s">
        <v>758</v>
      </c>
      <c r="F445" s="0" t="s">
        <v>390</v>
      </c>
    </row>
    <row r="446" customFormat="false" ht="15" hidden="false" customHeight="false" outlineLevel="0" collapsed="false">
      <c r="A446" s="0" t="n">
        <v>445</v>
      </c>
      <c r="B446" s="0" t="s">
        <v>295</v>
      </c>
      <c r="C446" s="0" t="s">
        <v>759</v>
      </c>
      <c r="D446" s="0" t="s">
        <v>760</v>
      </c>
      <c r="F446" s="0" t="s">
        <v>435</v>
      </c>
    </row>
    <row r="447" customFormat="false" ht="15" hidden="false" customHeight="false" outlineLevel="0" collapsed="false">
      <c r="A447" s="0" t="n">
        <v>446</v>
      </c>
      <c r="B447" s="0" t="s">
        <v>295</v>
      </c>
      <c r="C447" s="0" t="s">
        <v>655</v>
      </c>
      <c r="D447" s="0" t="s">
        <v>361</v>
      </c>
      <c r="F447" s="0" t="s">
        <v>355</v>
      </c>
    </row>
    <row r="448" customFormat="false" ht="15" hidden="false" customHeight="false" outlineLevel="0" collapsed="false">
      <c r="A448" s="0" t="n">
        <v>447</v>
      </c>
      <c r="B448" s="0" t="s">
        <v>295</v>
      </c>
      <c r="C448" s="0" t="s">
        <v>761</v>
      </c>
      <c r="D448" s="0" t="s">
        <v>361</v>
      </c>
      <c r="F448" s="0" t="s">
        <v>366</v>
      </c>
    </row>
    <row r="449" customFormat="false" ht="15" hidden="false" customHeight="false" outlineLevel="0" collapsed="false">
      <c r="A449" s="0" t="n">
        <v>448</v>
      </c>
      <c r="B449" s="0" t="s">
        <v>299</v>
      </c>
      <c r="C449" s="0" t="s">
        <v>762</v>
      </c>
      <c r="D449" s="0" t="s">
        <v>763</v>
      </c>
      <c r="F449" s="0" t="s">
        <v>362</v>
      </c>
    </row>
    <row r="450" customFormat="false" ht="15" hidden="false" customHeight="false" outlineLevel="0" collapsed="false">
      <c r="A450" s="0" t="n">
        <v>449</v>
      </c>
      <c r="B450" s="0" t="s">
        <v>299</v>
      </c>
      <c r="C450" s="0" t="s">
        <v>764</v>
      </c>
      <c r="D450" s="0" t="s">
        <v>394</v>
      </c>
      <c r="F450" s="0" t="s">
        <v>362</v>
      </c>
    </row>
    <row r="451" customFormat="false" ht="15" hidden="false" customHeight="false" outlineLevel="0" collapsed="false">
      <c r="A451" s="0" t="n">
        <v>450</v>
      </c>
      <c r="B451" s="0" t="s">
        <v>299</v>
      </c>
      <c r="C451" s="0" t="s">
        <v>765</v>
      </c>
      <c r="D451" s="0" t="s">
        <v>766</v>
      </c>
      <c r="F451" s="0" t="s">
        <v>362</v>
      </c>
    </row>
    <row r="452" customFormat="false" ht="15" hidden="false" customHeight="false" outlineLevel="0" collapsed="false">
      <c r="A452" s="0" t="n">
        <v>451</v>
      </c>
      <c r="B452" s="0" t="s">
        <v>299</v>
      </c>
      <c r="C452" s="0" t="s">
        <v>767</v>
      </c>
      <c r="D452" s="0" t="s">
        <v>768</v>
      </c>
      <c r="F452" s="0" t="s">
        <v>362</v>
      </c>
    </row>
    <row r="453" customFormat="false" ht="15" hidden="false" customHeight="false" outlineLevel="0" collapsed="false">
      <c r="A453" s="0" t="n">
        <v>452</v>
      </c>
      <c r="B453" s="0" t="s">
        <v>299</v>
      </c>
      <c r="C453" s="0" t="s">
        <v>769</v>
      </c>
      <c r="D453" s="0" t="s">
        <v>770</v>
      </c>
      <c r="F453" s="0" t="s">
        <v>362</v>
      </c>
    </row>
    <row r="454" customFormat="false" ht="15" hidden="false" customHeight="false" outlineLevel="0" collapsed="false">
      <c r="A454" s="0" t="n">
        <v>453</v>
      </c>
      <c r="B454" s="0" t="s">
        <v>299</v>
      </c>
      <c r="C454" s="0" t="s">
        <v>771</v>
      </c>
      <c r="D454" s="0" t="s">
        <v>365</v>
      </c>
      <c r="F454" s="0" t="s">
        <v>362</v>
      </c>
    </row>
    <row r="455" customFormat="false" ht="15" hidden="false" customHeight="false" outlineLevel="0" collapsed="false">
      <c r="A455" s="0" t="n">
        <v>454</v>
      </c>
      <c r="B455" s="0" t="s">
        <v>299</v>
      </c>
      <c r="C455" s="0" t="s">
        <v>772</v>
      </c>
      <c r="D455" s="0" t="s">
        <v>773</v>
      </c>
      <c r="F455" s="0" t="s">
        <v>352</v>
      </c>
    </row>
    <row r="456" customFormat="false" ht="15" hidden="false" customHeight="false" outlineLevel="0" collapsed="false">
      <c r="A456" s="0" t="n">
        <v>455</v>
      </c>
      <c r="B456" s="0" t="s">
        <v>299</v>
      </c>
      <c r="C456" s="0" t="s">
        <v>774</v>
      </c>
      <c r="D456" s="0" t="s">
        <v>775</v>
      </c>
      <c r="F456" s="0" t="s">
        <v>352</v>
      </c>
    </row>
    <row r="457" customFormat="false" ht="15" hidden="false" customHeight="false" outlineLevel="0" collapsed="false">
      <c r="A457" s="0" t="n">
        <v>456</v>
      </c>
      <c r="B457" s="0" t="s">
        <v>299</v>
      </c>
      <c r="C457" s="0" t="s">
        <v>776</v>
      </c>
      <c r="D457" s="0" t="s">
        <v>361</v>
      </c>
      <c r="F457" s="0" t="s">
        <v>404</v>
      </c>
    </row>
    <row r="458" customFormat="false" ht="15" hidden="false" customHeight="false" outlineLevel="0" collapsed="false">
      <c r="A458" s="0" t="n">
        <v>457</v>
      </c>
      <c r="B458" s="0" t="s">
        <v>299</v>
      </c>
      <c r="C458" s="0" t="s">
        <v>375</v>
      </c>
      <c r="D458" s="0" t="s">
        <v>361</v>
      </c>
      <c r="F458" s="0" t="s">
        <v>375</v>
      </c>
    </row>
    <row r="459" customFormat="false" ht="15" hidden="false" customHeight="false" outlineLevel="0" collapsed="false">
      <c r="A459" s="0" t="n">
        <v>458</v>
      </c>
      <c r="B459" s="0" t="s">
        <v>299</v>
      </c>
      <c r="C459" s="0" t="s">
        <v>432</v>
      </c>
      <c r="D459" s="0" t="s">
        <v>361</v>
      </c>
      <c r="F459" s="0" t="s">
        <v>390</v>
      </c>
    </row>
    <row r="460" customFormat="false" ht="15" hidden="false" customHeight="false" outlineLevel="0" collapsed="false">
      <c r="A460" s="0" t="n">
        <v>459</v>
      </c>
      <c r="B460" s="0" t="s">
        <v>302</v>
      </c>
      <c r="C460" s="0" t="s">
        <v>777</v>
      </c>
      <c r="D460" s="0" t="s">
        <v>778</v>
      </c>
      <c r="F460" s="0" t="s">
        <v>355</v>
      </c>
    </row>
    <row r="461" customFormat="false" ht="15" hidden="false" customHeight="false" outlineLevel="0" collapsed="false">
      <c r="A461" s="0" t="n">
        <v>460</v>
      </c>
      <c r="B461" s="0" t="s">
        <v>302</v>
      </c>
      <c r="C461" s="0" t="s">
        <v>779</v>
      </c>
      <c r="D461" s="0" t="s">
        <v>780</v>
      </c>
      <c r="F461" s="0" t="s">
        <v>366</v>
      </c>
    </row>
    <row r="462" customFormat="false" ht="15" hidden="false" customHeight="false" outlineLevel="0" collapsed="false">
      <c r="A462" s="0" t="n">
        <v>461</v>
      </c>
      <c r="B462" s="0" t="s">
        <v>302</v>
      </c>
      <c r="C462" s="0" t="s">
        <v>781</v>
      </c>
      <c r="D462" s="0" t="s">
        <v>782</v>
      </c>
    </row>
    <row r="463" customFormat="false" ht="15" hidden="false" customHeight="false" outlineLevel="0" collapsed="false">
      <c r="A463" s="0" t="n">
        <v>462</v>
      </c>
      <c r="B463" s="0" t="s">
        <v>302</v>
      </c>
      <c r="C463" s="0" t="s">
        <v>783</v>
      </c>
      <c r="D463" s="0" t="s">
        <v>784</v>
      </c>
    </row>
    <row r="464" customFormat="false" ht="15" hidden="false" customHeight="false" outlineLevel="0" collapsed="false">
      <c r="A464" s="0" t="n">
        <v>463</v>
      </c>
      <c r="B464" s="0" t="s">
        <v>305</v>
      </c>
      <c r="C464" s="0" t="s">
        <v>745</v>
      </c>
      <c r="D464" s="0" t="s">
        <v>361</v>
      </c>
    </row>
    <row r="465" customFormat="false" ht="15" hidden="false" customHeight="false" outlineLevel="0" collapsed="false">
      <c r="A465" s="0" t="n">
        <v>464</v>
      </c>
      <c r="B465" s="0" t="s">
        <v>305</v>
      </c>
      <c r="C465" s="0" t="s">
        <v>409</v>
      </c>
      <c r="D465" s="0" t="s">
        <v>361</v>
      </c>
      <c r="F465" s="0" t="s">
        <v>390</v>
      </c>
    </row>
    <row r="466" customFormat="false" ht="15" hidden="false" customHeight="false" outlineLevel="0" collapsed="false">
      <c r="A466" s="0" t="n">
        <v>465</v>
      </c>
      <c r="B466" s="0" t="s">
        <v>305</v>
      </c>
      <c r="C466" s="0" t="s">
        <v>785</v>
      </c>
      <c r="D466" s="0" t="s">
        <v>361</v>
      </c>
      <c r="F466" s="0" t="s">
        <v>366</v>
      </c>
    </row>
    <row r="467" customFormat="false" ht="15" hidden="false" customHeight="false" outlineLevel="0" collapsed="false">
      <c r="A467" s="0" t="n">
        <v>466</v>
      </c>
      <c r="B467" s="0" t="s">
        <v>305</v>
      </c>
      <c r="C467" s="0" t="s">
        <v>786</v>
      </c>
      <c r="D467" s="0" t="s">
        <v>361</v>
      </c>
    </row>
    <row r="468" customFormat="false" ht="15" hidden="false" customHeight="false" outlineLevel="0" collapsed="false">
      <c r="A468" s="0" t="n">
        <v>467</v>
      </c>
      <c r="B468" s="0" t="s">
        <v>305</v>
      </c>
      <c r="C468" s="0" t="s">
        <v>787</v>
      </c>
      <c r="D468" s="0" t="s">
        <v>361</v>
      </c>
    </row>
    <row r="469" customFormat="false" ht="15" hidden="false" customHeight="false" outlineLevel="0" collapsed="false">
      <c r="A469" s="0" t="n">
        <v>468</v>
      </c>
      <c r="B469" s="0" t="s">
        <v>308</v>
      </c>
      <c r="C469" s="0" t="s">
        <v>788</v>
      </c>
      <c r="D469" s="0" t="s">
        <v>473</v>
      </c>
    </row>
    <row r="470" customFormat="false" ht="15" hidden="false" customHeight="false" outlineLevel="0" collapsed="false">
      <c r="A470" s="0" t="n">
        <v>469</v>
      </c>
      <c r="B470" s="0" t="s">
        <v>308</v>
      </c>
      <c r="C470" s="0" t="s">
        <v>789</v>
      </c>
      <c r="D470" s="0" t="s">
        <v>709</v>
      </c>
      <c r="F470" s="0" t="s">
        <v>355</v>
      </c>
    </row>
    <row r="471" customFormat="false" ht="15" hidden="false" customHeight="false" outlineLevel="0" collapsed="false">
      <c r="A471" s="0" t="n">
        <v>470</v>
      </c>
      <c r="B471" s="0" t="s">
        <v>308</v>
      </c>
      <c r="C471" s="0" t="s">
        <v>790</v>
      </c>
      <c r="D471" s="0" t="s">
        <v>707</v>
      </c>
      <c r="F471" s="0" t="s">
        <v>390</v>
      </c>
    </row>
    <row r="472" customFormat="false" ht="15" hidden="false" customHeight="false" outlineLevel="0" collapsed="false">
      <c r="A472" s="0" t="n">
        <v>471</v>
      </c>
      <c r="B472" s="0" t="s">
        <v>308</v>
      </c>
      <c r="C472" s="0" t="s">
        <v>791</v>
      </c>
      <c r="D472" s="0" t="s">
        <v>792</v>
      </c>
      <c r="F472" s="0" t="s">
        <v>793</v>
      </c>
    </row>
    <row r="473" customFormat="false" ht="15" hidden="false" customHeight="false" outlineLevel="0" collapsed="false">
      <c r="A473" s="0" t="n">
        <v>472</v>
      </c>
      <c r="B473" s="0" t="s">
        <v>311</v>
      </c>
      <c r="C473" s="0" t="s">
        <v>794</v>
      </c>
      <c r="D473" s="0" t="s">
        <v>795</v>
      </c>
      <c r="F473" s="0" t="s">
        <v>352</v>
      </c>
    </row>
    <row r="474" customFormat="false" ht="15" hidden="false" customHeight="false" outlineLevel="0" collapsed="false">
      <c r="A474" s="0" t="n">
        <v>473</v>
      </c>
      <c r="B474" s="0" t="s">
        <v>311</v>
      </c>
      <c r="C474" s="0" t="s">
        <v>796</v>
      </c>
      <c r="D474" s="0" t="s">
        <v>797</v>
      </c>
    </row>
    <row r="475" customFormat="false" ht="15" hidden="false" customHeight="false" outlineLevel="0" collapsed="false">
      <c r="A475" s="0" t="n">
        <v>474</v>
      </c>
      <c r="B475" s="0" t="s">
        <v>311</v>
      </c>
      <c r="C475" s="0" t="s">
        <v>798</v>
      </c>
      <c r="D475" s="0" t="s">
        <v>361</v>
      </c>
    </row>
    <row r="476" customFormat="false" ht="15" hidden="false" customHeight="false" outlineLevel="0" collapsed="false">
      <c r="A476" s="0" t="n">
        <v>475</v>
      </c>
      <c r="B476" s="0" t="s">
        <v>314</v>
      </c>
      <c r="C476" s="0" t="s">
        <v>386</v>
      </c>
      <c r="D476" s="0" t="s">
        <v>361</v>
      </c>
    </row>
    <row r="477" customFormat="false" ht="15" hidden="false" customHeight="false" outlineLevel="0" collapsed="false">
      <c r="A477" s="0" t="n">
        <v>476</v>
      </c>
      <c r="B477" s="0" t="s">
        <v>314</v>
      </c>
      <c r="C477" s="0" t="s">
        <v>799</v>
      </c>
      <c r="D477" s="0" t="s">
        <v>361</v>
      </c>
      <c r="F477" s="0" t="s">
        <v>518</v>
      </c>
    </row>
    <row r="478" customFormat="false" ht="15" hidden="false" customHeight="false" outlineLevel="0" collapsed="false">
      <c r="A478" s="0" t="n">
        <v>477</v>
      </c>
      <c r="B478" s="0" t="s">
        <v>314</v>
      </c>
      <c r="C478" s="0" t="s">
        <v>541</v>
      </c>
      <c r="D478" s="0" t="s">
        <v>361</v>
      </c>
      <c r="F478" s="0" t="s">
        <v>355</v>
      </c>
    </row>
    <row r="479" customFormat="false" ht="15" hidden="false" customHeight="false" outlineLevel="0" collapsed="false">
      <c r="A479" s="0" t="n">
        <v>478</v>
      </c>
      <c r="B479" s="0" t="s">
        <v>317</v>
      </c>
      <c r="C479" s="0" t="s">
        <v>362</v>
      </c>
      <c r="D479" s="0" t="s">
        <v>361</v>
      </c>
      <c r="F479" s="0" t="s">
        <v>362</v>
      </c>
    </row>
    <row r="480" customFormat="false" ht="15" hidden="false" customHeight="false" outlineLevel="0" collapsed="false">
      <c r="A480" s="0" t="n">
        <v>479</v>
      </c>
      <c r="B480" s="0" t="s">
        <v>317</v>
      </c>
      <c r="C480" s="0" t="s">
        <v>353</v>
      </c>
      <c r="D480" s="0" t="s">
        <v>361</v>
      </c>
      <c r="F480" s="0" t="s">
        <v>355</v>
      </c>
    </row>
    <row r="481" customFormat="false" ht="15" hidden="false" customHeight="false" outlineLevel="0" collapsed="false">
      <c r="A481" s="0" t="n">
        <v>480</v>
      </c>
      <c r="B481" s="0" t="s">
        <v>317</v>
      </c>
      <c r="C481" s="0" t="s">
        <v>409</v>
      </c>
      <c r="D481" s="0" t="s">
        <v>361</v>
      </c>
      <c r="F481" s="0" t="s">
        <v>390</v>
      </c>
    </row>
    <row r="482" customFormat="false" ht="15" hidden="false" customHeight="false" outlineLevel="0" collapsed="false">
      <c r="A482" s="0" t="n">
        <v>481</v>
      </c>
      <c r="B482" s="0" t="s">
        <v>320</v>
      </c>
      <c r="C482" s="0" t="s">
        <v>800</v>
      </c>
      <c r="D482" s="0" t="s">
        <v>801</v>
      </c>
      <c r="F482" s="0" t="s">
        <v>355</v>
      </c>
    </row>
    <row r="483" customFormat="false" ht="15" hidden="false" customHeight="false" outlineLevel="0" collapsed="false">
      <c r="A483" s="0" t="n">
        <v>482</v>
      </c>
      <c r="B483" s="0" t="s">
        <v>320</v>
      </c>
      <c r="C483" s="0" t="s">
        <v>802</v>
      </c>
      <c r="D483" s="0" t="s">
        <v>803</v>
      </c>
      <c r="F483" s="0" t="s">
        <v>355</v>
      </c>
    </row>
    <row r="484" customFormat="false" ht="15" hidden="false" customHeight="false" outlineLevel="0" collapsed="false">
      <c r="A484" s="0" t="n">
        <v>483</v>
      </c>
      <c r="B484" s="0" t="s">
        <v>320</v>
      </c>
      <c r="C484" s="0" t="s">
        <v>397</v>
      </c>
      <c r="D484" s="0" t="s">
        <v>804</v>
      </c>
      <c r="F484" s="0" t="s">
        <v>366</v>
      </c>
    </row>
    <row r="485" customFormat="false" ht="15" hidden="false" customHeight="false" outlineLevel="0" collapsed="false">
      <c r="A485" s="0" t="n">
        <v>484</v>
      </c>
      <c r="B485" s="0" t="s">
        <v>320</v>
      </c>
      <c r="C485" s="0" t="s">
        <v>417</v>
      </c>
      <c r="D485" s="0" t="s">
        <v>361</v>
      </c>
      <c r="F485" s="0" t="s">
        <v>417</v>
      </c>
    </row>
    <row r="486" customFormat="false" ht="15" hidden="false" customHeight="false" outlineLevel="0" collapsed="false">
      <c r="A486" s="0" t="n">
        <v>485</v>
      </c>
      <c r="B486" s="0" t="s">
        <v>320</v>
      </c>
      <c r="C486" s="0" t="s">
        <v>436</v>
      </c>
      <c r="D486" s="0" t="s">
        <v>361</v>
      </c>
      <c r="F486" s="0" t="s">
        <v>431</v>
      </c>
    </row>
    <row r="487" customFormat="false" ht="15" hidden="false" customHeight="false" outlineLevel="0" collapsed="false">
      <c r="A487" s="0" t="n">
        <v>486</v>
      </c>
      <c r="B487" s="0" t="s">
        <v>320</v>
      </c>
      <c r="C487" s="0" t="s">
        <v>362</v>
      </c>
      <c r="D487" s="0" t="s">
        <v>361</v>
      </c>
      <c r="F487" s="0" t="s">
        <v>362</v>
      </c>
    </row>
    <row r="488" customFormat="false" ht="15" hidden="false" customHeight="false" outlineLevel="0" collapsed="false">
      <c r="A488" s="0" t="n">
        <v>487</v>
      </c>
      <c r="B488" s="0" t="s">
        <v>323</v>
      </c>
      <c r="C488" s="0" t="s">
        <v>745</v>
      </c>
      <c r="D488" s="0" t="s">
        <v>361</v>
      </c>
    </row>
    <row r="489" customFormat="false" ht="15" hidden="false" customHeight="false" outlineLevel="0" collapsed="false">
      <c r="A489" s="0" t="n">
        <v>488</v>
      </c>
      <c r="B489" s="0" t="s">
        <v>323</v>
      </c>
      <c r="C489" s="0" t="s">
        <v>805</v>
      </c>
      <c r="D489" s="0" t="s">
        <v>361</v>
      </c>
    </row>
    <row r="490" customFormat="false" ht="15" hidden="false" customHeight="false" outlineLevel="0" collapsed="false">
      <c r="A490" s="0" t="n">
        <v>489</v>
      </c>
      <c r="B490" s="0" t="s">
        <v>323</v>
      </c>
      <c r="C490" s="0" t="s">
        <v>806</v>
      </c>
      <c r="D490" s="0" t="s">
        <v>361</v>
      </c>
      <c r="F490" s="0" t="s">
        <v>390</v>
      </c>
    </row>
    <row r="491" customFormat="false" ht="15" hidden="false" customHeight="false" outlineLevel="0" collapsed="false">
      <c r="A491" s="0" t="n">
        <v>490</v>
      </c>
      <c r="B491" s="0" t="s">
        <v>323</v>
      </c>
      <c r="C491" s="0" t="s">
        <v>509</v>
      </c>
      <c r="D491" s="0" t="s">
        <v>361</v>
      </c>
      <c r="F491" s="0" t="s">
        <v>435</v>
      </c>
    </row>
    <row r="492" customFormat="false" ht="15" hidden="false" customHeight="false" outlineLevel="0" collapsed="false">
      <c r="A492" s="0" t="n">
        <v>491</v>
      </c>
      <c r="B492" s="0" t="s">
        <v>323</v>
      </c>
      <c r="C492" s="0" t="s">
        <v>807</v>
      </c>
      <c r="D492" s="0" t="s">
        <v>361</v>
      </c>
      <c r="F492" s="0" t="s">
        <v>518</v>
      </c>
    </row>
    <row r="493" customFormat="false" ht="15" hidden="false" customHeight="false" outlineLevel="0" collapsed="false">
      <c r="A493" s="0" t="n">
        <v>492</v>
      </c>
      <c r="B493" s="0" t="s">
        <v>326</v>
      </c>
      <c r="C493" s="0" t="s">
        <v>808</v>
      </c>
      <c r="D493" s="0" t="s">
        <v>809</v>
      </c>
      <c r="F493" s="0" t="s">
        <v>362</v>
      </c>
    </row>
    <row r="494" customFormat="false" ht="15" hidden="false" customHeight="false" outlineLevel="0" collapsed="false">
      <c r="A494" s="0" t="n">
        <v>493</v>
      </c>
      <c r="B494" s="0" t="s">
        <v>326</v>
      </c>
      <c r="C494" s="0" t="s">
        <v>810</v>
      </c>
      <c r="D494" s="0" t="s">
        <v>811</v>
      </c>
      <c r="F494" s="0" t="s">
        <v>362</v>
      </c>
    </row>
    <row r="495" customFormat="false" ht="15" hidden="false" customHeight="false" outlineLevel="0" collapsed="false">
      <c r="A495" s="0" t="n">
        <v>494</v>
      </c>
      <c r="B495" s="0" t="s">
        <v>326</v>
      </c>
      <c r="C495" s="0" t="s">
        <v>812</v>
      </c>
      <c r="D495" s="0" t="s">
        <v>674</v>
      </c>
      <c r="F495" s="0" t="s">
        <v>362</v>
      </c>
    </row>
    <row r="496" customFormat="false" ht="15" hidden="false" customHeight="false" outlineLevel="0" collapsed="false">
      <c r="A496" s="0" t="n">
        <v>495</v>
      </c>
      <c r="B496" s="0" t="s">
        <v>326</v>
      </c>
      <c r="C496" s="0" t="s">
        <v>813</v>
      </c>
      <c r="D496" s="0" t="s">
        <v>814</v>
      </c>
      <c r="F496" s="0" t="s">
        <v>362</v>
      </c>
    </row>
    <row r="497" customFormat="false" ht="15" hidden="false" customHeight="false" outlineLevel="0" collapsed="false">
      <c r="A497" s="0" t="n">
        <v>496</v>
      </c>
      <c r="B497" s="0" t="s">
        <v>326</v>
      </c>
      <c r="C497" s="0" t="s">
        <v>375</v>
      </c>
      <c r="D497" s="0" t="s">
        <v>815</v>
      </c>
      <c r="F497" s="0" t="s">
        <v>375</v>
      </c>
    </row>
    <row r="498" customFormat="false" ht="15" hidden="false" customHeight="false" outlineLevel="0" collapsed="false">
      <c r="A498" s="0" t="n">
        <v>497</v>
      </c>
      <c r="B498" s="0" t="s">
        <v>326</v>
      </c>
      <c r="C498" s="0" t="s">
        <v>505</v>
      </c>
      <c r="D498" s="0" t="s">
        <v>816</v>
      </c>
      <c r="F498" s="0" t="s">
        <v>375</v>
      </c>
    </row>
    <row r="499" customFormat="false" ht="15" hidden="false" customHeight="false" outlineLevel="0" collapsed="false">
      <c r="A499" s="0" t="n">
        <v>498</v>
      </c>
      <c r="B499" s="0" t="s">
        <v>326</v>
      </c>
      <c r="C499" s="0" t="s">
        <v>817</v>
      </c>
      <c r="D499" s="0" t="s">
        <v>818</v>
      </c>
      <c r="F499" s="0" t="s">
        <v>344</v>
      </c>
    </row>
    <row r="500" customFormat="false" ht="15" hidden="false" customHeight="false" outlineLevel="0" collapsed="false">
      <c r="A500" s="0" t="n">
        <v>499</v>
      </c>
      <c r="B500" s="0" t="s">
        <v>326</v>
      </c>
      <c r="C500" s="0" t="s">
        <v>819</v>
      </c>
      <c r="D500" s="0" t="s">
        <v>820</v>
      </c>
      <c r="F500" s="0" t="s">
        <v>344</v>
      </c>
    </row>
    <row r="501" customFormat="false" ht="15" hidden="false" customHeight="false" outlineLevel="0" collapsed="false">
      <c r="A501" s="0" t="n">
        <v>500</v>
      </c>
      <c r="B501" s="0" t="s">
        <v>326</v>
      </c>
      <c r="C501" s="0" t="s">
        <v>821</v>
      </c>
      <c r="D501" s="0" t="s">
        <v>818</v>
      </c>
      <c r="F501" s="0" t="s">
        <v>344</v>
      </c>
    </row>
    <row r="502" customFormat="false" ht="15" hidden="false" customHeight="false" outlineLevel="0" collapsed="false">
      <c r="A502" s="0" t="n">
        <v>501</v>
      </c>
      <c r="B502" s="0" t="s">
        <v>326</v>
      </c>
      <c r="C502" s="0" t="s">
        <v>822</v>
      </c>
      <c r="D502" s="0" t="s">
        <v>823</v>
      </c>
      <c r="F502" s="0" t="s">
        <v>344</v>
      </c>
    </row>
    <row r="503" customFormat="false" ht="15" hidden="false" customHeight="false" outlineLevel="0" collapsed="false">
      <c r="A503" s="0" t="n">
        <v>502</v>
      </c>
      <c r="B503" s="0" t="s">
        <v>326</v>
      </c>
      <c r="C503" s="0" t="s">
        <v>824</v>
      </c>
      <c r="D503" s="0" t="s">
        <v>809</v>
      </c>
      <c r="F503" s="0" t="s">
        <v>344</v>
      </c>
    </row>
    <row r="504" customFormat="false" ht="15" hidden="false" customHeight="false" outlineLevel="0" collapsed="false">
      <c r="A504" s="0" t="n">
        <v>503</v>
      </c>
      <c r="B504" s="0" t="s">
        <v>326</v>
      </c>
      <c r="C504" s="0" t="s">
        <v>825</v>
      </c>
      <c r="D504" s="0" t="s">
        <v>809</v>
      </c>
      <c r="F504" s="0" t="s">
        <v>344</v>
      </c>
    </row>
    <row r="505" customFormat="false" ht="15" hidden="false" customHeight="false" outlineLevel="0" collapsed="false">
      <c r="A505" s="0" t="n">
        <v>504</v>
      </c>
      <c r="B505" s="0" t="s">
        <v>329</v>
      </c>
      <c r="C505" s="0" t="s">
        <v>826</v>
      </c>
      <c r="D505" s="0" t="s">
        <v>361</v>
      </c>
      <c r="F505" s="0" t="s">
        <v>355</v>
      </c>
    </row>
    <row r="506" customFormat="false" ht="15" hidden="false" customHeight="false" outlineLevel="0" collapsed="false">
      <c r="A506" s="0" t="n">
        <v>505</v>
      </c>
      <c r="B506" s="0" t="s">
        <v>329</v>
      </c>
      <c r="C506" s="0" t="s">
        <v>397</v>
      </c>
      <c r="D506" s="0" t="s">
        <v>361</v>
      </c>
      <c r="F506" s="0" t="s">
        <v>366</v>
      </c>
    </row>
    <row r="507" customFormat="false" ht="15" hidden="false" customHeight="false" outlineLevel="0" collapsed="false">
      <c r="A507" s="0" t="n">
        <v>506</v>
      </c>
      <c r="B507" s="0" t="s">
        <v>329</v>
      </c>
      <c r="C507" s="0" t="s">
        <v>827</v>
      </c>
      <c r="D507" s="0" t="s">
        <v>361</v>
      </c>
      <c r="F507" s="0" t="s">
        <v>476</v>
      </c>
    </row>
    <row r="508" customFormat="false" ht="15" hidden="false" customHeight="false" outlineLevel="0" collapsed="false">
      <c r="A508" s="0" t="n">
        <v>507</v>
      </c>
      <c r="B508" s="0" t="s">
        <v>329</v>
      </c>
      <c r="C508" s="0" t="s">
        <v>344</v>
      </c>
      <c r="D508" s="0" t="s">
        <v>361</v>
      </c>
      <c r="F508" s="0" t="s">
        <v>344</v>
      </c>
    </row>
    <row r="509" customFormat="false" ht="15" hidden="false" customHeight="false" outlineLevel="0" collapsed="false">
      <c r="A509" s="0" t="n">
        <v>508</v>
      </c>
      <c r="B509" s="0" t="s">
        <v>333</v>
      </c>
      <c r="C509" s="0" t="s">
        <v>828</v>
      </c>
      <c r="D509" s="0" t="s">
        <v>829</v>
      </c>
    </row>
    <row r="510" customFormat="false" ht="15" hidden="false" customHeight="false" outlineLevel="0" collapsed="false">
      <c r="A510" s="0" t="n">
        <v>509</v>
      </c>
      <c r="B510" s="0" t="s">
        <v>333</v>
      </c>
      <c r="C510" s="0" t="s">
        <v>830</v>
      </c>
      <c r="D510" s="0" t="s">
        <v>361</v>
      </c>
      <c r="F510" s="0" t="s">
        <v>352</v>
      </c>
    </row>
    <row r="511" customFormat="false" ht="15" hidden="false" customHeight="false" outlineLevel="0" collapsed="false">
      <c r="A511" s="0" t="n">
        <v>510</v>
      </c>
      <c r="B511" s="0" t="s">
        <v>333</v>
      </c>
      <c r="C511" s="0" t="s">
        <v>831</v>
      </c>
      <c r="D511" s="0" t="s">
        <v>361</v>
      </c>
      <c r="F511" s="0" t="s">
        <v>832</v>
      </c>
    </row>
    <row r="512" customFormat="false" ht="15" hidden="false" customHeight="false" outlineLevel="0" collapsed="false">
      <c r="A512" s="0" t="n">
        <v>511</v>
      </c>
      <c r="B512" s="0" t="s">
        <v>333</v>
      </c>
      <c r="C512" s="0" t="s">
        <v>833</v>
      </c>
      <c r="D512" s="0" t="s">
        <v>361</v>
      </c>
      <c r="F512" s="0" t="s">
        <v>352</v>
      </c>
    </row>
    <row r="513" customFormat="false" ht="15" hidden="false" customHeight="false" outlineLevel="0" collapsed="false">
      <c r="A513" s="0" t="n">
        <v>512</v>
      </c>
      <c r="B513" s="0" t="s">
        <v>333</v>
      </c>
      <c r="C513" s="0" t="s">
        <v>834</v>
      </c>
      <c r="D513" s="0" t="s">
        <v>361</v>
      </c>
      <c r="F513" s="0" t="s">
        <v>352</v>
      </c>
    </row>
    <row r="514" customFormat="false" ht="15" hidden="false" customHeight="false" outlineLevel="0" collapsed="false">
      <c r="A514" s="0" t="n">
        <v>513</v>
      </c>
      <c r="B514" s="0" t="s">
        <v>333</v>
      </c>
      <c r="C514" s="0" t="s">
        <v>470</v>
      </c>
      <c r="D514" s="0" t="s">
        <v>361</v>
      </c>
      <c r="F514" s="0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2" t="s">
        <v>835</v>
      </c>
      <c r="B1" s="2"/>
      <c r="C1" s="2"/>
      <c r="D1" s="2"/>
    </row>
    <row r="3" customFormat="false" ht="15" hidden="false" customHeight="false" outlineLevel="0" collapsed="false">
      <c r="A3" s="3" t="s">
        <v>836</v>
      </c>
      <c r="B3" s="3" t="s">
        <v>837</v>
      </c>
    </row>
    <row r="4" customFormat="false" ht="15" hidden="false" customHeight="false" outlineLevel="0" collapsed="false">
      <c r="A4" s="0" t="s">
        <v>838</v>
      </c>
      <c r="B4" s="0" t="n">
        <f aca="false">COUNTA('Clinics Overview'!B2:B102)</f>
        <v>101</v>
      </c>
    </row>
    <row r="5" customFormat="false" ht="15" hidden="false" customHeight="false" outlineLevel="0" collapsed="false">
      <c r="A5" s="0" t="s">
        <v>839</v>
      </c>
      <c r="B5" s="0" t="n">
        <f aca="false">SUMPRODUCT(--((ISNUMBER(SEARCH("yes",'Clinics Overview'!G2:G102))+ISNUMBER(SEARCH("partial",'Clinics Overview'!G2:G102)))&gt;0))</f>
        <v>56</v>
      </c>
    </row>
    <row r="6" customFormat="false" ht="15" hidden="false" customHeight="false" outlineLevel="0" collapsed="false">
      <c r="A6" s="0" t="s">
        <v>840</v>
      </c>
      <c r="B6" s="0" t="n">
        <f aca="false">B4-B5</f>
        <v>45</v>
      </c>
    </row>
    <row r="7" customFormat="false" ht="15" hidden="false" customHeight="false" outlineLevel="0" collapsed="false">
      <c r="A7" s="0" t="s">
        <v>841</v>
      </c>
      <c r="B7" s="0" t="n">
        <f aca="false">COUNTA('All Procedures'!C2:C514)</f>
        <v>513</v>
      </c>
    </row>
    <row r="9" customFormat="false" ht="15" hidden="false" customHeight="false" outlineLevel="0" collapsed="false">
      <c r="A9" s="3" t="s">
        <v>842</v>
      </c>
      <c r="B9" s="3" t="s">
        <v>843</v>
      </c>
    </row>
    <row r="10" customFormat="false" ht="15" hidden="false" customHeight="false" outlineLevel="0" collapsed="false">
      <c r="A10" s="0" t="s">
        <v>355</v>
      </c>
      <c r="B10" s="0" t="n">
        <f aca="false">SUMPRODUCT(--(COUNTIFS('All Procedures'!$B$2:$B$514,'Clinics Overview'!$B$2:$B$102,'All Procedures'!$F$2:$F$514,"*"&amp;"Botox / Neuromodulators"&amp;"*")&gt;0))</f>
        <v>66</v>
      </c>
    </row>
    <row r="11" customFormat="false" ht="15" hidden="false" customHeight="false" outlineLevel="0" collapsed="false">
      <c r="A11" s="0" t="s">
        <v>366</v>
      </c>
      <c r="B11" s="0" t="n">
        <f aca="false">SUMPRODUCT(--(COUNTIFS('All Procedures'!$B$2:$B$514,'Clinics Overview'!$B$2:$B$102,'All Procedures'!$F$2:$F$514,"*"&amp;"Dermal / Lip Fillers"&amp;"*")&gt;0))</f>
        <v>55</v>
      </c>
    </row>
    <row r="12" customFormat="false" ht="15" hidden="false" customHeight="false" outlineLevel="0" collapsed="false">
      <c r="A12" s="0" t="s">
        <v>476</v>
      </c>
      <c r="B12" s="0" t="n">
        <f aca="false">SUMPRODUCT(--(COUNTIFS('All Procedures'!$B$2:$B$514,'Clinics Overview'!$B$2:$B$102,'All Procedures'!$F$2:$F$514,"*"&amp;"Sculptra / Biostimulators"&amp;"*")&gt;0))</f>
        <v>12</v>
      </c>
    </row>
    <row r="13" customFormat="false" ht="15" hidden="false" customHeight="false" outlineLevel="0" collapsed="false">
      <c r="A13" s="0" t="s">
        <v>417</v>
      </c>
      <c r="B13" s="0" t="n">
        <f aca="false">SUMPRODUCT(--(COUNTIFS('All Procedures'!$B$2:$B$514,'Clinics Overview'!$B$2:$B$102,'All Procedures'!$F$2:$F$514,"*"&amp;"Kybella"&amp;"*")&gt;0))</f>
        <v>7</v>
      </c>
    </row>
    <row r="14" customFormat="false" ht="15" hidden="false" customHeight="false" outlineLevel="0" collapsed="false">
      <c r="A14" s="0" t="s">
        <v>340</v>
      </c>
      <c r="B14" s="0" t="n">
        <f aca="false">SUMPRODUCT(--(COUNTIFS('All Procedures'!$B$2:$B$514,'Clinics Overview'!$B$2:$B$102,'All Procedures'!$F$2:$F$514,"*"&amp;"HydraFacial"&amp;"*")&gt;0))</f>
        <v>22</v>
      </c>
    </row>
    <row r="15" customFormat="false" ht="15" hidden="false" customHeight="false" outlineLevel="0" collapsed="false">
      <c r="A15" s="0" t="s">
        <v>344</v>
      </c>
      <c r="B15" s="0" t="n">
        <f aca="false">SUMPRODUCT(--(COUNTIFS('All Procedures'!$B$2:$B$514,'Clinics Overview'!$B$2:$B$102,'All Procedures'!$F$2:$F$514,"*"&amp;"Chemical Peels"&amp;"*")&gt;0))</f>
        <v>21</v>
      </c>
    </row>
    <row r="16" customFormat="false" ht="15" hidden="false" customHeight="false" outlineLevel="0" collapsed="false">
      <c r="A16" s="0" t="s">
        <v>375</v>
      </c>
      <c r="B16" s="0" t="n">
        <f aca="false">SUMPRODUCT(--(COUNTIFS('All Procedures'!$B$2:$B$514,'Clinics Overview'!$B$2:$B$102,'All Procedures'!$F$2:$F$514,"*"&amp;"Microneedling"&amp;"*")&gt;0))</f>
        <v>32</v>
      </c>
    </row>
    <row r="17" customFormat="false" ht="15" hidden="false" customHeight="false" outlineLevel="0" collapsed="false">
      <c r="A17" s="0" t="s">
        <v>362</v>
      </c>
      <c r="B17" s="0" t="n">
        <f aca="false">SUMPRODUCT(--(COUNTIFS('All Procedures'!$B$2:$B$514,'Clinics Overview'!$B$2:$B$102,'All Procedures'!$F$2:$F$514,"*"&amp;"Laser Hair Removal"&amp;"*")&gt;0))</f>
        <v>26</v>
      </c>
    </row>
    <row r="18" customFormat="false" ht="15" hidden="false" customHeight="false" outlineLevel="0" collapsed="false">
      <c r="A18" s="0" t="s">
        <v>390</v>
      </c>
      <c r="B18" s="0" t="n">
        <f aca="false">SUMPRODUCT(--(COUNTIFS('All Procedures'!$B$2:$B$514,'Clinics Overview'!$B$2:$B$102,'All Procedures'!$F$2:$F$514,"*"&amp;"Body Contouring / CoolSculpting"&amp;"*")&gt;0))</f>
        <v>36</v>
      </c>
    </row>
    <row r="19" customFormat="false" ht="15" hidden="false" customHeight="false" outlineLevel="0" collapsed="false">
      <c r="A19" s="0" t="s">
        <v>518</v>
      </c>
      <c r="B19" s="0" t="n">
        <f aca="false">SUMPRODUCT(--(COUNTIFS('All Procedures'!$B$2:$B$514,'Clinics Overview'!$B$2:$B$102,'All Procedures'!$F$2:$F$514,"*"&amp;"Skin Tightening (Morpheus8/RF)"&amp;"*")&gt;0))</f>
        <v>10</v>
      </c>
    </row>
    <row r="20" customFormat="false" ht="15" hidden="false" customHeight="false" outlineLevel="0" collapsed="false">
      <c r="A20" s="0" t="s">
        <v>374</v>
      </c>
      <c r="B20" s="0" t="n">
        <f aca="false">SUMPRODUCT(--(COUNTIFS('All Procedures'!$B$2:$B$514,'Clinics Overview'!$B$2:$B$102,'All Procedures'!$F$2:$F$514,"*"&amp;"IV Therapy"&amp;"*")&gt;0))</f>
        <v>11</v>
      </c>
    </row>
    <row r="21" customFormat="false" ht="15" hidden="false" customHeight="false" outlineLevel="0" collapsed="false">
      <c r="A21" s="0" t="s">
        <v>431</v>
      </c>
      <c r="B21" s="0" t="n">
        <f aca="false">SUMPRODUCT(--(COUNTIFS('All Procedures'!$B$2:$B$514,'Clinics Overview'!$B$2:$B$102,'All Procedures'!$F$2:$F$514,"*"&amp;"PRP / PRF"&amp;"*")&gt;0))</f>
        <v>18</v>
      </c>
    </row>
    <row r="22" customFormat="false" ht="15" hidden="false" customHeight="false" outlineLevel="0" collapsed="false">
      <c r="A22" s="0" t="s">
        <v>435</v>
      </c>
      <c r="B22" s="0" t="n">
        <f aca="false">SUMPRODUCT(--(COUNTIFS('All Procedures'!$B$2:$B$514,'Clinics Overview'!$B$2:$B$102,'All Procedures'!$F$2:$F$514,"*"&amp;"Medical Weight Loss / GLP-1"&amp;"*")&gt;0))</f>
        <v>14</v>
      </c>
    </row>
    <row r="23" customFormat="false" ht="15" hidden="false" customHeight="false" outlineLevel="0" collapsed="false">
      <c r="A23" s="0" t="s">
        <v>407</v>
      </c>
      <c r="B23" s="0" t="n">
        <f aca="false">SUMPRODUCT(--(COUNTIFS('All Procedures'!$B$2:$B$514,'Clinics Overview'!$B$2:$B$102,'All Procedures'!$F$2:$F$514,"*"&amp;"Hormone Therapy"&amp;"*")&gt;0))</f>
        <v>9</v>
      </c>
    </row>
    <row r="24" customFormat="false" ht="15" hidden="false" customHeight="false" outlineLevel="0" collapsed="false">
      <c r="A24" s="0" t="s">
        <v>352</v>
      </c>
      <c r="B24" s="0" t="n">
        <f aca="false">SUMPRODUCT(--(COUNTIFS('All Procedures'!$B$2:$B$514,'Clinics Overview'!$B$2:$B$102,'All Procedures'!$F$2:$F$514,"*"&amp;"IPL / Photofacial"&amp;"*")&gt;0))</f>
        <v>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844</v>
      </c>
    </row>
    <row r="3" customFormat="false" ht="15" hidden="false" customHeight="false" outlineLevel="0" collapsed="false">
      <c r="A3" s="0" t="s">
        <v>845</v>
      </c>
    </row>
    <row r="4" customFormat="false" ht="15" hidden="false" customHeight="false" outlineLevel="0" collapsed="false">
      <c r="A4" s="0" t="s">
        <v>846</v>
      </c>
    </row>
    <row r="5" customFormat="false" ht="15" hidden="false" customHeight="false" outlineLevel="0" collapsed="false">
      <c r="A5" s="0" t="s">
        <v>847</v>
      </c>
    </row>
    <row r="6" customFormat="false" ht="15" hidden="false" customHeight="false" outlineLevel="0" collapsed="false">
      <c r="A6" s="0" t="s">
        <v>848</v>
      </c>
    </row>
    <row r="7" customFormat="false" ht="15" hidden="false" customHeight="false" outlineLevel="0" collapsed="false">
      <c r="A7" s="0" t="s">
        <v>849</v>
      </c>
    </row>
    <row r="8" customFormat="false" ht="15" hidden="false" customHeight="false" outlineLevel="0" collapsed="false">
      <c r="A8" s="0" t="s">
        <v>850</v>
      </c>
    </row>
    <row r="9" customFormat="false" ht="15" hidden="false" customHeight="false" outlineLevel="0" collapsed="false">
      <c r="A9" s="0" t="s">
        <v>851</v>
      </c>
    </row>
    <row r="10" customFormat="false" ht="15" hidden="false" customHeight="false" outlineLevel="0" collapsed="false">
      <c r="A10" s="0" t="s">
        <v>852</v>
      </c>
    </row>
    <row r="11" customFormat="false" ht="15" hidden="false" customHeight="false" outlineLevel="0" collapsed="false">
      <c r="A11" s="0" t="s">
        <v>853</v>
      </c>
    </row>
    <row r="13" customFormat="false" ht="15" hidden="false" customHeight="false" outlineLevel="0" collapsed="false">
      <c r="A13" s="0" t="s">
        <v>854</v>
      </c>
    </row>
    <row r="14" customFormat="false" ht="15" hidden="false" customHeight="false" outlineLevel="0" collapsed="false">
      <c r="A14" s="0" t="s">
        <v>855</v>
      </c>
    </row>
    <row r="15" customFormat="false" ht="15" hidden="false" customHeight="false" outlineLevel="0" collapsed="false">
      <c r="A15" s="0" t="s">
        <v>856</v>
      </c>
    </row>
    <row r="17" customFormat="false" ht="15" hidden="false" customHeight="false" outlineLevel="0" collapsed="false">
      <c r="A17" s="0" t="s">
        <v>857</v>
      </c>
    </row>
    <row r="18" customFormat="false" ht="15" hidden="false" customHeight="false" outlineLevel="0" collapsed="false">
      <c r="A18" s="0" t="s">
        <v>858</v>
      </c>
    </row>
    <row r="19" customFormat="false" ht="15" hidden="false" customHeight="false" outlineLevel="0" collapsed="false">
      <c r="A19" s="0" t="s">
        <v>859</v>
      </c>
    </row>
    <row r="21" customFormat="false" ht="15" hidden="false" customHeight="false" outlineLevel="0" collapsed="false">
      <c r="A21" s="0" t="s">
        <v>860</v>
      </c>
    </row>
    <row r="22" customFormat="false" ht="15" hidden="false" customHeight="false" outlineLevel="0" collapsed="false">
      <c r="A22" s="0" t="s">
        <v>861</v>
      </c>
    </row>
    <row r="23" customFormat="false" ht="15" hidden="false" customHeight="false" outlineLevel="0" collapsed="false">
      <c r="A23" s="0" t="s">
        <v>862</v>
      </c>
    </row>
    <row r="24" customFormat="false" ht="15" hidden="false" customHeight="false" outlineLevel="0" collapsed="false">
      <c r="A24" s="0" t="s">
        <v>863</v>
      </c>
    </row>
    <row r="25" customFormat="false" ht="15" hidden="false" customHeight="false" outlineLevel="0" collapsed="false">
      <c r="A25" s="0" t="s">
        <v>864</v>
      </c>
    </row>
    <row r="26" customFormat="false" ht="15" hidden="false" customHeight="false" outlineLevel="0" collapsed="false">
      <c r="A26" s="0" t="s">
        <v>865</v>
      </c>
    </row>
    <row r="27" customFormat="false" ht="15" hidden="false" customHeight="false" outlineLevel="0" collapsed="false">
      <c r="A27" s="0" t="s">
        <v>866</v>
      </c>
    </row>
    <row r="28" customFormat="false" ht="15" hidden="false" customHeight="false" outlineLevel="0" collapsed="false">
      <c r="A28" s="0" t="s">
        <v>867</v>
      </c>
    </row>
    <row r="29" customFormat="false" ht="15" hidden="false" customHeight="false" outlineLevel="0" collapsed="false">
      <c r="A29" s="0" t="s">
        <v>868</v>
      </c>
    </row>
    <row r="31" customFormat="false" ht="15" hidden="false" customHeight="false" outlineLevel="0" collapsed="false">
      <c r="A31" s="0" t="s">
        <v>869</v>
      </c>
    </row>
    <row r="32" customFormat="false" ht="15" hidden="false" customHeight="false" outlineLevel="0" collapsed="false">
      <c r="A32" s="0" t="s">
        <v>870</v>
      </c>
    </row>
    <row r="33" customFormat="false" ht="15" hidden="false" customHeight="false" outlineLevel="0" collapsed="false">
      <c r="A33" s="0" t="s">
        <v>871</v>
      </c>
    </row>
    <row r="34" customFormat="false" ht="15" hidden="false" customHeight="false" outlineLevel="0" collapsed="false">
      <c r="A34" s="0" t="s">
        <v>872</v>
      </c>
    </row>
    <row r="35" customFormat="false" ht="15" hidden="false" customHeight="false" outlineLevel="0" collapsed="false">
      <c r="A35" s="0" t="s">
        <v>873</v>
      </c>
    </row>
    <row r="36" customFormat="false" ht="15" hidden="false" customHeight="false" outlineLevel="0" collapsed="false">
      <c r="A36" s="0" t="s">
        <v>874</v>
      </c>
    </row>
    <row r="37" customFormat="false" ht="15" hidden="false" customHeight="false" outlineLevel="0" collapsed="false">
      <c r="A37" s="0" t="s">
        <v>875</v>
      </c>
    </row>
    <row r="39" customFormat="false" ht="15" hidden="false" customHeight="false" outlineLevel="0" collapsed="false">
      <c r="A39" s="0" t="s">
        <v>876</v>
      </c>
    </row>
    <row r="40" customFormat="false" ht="15" hidden="false" customHeight="false" outlineLevel="0" collapsed="false">
      <c r="A40" s="0" t="s">
        <v>877</v>
      </c>
    </row>
    <row r="41" customFormat="false" ht="15" hidden="false" customHeight="false" outlineLevel="0" collapsed="false">
      <c r="A41" s="0" t="s">
        <v>878</v>
      </c>
    </row>
    <row r="42" customFormat="false" ht="15" hidden="false" customHeight="false" outlineLevel="0" collapsed="false">
      <c r="A42" s="0" t="s">
        <v>879</v>
      </c>
    </row>
    <row r="43" customFormat="false" ht="15" hidden="false" customHeight="false" outlineLevel="0" collapsed="false">
      <c r="A43" s="0" t="s">
        <v>880</v>
      </c>
    </row>
    <row r="44" customFormat="false" ht="15" hidden="false" customHeight="false" outlineLevel="0" collapsed="false">
      <c r="A44" s="0" t="s">
        <v>881</v>
      </c>
    </row>
    <row r="45" customFormat="false" ht="15" hidden="false" customHeight="false" outlineLevel="0" collapsed="false">
      <c r="A45" s="0" t="s">
        <v>882</v>
      </c>
    </row>
    <row r="46" customFormat="false" ht="15" hidden="false" customHeight="false" outlineLevel="0" collapsed="false">
      <c r="A46" s="0" t="s">
        <v>883</v>
      </c>
    </row>
    <row r="48" customFormat="false" ht="15" hidden="false" customHeight="false" outlineLevel="0" collapsed="false">
      <c r="A48" s="0" t="s">
        <v>884</v>
      </c>
    </row>
    <row r="49" customFormat="false" ht="15" hidden="false" customHeight="false" outlineLevel="0" collapsed="false">
      <c r="A49" s="0" t="s">
        <v>885</v>
      </c>
    </row>
    <row r="50" customFormat="false" ht="15" hidden="false" customHeight="false" outlineLevel="0" collapsed="false">
      <c r="A50" s="0" t="s">
        <v>886</v>
      </c>
    </row>
    <row r="52" customFormat="false" ht="15" hidden="false" customHeight="false" outlineLevel="0" collapsed="false">
      <c r="A52" s="0" t="s">
        <v>887</v>
      </c>
    </row>
    <row r="53" customFormat="false" ht="15" hidden="false" customHeight="false" outlineLevel="0" collapsed="false">
      <c r="A53" s="0" t="s">
        <v>888</v>
      </c>
    </row>
    <row r="54" customFormat="false" ht="15" hidden="false" customHeight="false" outlineLevel="0" collapsed="false">
      <c r="A54" s="0" t="s">
        <v>889</v>
      </c>
    </row>
    <row r="55" customFormat="false" ht="15" hidden="false" customHeight="false" outlineLevel="0" collapsed="false">
      <c r="A55" s="0" t="s">
        <v>890</v>
      </c>
    </row>
    <row r="56" customFormat="false" ht="15" hidden="false" customHeight="false" outlineLevel="0" collapsed="false">
      <c r="A56" s="0" t="s">
        <v>891</v>
      </c>
    </row>
    <row r="58" customFormat="false" ht="15" hidden="false" customHeight="false" outlineLevel="0" collapsed="false">
      <c r="A58" s="0" t="s">
        <v>892</v>
      </c>
    </row>
    <row r="59" customFormat="false" ht="15" hidden="false" customHeight="false" outlineLevel="0" collapsed="false">
      <c r="A59" s="0" t="s">
        <v>893</v>
      </c>
    </row>
    <row r="61" customFormat="false" ht="15" hidden="false" customHeight="false" outlineLevel="0" collapsed="false">
      <c r="A61" s="0" t="s">
        <v>894</v>
      </c>
    </row>
    <row r="62" customFormat="false" ht="15" hidden="false" customHeight="false" outlineLevel="0" collapsed="false">
      <c r="A62" s="0" t="s">
        <v>895</v>
      </c>
    </row>
    <row r="63" customFormat="false" ht="15" hidden="false" customHeight="false" outlineLevel="0" collapsed="false">
      <c r="A63" s="0" t="s">
        <v>896</v>
      </c>
    </row>
    <row r="64" customFormat="false" ht="15" hidden="false" customHeight="false" outlineLevel="0" collapsed="false">
      <c r="A64" s="0" t="s">
        <v>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2026-08-24T13:16:17Z</dcterms:created>
  <dc:creator>openpyxl</dc:creator>
  <dc:description/>
  <dc:language>en-US</dc:language>
  <cp:lastModifiedBy/>
  <dcterms:modified xsi:type="dcterms:W3CDTF">2026-08-24T13:16:17Z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