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<sst xmlns="http://schemas.openxmlformats.org/spreadsheetml/2006/main" count="1850" uniqueCount="543">
  <si>
    <t xml:space="preserve">#</t>
  </si>
  <si>
    <t xml:space="preserve">Clinic Name</t>
  </si>
  <si>
    <t xml:space="preserve">Neighborhood</t>
  </si>
  <si>
    <t xml:space="preserve">Address</t>
  </si>
  <si>
    <t xml:space="preserve">Website</t>
  </si>
  <si>
    <t xml:space="preserve">Email</t>
  </si>
  <si>
    <t xml:space="preserve">Pricing on File?</t>
  </si>
  <si>
    <t xml:space="preserve"># Procedures Logged</t>
  </si>
  <si>
    <t xml:space="preserve">Notes</t>
  </si>
  <si>
    <t xml:space="preserve">Beverly Hills Wellness Center &amp; Med Spa</t>
  </si>
  <si>
    <t xml:space="preserve">West Palm Beach</t>
  </si>
  <si>
    <t xml:space="preserve">6905 S Dixie Hwy, West Palm Beach, FL 33405</t>
  </si>
  <si>
    <t xml:space="preserve">beverlyhillsmedispa.com</t>
  </si>
  <si>
    <t xml:space="preserve">info@beverlyhillsmedispa.com (unconfirmed - contact form)</t>
  </si>
  <si>
    <t xml:space="preserve">Partial</t>
  </si>
  <si>
    <t xml:space="preserve">Med-Glow Medical Health Spa</t>
  </si>
  <si>
    <t xml:space="preserve">2630 Forest Hill Blvd, West Palm Beach, FL 33406</t>
  </si>
  <si>
    <t xml:space="preserve">fresha.com listing (no independent site found)</t>
  </si>
  <si>
    <t xml:space="preserve">no email found (Fresha booking only)</t>
  </si>
  <si>
    <t xml:space="preserve">No</t>
  </si>
  <si>
    <t xml:space="preserve">Elevatione Med Spa &amp; Beauty</t>
  </si>
  <si>
    <t xml:space="preserve">1515 N Flagler Dr Ste 100, West Palm Beach, FL 33401</t>
  </si>
  <si>
    <t xml:space="preserve">elevatione-medspa.com</t>
  </si>
  <si>
    <t xml:space="preserve">no email found (phone/booking only)</t>
  </si>
  <si>
    <t xml:space="preserve">Body+Beauty Lab (Dr. Hamadiya)</t>
  </si>
  <si>
    <t xml:space="preserve">645 S Olive Ave, West Palm Beach, FL 33401</t>
  </si>
  <si>
    <t xml:space="preserve">drhamadiya.com / bodyandbeautylab.com</t>
  </si>
  <si>
    <t xml:space="preserve">no email found (phone only)</t>
  </si>
  <si>
    <t xml:space="preserve">Flawless Palm Beach</t>
  </si>
  <si>
    <t xml:space="preserve">1962 S Military Trl Ste C, West Palm Beach, FL 33415</t>
  </si>
  <si>
    <t xml:space="preserve">flawlesspalmbeach.com</t>
  </si>
  <si>
    <t xml:space="preserve">care@flawlesspalmbeach.com</t>
  </si>
  <si>
    <t xml:space="preserve">MD Beauty Labs</t>
  </si>
  <si>
    <t xml:space="preserve">320 S Quadrille Blvd, West Palm Beach, FL 33401</t>
  </si>
  <si>
    <t xml:space="preserve">mdbeautylabs.com</t>
  </si>
  <si>
    <t xml:space="preserve">no email found (phone/consult only)</t>
  </si>
  <si>
    <t xml:space="preserve">VIO Med Spa | Palm Beach Gardens</t>
  </si>
  <si>
    <t xml:space="preserve">Palm Beach Gardens</t>
  </si>
  <si>
    <t xml:space="preserve">5270 Donald Ross Rd Ste 100, Palm Beach Gardens, FL 33418</t>
  </si>
  <si>
    <t xml:space="preserve">viomedspa.com/palm-beach-gardens</t>
  </si>
  <si>
    <t xml:space="preserve">info@viomedspa.com (chain contact)</t>
  </si>
  <si>
    <t xml:space="preserve">Earth Scientific Med Spa</t>
  </si>
  <si>
    <t xml:space="preserve">North Palm Beach</t>
  </si>
  <si>
    <t xml:space="preserve">Oaktree Plaza, 11575 US-1 Ste 209a &amp; 209b, North Palm Beach, FL 33408</t>
  </si>
  <si>
    <t xml:space="preserve">earthscientificspa.com</t>
  </si>
  <si>
    <t xml:space="preserve">The Garden Medical Spa, Wellness &amp; Massage</t>
  </si>
  <si>
    <t xml:space="preserve">1201 US-1 #9, North Palm Beach, FL 33408</t>
  </si>
  <si>
    <t xml:space="preserve">thegardenmedspa.com</t>
  </si>
  <si>
    <t xml:space="preserve">The Aesthetics Lounge and Spa Palm Beach Gardens</t>
  </si>
  <si>
    <t xml:space="preserve">11940 US-1 Ste 125, Palm Beach Gardens, FL 33408</t>
  </si>
  <si>
    <t xml:space="preserve">palmbeachgardens.theaestheticsloungeandspa.com</t>
  </si>
  <si>
    <t xml:space="preserve">pinksocial@tal-spa.com</t>
  </si>
  <si>
    <t xml:space="preserve">New Radiance Cosmetic Centers - Palm Beach Gardens</t>
  </si>
  <si>
    <t xml:space="preserve">3901 Design Center Dr Ste 100, Palm Beach Gardens, FL 33410</t>
  </si>
  <si>
    <t xml:space="preserve">newradiancenow.com/locations/palm-beach-gardens</t>
  </si>
  <si>
    <t xml:space="preserve">no email found (phone/portal only)</t>
  </si>
  <si>
    <t xml:space="preserve">La Vie Spa Gardens</t>
  </si>
  <si>
    <t xml:space="preserve">8645 N Military Trl #514, Palm Beach Gardens, FL 33410</t>
  </si>
  <si>
    <t xml:space="preserve">laviespagardens.com</t>
  </si>
  <si>
    <t xml:space="preserve">laviespagardens@gmail.com</t>
  </si>
  <si>
    <t xml:space="preserve">4Ever Young Med Spa &amp; Wellness Center - Jupiter</t>
  </si>
  <si>
    <t xml:space="preserve">Jupiter</t>
  </si>
  <si>
    <t xml:space="preserve">1232 W Indiantown Rd Ste 104, Jupiter, FL 33458</t>
  </si>
  <si>
    <t xml:space="preserve">4everyoungantiaging.com/jupiter</t>
  </si>
  <si>
    <t xml:space="preserve">Begin Anew - Aesthetics &amp; Wellness</t>
  </si>
  <si>
    <t xml:space="preserve">337 E Indiantown Rd Suite E-13, Jupiter, FL 33477</t>
  </si>
  <si>
    <t xml:space="preserve">beginanewmed.com</t>
  </si>
  <si>
    <t xml:space="preserve">info@beginanewmed.com</t>
  </si>
  <si>
    <t xml:space="preserve">Refresh - Aesthetics &amp; Wellness</t>
  </si>
  <si>
    <t xml:space="preserve">775 W Indiantown Rd STE 5, Jupiter, FL 33458</t>
  </si>
  <si>
    <t xml:space="preserve">site not independently confirmed (multiple similarly-named listings)</t>
  </si>
  <si>
    <t xml:space="preserve">AlluraMD Aesthetics + Wellness | Jupiter</t>
  </si>
  <si>
    <t xml:space="preserve">1209 Main St Ste 104, Jupiter, FL 33458</t>
  </si>
  <si>
    <t xml:space="preserve">alluraaesthetics.com/jupiter</t>
  </si>
  <si>
    <t xml:space="preserve">BeautyFi Medical Spa - Jupiter</t>
  </si>
  <si>
    <t xml:space="preserve">1132 W Indiantown Rd Ste 203, Jupiter, FL 33458</t>
  </si>
  <si>
    <t xml:space="preserve">beautyfi.net</t>
  </si>
  <si>
    <t xml:space="preserve">beautyfi35@gmail.com</t>
  </si>
  <si>
    <t xml:space="preserve">Medicus Aesthetics</t>
  </si>
  <si>
    <t xml:space="preserve">3893 Military Trail #2, Jupiter, FL 33458</t>
  </si>
  <si>
    <t xml:space="preserve">medicusaesthetics.com</t>
  </si>
  <si>
    <t xml:space="preserve">Prime Body Wellness</t>
  </si>
  <si>
    <t xml:space="preserve">772 US-1 Ste 101, North Palm Beach, FL 33408</t>
  </si>
  <si>
    <t xml:space="preserve">primebodywellness.com</t>
  </si>
  <si>
    <t xml:space="preserve">Aurelia Med Palm Beach</t>
  </si>
  <si>
    <t xml:space="preserve">3307 Northlake Blvd #103, Palm Beach Gardens, FL 33403</t>
  </si>
  <si>
    <t xml:space="preserve">aureliamed.com</t>
  </si>
  <si>
    <t xml:space="preserve">SmizePro Med Spa</t>
  </si>
  <si>
    <t xml:space="preserve">Wellington</t>
  </si>
  <si>
    <t xml:space="preserve">9144 Forest Hill Blvd, Wellington, FL 33411</t>
  </si>
  <si>
    <t xml:space="preserve">smizespa.com</t>
  </si>
  <si>
    <t xml:space="preserve">New Radiance Cosmetic Centers - Wellington</t>
  </si>
  <si>
    <t xml:space="preserve">The Plaza at Wellington Green, 2465 S State Rd 7 Ste 500, Wellington, FL 33414</t>
  </si>
  <si>
    <t xml:space="preserve">newradiancenow.com/locations/wellington</t>
  </si>
  <si>
    <t xml:space="preserve">AlluraMD Aesthetics + Wellness | Wellington</t>
  </si>
  <si>
    <t xml:space="preserve">2655 S State Rd 7 E830, Wellington, FL 33414</t>
  </si>
  <si>
    <t xml:space="preserve">alluraaesthetics.com/wellington</t>
  </si>
  <si>
    <t xml:space="preserve">Yes</t>
  </si>
  <si>
    <t xml:space="preserve">Wellington Rejuvenation Center</t>
  </si>
  <si>
    <t xml:space="preserve">11917 Southern Blvd Ste 200, Royal Palm Beach, FL 33411</t>
  </si>
  <si>
    <t xml:space="preserve">wellingtonrejuvenationcenter.com</t>
  </si>
  <si>
    <t xml:space="preserve">Biolift Med Spa Wellington</t>
  </si>
  <si>
    <t xml:space="preserve">1400 Corporate Center Way Ste 120, Wellington, FL 33414</t>
  </si>
  <si>
    <t xml:space="preserve">bioliftmedspa.com</t>
  </si>
  <si>
    <t xml:space="preserve">ProMD Health Wellington</t>
  </si>
  <si>
    <t xml:space="preserve">12008 S Shore Blvd Suite 101, Wellington, FL 33414</t>
  </si>
  <si>
    <t xml:space="preserve">promdhealth.com/location/wellington-office</t>
  </si>
  <si>
    <t xml:space="preserve">Rejuvenation Med Spa</t>
  </si>
  <si>
    <t xml:space="preserve">Boynton Beach</t>
  </si>
  <si>
    <t xml:space="preserve">Image Studio, 701 N Congress Ave #3, Boynton Beach, FL 33426</t>
  </si>
  <si>
    <t xml:space="preserve">rejuvenationfl.com</t>
  </si>
  <si>
    <t xml:space="preserve">info@rejuvenationfl.com</t>
  </si>
  <si>
    <t xml:space="preserve">AlluraMD Aesthetics + Wellness | Boynton Beach</t>
  </si>
  <si>
    <t xml:space="preserve">6695 Boynton Beach Blvd, Boynton Beach, FL 33437</t>
  </si>
  <si>
    <t xml:space="preserve">alluraaesthetics.com/boynton-beach</t>
  </si>
  <si>
    <t xml:space="preserve">BioLift Med Spa</t>
  </si>
  <si>
    <t xml:space="preserve">1880 N Congress Ave Ste 330, Boynton Beach, FL 33426</t>
  </si>
  <si>
    <t xml:space="preserve">remedie</t>
  </si>
  <si>
    <t xml:space="preserve">2300 S Congress Ave #104, Boynton Beach, FL 33426</t>
  </si>
  <si>
    <t xml:space="preserve">remediemed.com</t>
  </si>
  <si>
    <t xml:space="preserve">Life Extender Clinic &amp; Medspa</t>
  </si>
  <si>
    <t xml:space="preserve">701 N Congress Ave Ste 11A, Boynton Beach, FL 33426</t>
  </si>
  <si>
    <t xml:space="preserve">lifeextenderclinic.com</t>
  </si>
  <si>
    <t xml:space="preserve">no email found (phone/text only)</t>
  </si>
  <si>
    <t xml:space="preserve">Auravie Med Spa</t>
  </si>
  <si>
    <t xml:space="preserve">2276 N Congress Ave, Boynton Beach, FL 33426</t>
  </si>
  <si>
    <t xml:space="preserve">auraviemedspa.com</t>
  </si>
  <si>
    <t xml:space="preserve">VIO Med Spa | Delray Beach</t>
  </si>
  <si>
    <t xml:space="preserve">Delray Beach</t>
  </si>
  <si>
    <t xml:space="preserve">620 Linton Blvd Ste. 210, Delray Beach, FL 33444</t>
  </si>
  <si>
    <t xml:space="preserve">viomedspa.com/locations/delray</t>
  </si>
  <si>
    <t xml:space="preserve">STAR MED SPA</t>
  </si>
  <si>
    <t xml:space="preserve">411 E Atlantic Ave Ste 200E, Delray Beach, FL 33483</t>
  </si>
  <si>
    <t xml:space="preserve">no independent site confirmed</t>
  </si>
  <si>
    <t xml:space="preserve">Alluring Image Medspa and Wellness</t>
  </si>
  <si>
    <t xml:space="preserve">90 SE 4th Ave #2, Delray Beach, FL 33483</t>
  </si>
  <si>
    <t xml:space="preserve">alluringimagemedspa.com</t>
  </si>
  <si>
    <t xml:space="preserve">Delray Med Spa</t>
  </si>
  <si>
    <t xml:space="preserve">301 W Atlantic Ave Ste R5, Delray Beach, FL 33444</t>
  </si>
  <si>
    <t xml:space="preserve">delraymedspas.com</t>
  </si>
  <si>
    <t xml:space="preserve">Delray Laser and Medical Spa</t>
  </si>
  <si>
    <t xml:space="preserve">300 George Bush Blvd, Delray Beach, FL 33444</t>
  </si>
  <si>
    <t xml:space="preserve">delraylaserandmedicalspa.com</t>
  </si>
  <si>
    <t xml:space="preserve">Facial Mania Med Spa Delray Beach</t>
  </si>
  <si>
    <t xml:space="preserve">16950 Jog Rd #111, Delray Beach, FL 33446</t>
  </si>
  <si>
    <t xml:space="preserve">facialmaniamedspa.com</t>
  </si>
  <si>
    <t xml:space="preserve">Cosmetica</t>
  </si>
  <si>
    <t xml:space="preserve">Boca Raton</t>
  </si>
  <si>
    <t xml:space="preserve">4400 N Federal Hwy Suite 150, Boca Raton, FL 33431</t>
  </si>
  <si>
    <t xml:space="preserve">cosmeticamedspa.com</t>
  </si>
  <si>
    <t xml:space="preserve">contact@cosmeticamedspa.com</t>
  </si>
  <si>
    <t xml:space="preserve">Dolce Medical Spa</t>
  </si>
  <si>
    <t xml:space="preserve">4720 NW 2nd Ave Suite D-105, Boca Raton, FL 33431</t>
  </si>
  <si>
    <t xml:space="preserve">dolcemedicalspas.com</t>
  </si>
  <si>
    <t xml:space="preserve">Peace Love Med Aesthetic Rejuvenation</t>
  </si>
  <si>
    <t xml:space="preserve">151 SE Mizner Blvd 16A, Boca Raton, FL 33432</t>
  </si>
  <si>
    <t xml:space="preserve">peacelovemed.com</t>
  </si>
  <si>
    <t xml:space="preserve">Boca Med Spa</t>
  </si>
  <si>
    <t xml:space="preserve">600 S Dixie Hwy Ste 105, Boca Raton, FL 33432</t>
  </si>
  <si>
    <t xml:space="preserve">no independent site confirmed (Yelp/Facebook listing)</t>
  </si>
  <si>
    <t xml:space="preserve">Dermagen spa</t>
  </si>
  <si>
    <t xml:space="preserve">222 Yamato Rd #107, Boca Raton, FL 33431</t>
  </si>
  <si>
    <t xml:space="preserve">dermagenspa.com</t>
  </si>
  <si>
    <t xml:space="preserve">Jiva Med Spa Boca Raton</t>
  </si>
  <si>
    <t xml:space="preserve">1650 S Dixie Hwy Ste 300, Boca Raton, FL 33432</t>
  </si>
  <si>
    <t xml:space="preserve">jivamedspa.com/location-services-boca-raton</t>
  </si>
  <si>
    <t xml:space="preserve">Body Care Med Spa</t>
  </si>
  <si>
    <t xml:space="preserve">Lake Worth</t>
  </si>
  <si>
    <t xml:space="preserve">2311 10th Ave N, Lake Worth, FL 33461</t>
  </si>
  <si>
    <t xml:space="preserve">vitestetica.com (per search; separate from Fresha listing)</t>
  </si>
  <si>
    <t xml:space="preserve">Body Care Med Spa &amp; Timeless Beauty by Norma</t>
  </si>
  <si>
    <t xml:space="preserve">7350 Lake Worth Rd, Lake Worth, FL 33467</t>
  </si>
  <si>
    <t xml:space="preserve">timelessbeautybynorma.com (note: site indicates a later relocation to 1035 S State Rd 7, Wellington)</t>
  </si>
  <si>
    <t xml:space="preserve">VBoutique Aesthetics &amp; Wellness</t>
  </si>
  <si>
    <t xml:space="preserve">Lantana/Lake Worth</t>
  </si>
  <si>
    <t xml:space="preserve">3618 Lantana Rd #101, Lake Worth, FL 33462</t>
  </si>
  <si>
    <t xml:space="preserve">vboutiqueflorida.com</t>
  </si>
  <si>
    <t xml:space="preserve">Laser Skin &amp; Wellness - Lake Worth</t>
  </si>
  <si>
    <t xml:space="preserve">4671 S Congress Ave Suite 100-A, Lake Worth, FL 33461</t>
  </si>
  <si>
    <t xml:space="preserve">laserskinsolutions.com/location/lake-worth</t>
  </si>
  <si>
    <t xml:space="preserve">Bella MedSpa &amp; Wellness Clinique</t>
  </si>
  <si>
    <t xml:space="preserve">Royal Palm Beach</t>
  </si>
  <si>
    <t xml:space="preserve">106 Ponce De Leon St Ste B, Royal Palm Beach, FL 33411</t>
  </si>
  <si>
    <t xml:space="preserve">bellamedspawellnessclinique.com</t>
  </si>
  <si>
    <t xml:space="preserve">Flawless Med Spa in Royal Palm Beach</t>
  </si>
  <si>
    <t xml:space="preserve">1112 Royal Palm Beach Blvd Ste C, Royal Palm Beach, FL 33411</t>
  </si>
  <si>
    <t xml:space="preserve">flawlesspalmbeach.com (same brand as Flawless Palm Beach - separate location)</t>
  </si>
  <si>
    <t xml:space="preserve">GaliDerm Aesthetics</t>
  </si>
  <si>
    <t xml:space="preserve">9100 Belvedere Rd STE 105, Royal Palm Beach, FL 33411</t>
  </si>
  <si>
    <t xml:space="preserve">galiderm.com</t>
  </si>
  <si>
    <t xml:space="preserve">JuvAllure MedSpa &amp; Wellness</t>
  </si>
  <si>
    <t xml:space="preserve">1241 N State Rd 7 Ste 118, Royal Palm Beach, FL 33411</t>
  </si>
  <si>
    <t xml:space="preserve">juvallure.com</t>
  </si>
  <si>
    <t xml:space="preserve">Soigne Aesthetics Wellness &amp; Medical Spa</t>
  </si>
  <si>
    <t xml:space="preserve">1017 N State Rd 7 Ste 104, Royal Palm Beach, FL 33411</t>
  </si>
  <si>
    <t xml:space="preserve">soigneaestheticswellness.com</t>
  </si>
  <si>
    <t xml:space="preserve">Flawless Med Spa in Lantana</t>
  </si>
  <si>
    <t xml:space="preserve">Lantana</t>
  </si>
  <si>
    <t xml:space="preserve">8776 Lantana Rd, Lake Worth Corridor, FL 33467</t>
  </si>
  <si>
    <t xml:space="preserve">flawlesspalmbeach.com (same brand, separate location)</t>
  </si>
  <si>
    <t xml:space="preserve">The Chrysalis Excursion LLC</t>
  </si>
  <si>
    <t xml:space="preserve">777 W Lantana Rd Suite C, Lantana, FL 33462</t>
  </si>
  <si>
    <t xml:space="preserve">thechrysalisexcursionllc.com</t>
  </si>
  <si>
    <t xml:space="preserve">Newest Beginnings Wellness Center</t>
  </si>
  <si>
    <t xml:space="preserve">Greenacres</t>
  </si>
  <si>
    <t xml:space="preserve">6801 Lake Worth Rd Ste 228, Greenacres, FL 33467</t>
  </si>
  <si>
    <t xml:space="preserve">newestbeginnings.com/medical-spa-greenacres-fl</t>
  </si>
  <si>
    <t xml:space="preserve">C&amp;C Wellness Med Spa</t>
  </si>
  <si>
    <t xml:space="preserve">3937 Jog Rd, Greenacres, FL 33467</t>
  </si>
  <si>
    <t xml:space="preserve">cncwellnessmedspa.com</t>
  </si>
  <si>
    <t xml:space="preserve">Sublime Essence Spa</t>
  </si>
  <si>
    <t xml:space="preserve">3981 Jog Rd, Greenacres, FL 33467</t>
  </si>
  <si>
    <t xml:space="preserve">sublimeessencespa.com</t>
  </si>
  <si>
    <t xml:space="preserve">MANIM Health &amp; BioWellness</t>
  </si>
  <si>
    <t xml:space="preserve">6250 Lantana Rd Suite 25, Greenacres, FL 33463</t>
  </si>
  <si>
    <t xml:space="preserve">mhealthbiowellness.com</t>
  </si>
  <si>
    <t xml:space="preserve">Procedure/Treatment</t>
  </si>
  <si>
    <t xml:space="preserve">Price</t>
  </si>
  <si>
    <t xml:space="preserve">Duration</t>
  </si>
  <si>
    <t xml:space="preserve">Category</t>
  </si>
  <si>
    <t xml:space="preserve">Glycolic Peel</t>
  </si>
  <si>
    <t xml:space="preserve">$85</t>
  </si>
  <si>
    <t xml:space="preserve">Chemical Peels</t>
  </si>
  <si>
    <t xml:space="preserve">Clarifying Peel</t>
  </si>
  <si>
    <t xml:space="preserve">Revepeel</t>
  </si>
  <si>
    <t xml:space="preserve">$250</t>
  </si>
  <si>
    <t xml:space="preserve">Intimate Peel</t>
  </si>
  <si>
    <t xml:space="preserve">$150</t>
  </si>
  <si>
    <t xml:space="preserve">Signature Deep Cleanse Organic Oxygen Facial</t>
  </si>
  <si>
    <t xml:space="preserve">$59</t>
  </si>
  <si>
    <t xml:space="preserve">60 min</t>
  </si>
  <si>
    <t xml:space="preserve">Red Carpet Glow Facial</t>
  </si>
  <si>
    <t xml:space="preserve">$99</t>
  </si>
  <si>
    <t xml:space="preserve">$125</t>
  </si>
  <si>
    <t xml:space="preserve">90 min</t>
  </si>
  <si>
    <t xml:space="preserve">24k Gold &amp; Vitamin C Facial</t>
  </si>
  <si>
    <t xml:space="preserve">Ultimate Anti-Aging Facial</t>
  </si>
  <si>
    <t xml:space="preserve">$199</t>
  </si>
  <si>
    <t xml:space="preserve">Acne Facial with Chemical Peel</t>
  </si>
  <si>
    <t xml:space="preserve">$89</t>
  </si>
  <si>
    <t xml:space="preserve">Botox</t>
  </si>
  <si>
    <t xml:space="preserve">price on request</t>
  </si>
  <si>
    <t xml:space="preserve">Botox / Neuromodulators</t>
  </si>
  <si>
    <t xml:space="preserve">Dysport</t>
  </si>
  <si>
    <t xml:space="preserve">Xeomin</t>
  </si>
  <si>
    <t xml:space="preserve">Newtox (Jeuveau)</t>
  </si>
  <si>
    <t xml:space="preserve">Fillers</t>
  </si>
  <si>
    <t xml:space="preserve">Dermal / Lip Fillers</t>
  </si>
  <si>
    <t xml:space="preserve">IV Therapy</t>
  </si>
  <si>
    <t xml:space="preserve">Vampire Facial (PRP)</t>
  </si>
  <si>
    <t xml:space="preserve">PRP / PRF</t>
  </si>
  <si>
    <t xml:space="preserve">PRF</t>
  </si>
  <si>
    <t xml:space="preserve">Aqua Gold</t>
  </si>
  <si>
    <t xml:space="preserve">Cosmo-Pen Microneedling</t>
  </si>
  <si>
    <t xml:space="preserve">Microneedling</t>
  </si>
  <si>
    <t xml:space="preserve">Venus Legacy RF Skin Tightening</t>
  </si>
  <si>
    <t xml:space="preserve">Skin Tightening (Morpheus8/RF)</t>
  </si>
  <si>
    <t xml:space="preserve">Med spa services (general)</t>
  </si>
  <si>
    <t xml:space="preserve">not published</t>
  </si>
  <si>
    <t xml:space="preserve">Facials</t>
  </si>
  <si>
    <t xml:space="preserve">Body Contouring</t>
  </si>
  <si>
    <t xml:space="preserve">Body Contouring / CoolSculpting</t>
  </si>
  <si>
    <t xml:space="preserve">LED Non-Surgical Facelift Facial</t>
  </si>
  <si>
    <t xml:space="preserve">$59 Special Facial</t>
  </si>
  <si>
    <t xml:space="preserve">$59 (promo)</t>
  </si>
  <si>
    <t xml:space="preserve">Advanced Facials</t>
  </si>
  <si>
    <t xml:space="preserve">Laser Treatments</t>
  </si>
  <si>
    <t xml:space="preserve">Premium Injectables</t>
  </si>
  <si>
    <t xml:space="preserve">Regenerative/Filler Correction</t>
  </si>
  <si>
    <t xml:space="preserve">Chemical Peel</t>
  </si>
  <si>
    <t xml:space="preserve">CO2 Laser</t>
  </si>
  <si>
    <t xml:space="preserve">IPL / Photofacial</t>
  </si>
  <si>
    <t xml:space="preserve">PRP Hair Restoration</t>
  </si>
  <si>
    <t xml:space="preserve">Skin Rejuvenation Laser</t>
  </si>
  <si>
    <t xml:space="preserve">Hormone Therapy</t>
  </si>
  <si>
    <t xml:space="preserve">Medical Weight Loss</t>
  </si>
  <si>
    <t xml:space="preserve">Medical Weight Loss / GLP-1</t>
  </si>
  <si>
    <t xml:space="preserve">not published (Access membership discounts referenced)</t>
  </si>
  <si>
    <t xml:space="preserve">CoolSculpting</t>
  </si>
  <si>
    <t xml:space="preserve">Laser/Light Therapy</t>
  </si>
  <si>
    <t xml:space="preserve">RF Microneedling</t>
  </si>
  <si>
    <t xml:space="preserve">PRP</t>
  </si>
  <si>
    <t xml:space="preserve">JetPeel</t>
  </si>
  <si>
    <t xml:space="preserve">Plasma Pen</t>
  </si>
  <si>
    <t xml:space="preserve">Cryo Body Sculpting</t>
  </si>
  <si>
    <t xml:space="preserve">EMS Body Contouring</t>
  </si>
  <si>
    <t xml:space="preserve">Dermal Fillers</t>
  </si>
  <si>
    <t xml:space="preserve">HydraFacial</t>
  </si>
  <si>
    <t xml:space="preserve">SmoothGlo Laser Skin Treatment (face)</t>
  </si>
  <si>
    <t xml:space="preserve">starting at $1,250</t>
  </si>
  <si>
    <t xml:space="preserve">Injectables</t>
  </si>
  <si>
    <t xml:space="preserve">Laser Hair Removal</t>
  </si>
  <si>
    <t xml:space="preserve">Peptide Therapy Weight Loss</t>
  </si>
  <si>
    <t xml:space="preserve">B-12 Skinny Shots</t>
  </si>
  <si>
    <t xml:space="preserve">Hair Regenerative Growth Treatment</t>
  </si>
  <si>
    <t xml:space="preserve">Botox / Dysport / Xeomin / Daxxify</t>
  </si>
  <si>
    <t xml:space="preserve">not published (transparent pricing via online portal, not extracted)</t>
  </si>
  <si>
    <t xml:space="preserve">CoolSculpting Elite</t>
  </si>
  <si>
    <t xml:space="preserve">Forever Young BBL</t>
  </si>
  <si>
    <t xml:space="preserve">Halo Laser</t>
  </si>
  <si>
    <t xml:space="preserve">Permanent Laser Hair Removal</t>
  </si>
  <si>
    <t xml:space="preserve">Thermage Skin Tightening</t>
  </si>
  <si>
    <t xml:space="preserve">Microdermabrasion</t>
  </si>
  <si>
    <t xml:space="preserve">Custom Facials</t>
  </si>
  <si>
    <t xml:space="preserve">Electrolysis</t>
  </si>
  <si>
    <t xml:space="preserve">Dermaplaning</t>
  </si>
  <si>
    <t xml:space="preserve">Bioidentical Hormone Therapy</t>
  </si>
  <si>
    <t xml:space="preserve">Menopause Treatment</t>
  </si>
  <si>
    <t xml:space="preserve">Hormone Pellets</t>
  </si>
  <si>
    <t xml:space="preserve">IV Nutrition Therapy</t>
  </si>
  <si>
    <t xml:space="preserve">not published (Groupon promo 65-75% off seen, not base price)</t>
  </si>
  <si>
    <t xml:space="preserve">Lip Enhancement</t>
  </si>
  <si>
    <t xml:space="preserve">PRP Facial</t>
  </si>
  <si>
    <t xml:space="preserve">Laser Hair &amp; Tattoo Removal</t>
  </si>
  <si>
    <t xml:space="preserve">Botox &amp; Fillers</t>
  </si>
  <si>
    <t xml:space="preserve">Botox / Neuromodulators; Dermal / Lip Fillers</t>
  </si>
  <si>
    <t xml:space="preserve">IPL Photofacials</t>
  </si>
  <si>
    <t xml:space="preserve">HRT</t>
  </si>
  <si>
    <t xml:space="preserve">CO2 / Fraxel Laser</t>
  </si>
  <si>
    <t xml:space="preserve">Morpheus8</t>
  </si>
  <si>
    <t xml:space="preserve">VelaShape</t>
  </si>
  <si>
    <t xml:space="preserve">Peptide Therapy</t>
  </si>
  <si>
    <t xml:space="preserve">CO2 Laser Resurfacing</t>
  </si>
  <si>
    <t xml:space="preserve">Hormone Optimization</t>
  </si>
  <si>
    <t xml:space="preserve">Laser Skin Rejuvenation</t>
  </si>
  <si>
    <t xml:space="preserve">Exosome Injections</t>
  </si>
  <si>
    <t xml:space="preserve">$600</t>
  </si>
  <si>
    <t xml:space="preserve">Body Sculpting</t>
  </si>
  <si>
    <t xml:space="preserve">Skin Tightening</t>
  </si>
  <si>
    <t xml:space="preserve">Sclerotherapy</t>
  </si>
  <si>
    <t xml:space="preserve">Laser Vein Therapy</t>
  </si>
  <si>
    <t xml:space="preserve">PRP Skin/Hair Restoration</t>
  </si>
  <si>
    <t xml:space="preserve">IV Hydration</t>
  </si>
  <si>
    <t xml:space="preserve">Normatec Compression Therapy</t>
  </si>
  <si>
    <t xml:space="preserve">Weight Loss Program</t>
  </si>
  <si>
    <t xml:space="preserve">from $99/mo</t>
  </si>
  <si>
    <t xml:space="preserve">Prime Club VIP Membership</t>
  </si>
  <si>
    <t xml:space="preserve">$149/mo</t>
  </si>
  <si>
    <t xml:space="preserve">Sculptra</t>
  </si>
  <si>
    <t xml:space="preserve">Sculptra / Biostimulators</t>
  </si>
  <si>
    <t xml:space="preserve">Ultherapy</t>
  </si>
  <si>
    <t xml:space="preserve">Facial Aesthetics</t>
  </si>
  <si>
    <t xml:space="preserve">not published (site claims transparent pricing, not extracted)</t>
  </si>
  <si>
    <t xml:space="preserve">Skin Treatments</t>
  </si>
  <si>
    <t xml:space="preserve">Wellness Programs</t>
  </si>
  <si>
    <t xml:space="preserve">Miradry</t>
  </si>
  <si>
    <t xml:space="preserve">Emsculpt Neo</t>
  </si>
  <si>
    <t xml:space="preserve">EMSCULPT</t>
  </si>
  <si>
    <t xml:space="preserve">Smart Liposuction</t>
  </si>
  <si>
    <t xml:space="preserve">Juvederm</t>
  </si>
  <si>
    <t xml:space="preserve">Restylane</t>
  </si>
  <si>
    <t xml:space="preserve">Botox (VIP membership rate)</t>
  </si>
  <si>
    <t xml:space="preserve">$8.95/unit</t>
  </si>
  <si>
    <t xml:space="preserve">Botox (regular rate)</t>
  </si>
  <si>
    <t xml:space="preserve">$12/unit</t>
  </si>
  <si>
    <t xml:space="preserve">Wrinkle-Free VIP Membership</t>
  </si>
  <si>
    <t xml:space="preserve">$99/mo</t>
  </si>
  <si>
    <t xml:space="preserve">HydraFacial (first visit)</t>
  </si>
  <si>
    <t xml:space="preserve">$159</t>
  </si>
  <si>
    <t xml:space="preserve">Acne Facial</t>
  </si>
  <si>
    <t xml:space="preserve">$165</t>
  </si>
  <si>
    <t xml:space="preserve">Facial Treatments</t>
  </si>
  <si>
    <t xml:space="preserve">Body Treatments</t>
  </si>
  <si>
    <t xml:space="preserve">Daxxify</t>
  </si>
  <si>
    <t xml:space="preserve">Groupon package pricing (various)</t>
  </si>
  <si>
    <t xml:space="preserve">$169-$800 range (promo, not base rate)</t>
  </si>
  <si>
    <t xml:space="preserve">PDO Threads</t>
  </si>
  <si>
    <t xml:space="preserve">Scarlet RF Microneedling Package (3)</t>
  </si>
  <si>
    <t xml:space="preserve">$1,800 (promo)</t>
  </si>
  <si>
    <t xml:space="preserve">Microneedling; IPL / Photofacial</t>
  </si>
  <si>
    <t xml:space="preserve">Sculptra (2 syringes)</t>
  </si>
  <si>
    <t xml:space="preserve">$1,250 (promo)</t>
  </si>
  <si>
    <t xml:space="preserve">Vaginal Rejuvenation Package (3)</t>
  </si>
  <si>
    <t xml:space="preserve">$1,200 (promo)</t>
  </si>
  <si>
    <t xml:space="preserve">Microneedling + Salmon PDRN</t>
  </si>
  <si>
    <t xml:space="preserve">$499 (promo)</t>
  </si>
  <si>
    <t xml:space="preserve">Botox Package (promo)</t>
  </si>
  <si>
    <t xml:space="preserve">$159 (reg. $350)</t>
  </si>
  <si>
    <t xml:space="preserve">Laser Skin Resurfacing</t>
  </si>
  <si>
    <t xml:space="preserve">Vampire Facial</t>
  </si>
  <si>
    <t xml:space="preserve">Wrinkle Relaxers (Botox/Dysport)</t>
  </si>
  <si>
    <t xml:space="preserve">not published (TLC Reserve membership pricing referenced)</t>
  </si>
  <si>
    <t xml:space="preserve">Filler</t>
  </si>
  <si>
    <t xml:space="preserve">Laser Services</t>
  </si>
  <si>
    <t xml:space="preserve">Biostimulators</t>
  </si>
  <si>
    <t xml:space="preserve">Emsculpt NEO</t>
  </si>
  <si>
    <t xml:space="preserve">EmFace</t>
  </si>
  <si>
    <t xml:space="preserve">Hormone Replacement Therapy</t>
  </si>
  <si>
    <t xml:space="preserve">Signature Facial</t>
  </si>
  <si>
    <t xml:space="preserve">HydroDiamond Facial</t>
  </si>
  <si>
    <t xml:space="preserve">Cryotherapy</t>
  </si>
  <si>
    <t xml:space="preserve">Non-Surgical Skin Lifting/Tightening</t>
  </si>
  <si>
    <t xml:space="preserve">Infrared Light Anti-Aging</t>
  </si>
  <si>
    <t xml:space="preserve">EMS/RF Treatments</t>
  </si>
  <si>
    <t xml:space="preserve">Red Light Therapy</t>
  </si>
  <si>
    <t xml:space="preserve">Botox / Dysport / Xeomin</t>
  </si>
  <si>
    <t xml:space="preserve">starting at $14/unit</t>
  </si>
  <si>
    <t xml:space="preserve">Lip Filler</t>
  </si>
  <si>
    <t xml:space="preserve">$789/syringe</t>
  </si>
  <si>
    <t xml:space="preserve">Under-Eye Filler</t>
  </si>
  <si>
    <t xml:space="preserve">$840/syringe</t>
  </si>
  <si>
    <t xml:space="preserve">Chin Filler</t>
  </si>
  <si>
    <t xml:space="preserve">Cheek Filler</t>
  </si>
  <si>
    <t xml:space="preserve">Exosome Stem Cell Microneedling Facial</t>
  </si>
  <si>
    <t xml:space="preserve">Microneedling; PRP / PRF</t>
  </si>
  <si>
    <t xml:space="preserve">Basic Facial (promo)</t>
  </si>
  <si>
    <t xml:space="preserve">$40</t>
  </si>
  <si>
    <t xml:space="preserve">Injectables (promo)</t>
  </si>
  <si>
    <t xml:space="preserve">30% off list price, base not published</t>
  </si>
  <si>
    <t xml:space="preserve">Body Sculpting/BBL</t>
  </si>
  <si>
    <t xml:space="preserve">Body Contouring / CoolSculpting; IPL / Photofacial</t>
  </si>
  <si>
    <t xml:space="preserve">Wrinkle Relaxers</t>
  </si>
  <si>
    <t xml:space="preserve">IPL</t>
  </si>
  <si>
    <t xml:space="preserve">Fraxel Laser</t>
  </si>
  <si>
    <t xml:space="preserve">VelaShape III Body Contouring</t>
  </si>
  <si>
    <t xml:space="preserve">starting at $8.99/unit</t>
  </si>
  <si>
    <t xml:space="preserve">starting at $499/syringe</t>
  </si>
  <si>
    <t xml:space="preserve">Membership</t>
  </si>
  <si>
    <t xml:space="preserve">starting at $50/mo</t>
  </si>
  <si>
    <t xml:space="preserve">$150-$500/session</t>
  </si>
  <si>
    <t xml:space="preserve">$200-$700/session</t>
  </si>
  <si>
    <t xml:space="preserve">$150-$350/session</t>
  </si>
  <si>
    <t xml:space="preserve">Lip Injections</t>
  </si>
  <si>
    <t xml:space="preserve">Dermal Filler</t>
  </si>
  <si>
    <t xml:space="preserve">Kybella</t>
  </si>
  <si>
    <t xml:space="preserve">Botox / Xeomin / Dysport</t>
  </si>
  <si>
    <t xml:space="preserve">not published (Yelp review cites a $59 intro upsold to $2,400 package)</t>
  </si>
  <si>
    <t xml:space="preserve">Emsculpt</t>
  </si>
  <si>
    <t xml:space="preserve">Non-Surgical Nose Job</t>
  </si>
  <si>
    <t xml:space="preserve">Botox / Dysport / Xeomin / Jeuveau</t>
  </si>
  <si>
    <t xml:space="preserve">$300-$400/treatment</t>
  </si>
  <si>
    <t xml:space="preserve">Radiesse</t>
  </si>
  <si>
    <t xml:space="preserve">Laser Rejuvenation</t>
  </si>
  <si>
    <t xml:space="preserve">Spa Menu Treatments (various)</t>
  </si>
  <si>
    <t xml:space="preserve">$245-$900 range across menu</t>
  </si>
  <si>
    <t xml:space="preserve">Infrared/Fat Burning Treatments</t>
  </si>
  <si>
    <t xml:space="preserve">Tattoo Removal</t>
  </si>
  <si>
    <t xml:space="preserve">Facial Rejuvenation</t>
  </si>
  <si>
    <t xml:space="preserve">Microblading</t>
  </si>
  <si>
    <t xml:space="preserve">Permanent Makeup</t>
  </si>
  <si>
    <t xml:space="preserve">Radiesse Hand Filler</t>
  </si>
  <si>
    <t xml:space="preserve">Lash Lifts</t>
  </si>
  <si>
    <t xml:space="preserve">LED Teeth Whitening (promo)</t>
  </si>
  <si>
    <t xml:space="preserve">from $119.70 (Groupon)</t>
  </si>
  <si>
    <t xml:space="preserve">HA Fillers</t>
  </si>
  <si>
    <t xml:space="preserve">Secret RF Skin Tightening</t>
  </si>
  <si>
    <t xml:space="preserve">Thread Lifts</t>
  </si>
  <si>
    <t xml:space="preserve">$75-$250</t>
  </si>
  <si>
    <t xml:space="preserve">Consultation</t>
  </si>
  <si>
    <t xml:space="preserve">$45-$5000 range (broad, likely includes packages)</t>
  </si>
  <si>
    <t xml:space="preserve">Microneedling/PRP</t>
  </si>
  <si>
    <t xml:space="preserve">MonaLisa Touch/Vaginal Rejuvenation</t>
  </si>
  <si>
    <t xml:space="preserve">Weight Loss</t>
  </si>
  <si>
    <t xml:space="preserve">Hair Restoration</t>
  </si>
  <si>
    <t xml:space="preserve">Vivace RF Microneedling</t>
  </si>
  <si>
    <t xml:space="preserve">Microneedling; Skin Tightening (Morpheus8/RF)</t>
  </si>
  <si>
    <t xml:space="preserve">Botox / Jeuveau</t>
  </si>
  <si>
    <t xml:space="preserve">Medical Spa Services (general menu)</t>
  </si>
  <si>
    <t xml:space="preserve">Botox/Neuromodulators</t>
  </si>
  <si>
    <t xml:space="preserve">Wood Therapy</t>
  </si>
  <si>
    <t xml:space="preserve">Lip Blushing</t>
  </si>
  <si>
    <t xml:space="preserve">IPL Photofacial</t>
  </si>
  <si>
    <t xml:space="preserve">Lymphatic Massage (pre/post-op)</t>
  </si>
  <si>
    <t xml:space="preserve">PRP Therapy</t>
  </si>
  <si>
    <t xml:space="preserve">Medical Weight Loss/GLP-1</t>
  </si>
  <si>
    <t xml:space="preserve">Shop Products (various)</t>
  </si>
  <si>
    <t xml:space="preserve">$50-$500 range</t>
  </si>
  <si>
    <t xml:space="preserve">B12 Shots</t>
  </si>
  <si>
    <t xml:space="preserve">IV Therapy - Vitayou Deluxe (4 sessions)</t>
  </si>
  <si>
    <t xml:space="preserve">$660 (8% savings)</t>
  </si>
  <si>
    <t xml:space="preserve">IV Therapy - Vitayou Prime (8 sessions)</t>
  </si>
  <si>
    <t xml:space="preserve">$1,296 (10% savings)</t>
  </si>
  <si>
    <t xml:space="preserve">IV Therapy - Vitayou Diamond (12 sessions)</t>
  </si>
  <si>
    <t xml:space="preserve">$1,860 (14% savings)</t>
  </si>
  <si>
    <t xml:space="preserve">Skin Care</t>
  </si>
  <si>
    <t xml:space="preserve">Corrective Facials</t>
  </si>
  <si>
    <t xml:space="preserve">Microneedling/SkinPen</t>
  </si>
  <si>
    <t xml:space="preserve">Massage Therapy</t>
  </si>
  <si>
    <t xml:space="preserve">PRP Injections</t>
  </si>
  <si>
    <t xml:space="preserve">Cosmetic Laser</t>
  </si>
  <si>
    <t xml:space="preserve">West Palm Beach Med Spa Market — Dashboard</t>
  </si>
  <si>
    <t xml:space="preserve">Metric</t>
  </si>
  <si>
    <t xml:space="preserve">Value</t>
  </si>
  <si>
    <t xml:space="preserve">Total Clinics Tracked</t>
  </si>
  <si>
    <t xml:space="preserve">Clinics with Pricing on File (Yes or Partial)</t>
  </si>
  <si>
    <t xml:space="preserve">Clinics with No Pricing on File</t>
  </si>
  <si>
    <t xml:space="preserve">Total Procedure/Treatment Line Items</t>
  </si>
  <si>
    <t xml:space="preserve">Procedure Category</t>
  </si>
  <si>
    <t xml:space="preserve"># Clinics Offering (of tracked)</t>
  </si>
  <si>
    <t xml:space="preserve">WEST PALM BEACH MED SPA MARKET RESEARCH — NOTES</t>
  </si>
  <si>
    <t xml:space="preserve">METHODOLOGY</t>
  </si>
  <si>
    <t xml:space="preserve">Google Maps sweep: 15 neighborhood/suburb-scoped searches across Palm Beach County (West Palm</t>
  </si>
  <si>
    <t xml:space="preserve">Beach, Palm Beach, Palm Beach Gardens, Jupiter, North Palm Beach, Wellington, Boynton Beach,</t>
  </si>
  <si>
    <t xml:space="preserve">Delray Beach, Boca Raton, Lake Worth, Royal Palm Beach, Riviera Beach, Juno Beach, Lantana,</t>
  </si>
  <si>
    <t xml:space="preserve">Greenacres), run 3-at-a-time across parallel browser tabs, since a single citywide 'med spa West</t>
  </si>
  <si>
    <t xml:space="preserve">Palm Beach FL' search caps at 6 visible results in this environment (same limitation hit in every</t>
  </si>
  <si>
    <t xml:space="preserve">prior city in this project). Address extraction via a per-card JS parser scoped to each</t>
  </si>
  <si>
    <t xml:space="preserve">div.Nv2PK result card (an earlier parent-selector approach was found to bleed the first card's</t>
  </si>
  <si>
    <t xml:space="preserve">address across all 6 results in a batch — caught and fixed before data was recorded).</t>
  </si>
  <si>
    <t xml:space="preserve">Riviera Beach's dedicated search returned no distinct new listings (Maps fell back to nearby Palm</t>
  </si>
  <si>
    <t xml:space="preserve">Beach Gardens/North Palm Beach results) — no med spas appear to be independently listed under a</t>
  </si>
  <si>
    <t xml:space="preserve">Riviera Beach address in this sweep.</t>
  </si>
  <si>
    <t xml:space="preserve">60 raw candidates collected, deduplicated across overlapping neighborhood searches (e.g. VIO Med</t>
  </si>
  <si>
    <t xml:space="preserve">Spa PBG, Earth Scientific, The Garden Medical Spa, and several others surfaced in multiple</t>
  </si>
  <si>
    <t xml:space="preserve">adjacent-neighborhood searches and were merged into single rows).</t>
  </si>
  <si>
    <t xml:space="preserve">EXCLUDED</t>
  </si>
  <si>
    <t xml:space="preserve">TrueGlo MedSpa (Juno Beach) — UNVERIFIABLE. The Maps card had no address string, and the only</t>
  </si>
  <si>
    <t xml:space="preserve">independently confirmable 'TrueGlo Medspa' business found in web search is a same-named practice</t>
  </si>
  <si>
    <t xml:space="preserve">in Naples, FL (~150 miles away, different DMA). No Juno Beach-specific site or listing could be</t>
  </si>
  <si>
    <t xml:space="preserve">confirmed. Excluded from the confirmed count (59 of 60 candidates).</t>
  </si>
  <si>
    <t xml:space="preserve">FLAGGED FOR VERIFICATION (kept in, but names/models are non-standard)</t>
  </si>
  <si>
    <t xml:space="preserve">- The Chrysalis Excursion LLC (Lantana): primarily a pre/post-operative cosmetic-surgery recovery</t>
  </si>
  <si>
    <t xml:space="preserve">  concierge (lymphatic massage, garment fitting) rather than a typical injectables-first med spa,</t>
  </si>
  <si>
    <t xml:space="preserve">  but its own treatment menu lists Botox, RF Microneedling, Vampire Facial, and IPL Photofacial,</t>
  </si>
  <si>
    <t xml:space="preserve">  so it was kept in as a confirmed medical spa.</t>
  </si>
  <si>
    <t xml:space="preserve">- Body Care Med Spa &amp; Timeless Beauty by Norma (Lake Worth Rd address): web search suggests this</t>
  </si>
  <si>
    <t xml:space="preserve">  business has since relocated to 1035 S State Rd 7, Wellington; kept at the Maps-listed address</t>
  </si>
  <si>
    <t xml:space="preserve">  with the relocation noted, since which address is current could not be confirmed with certainty.</t>
  </si>
  <si>
    <t xml:space="preserve">- Refresh - Aesthetics &amp; Wellness (Jupiter): a same-named business also surfaced as 'Refresh Palm</t>
  </si>
  <si>
    <t xml:space="preserve">  Beach Medical Aesthetics' in some listings; treated as the same Jupiter clinic at 775 W</t>
  </si>
  <si>
    <t xml:space="preserve">  Indiantown Rd based on matching address across sources.</t>
  </si>
  <si>
    <t xml:space="preserve">MULTI-LOCATION CHAINS KEPT AS SEPARATE ROWS (distinct addresses)</t>
  </si>
  <si>
    <t xml:space="preserve">AlluraMD Aesthetics + Wellness (Jupiter, Wellington, Boynton Beach — 3 locations), VIO Med Spa</t>
  </si>
  <si>
    <t xml:space="preserve">(Palm Beach Gardens, Delray Beach — 2 locations), New Radiance Cosmetic Centers (Palm Beach</t>
  </si>
  <si>
    <t xml:space="preserve">Gardens, Wellington — 2 locations), Biolift Med Spa (Wellington, Boynton Beach — 2 locations,</t>
  </si>
  <si>
    <t xml:space="preserve">same brand different addresses), Flawless Med Spa / Flawless Palm Beach (West Palm Beach, Royal</t>
  </si>
  <si>
    <t xml:space="preserve">Palm Beach, Lantana — 3 locations, same brand).</t>
  </si>
  <si>
    <t xml:space="preserve">DATA QUALITY</t>
  </si>
  <si>
    <t xml:space="preserve">Pricing transparency: of 59 confirmed clinics, 5 have full published pricing ('Yes'), 13 have</t>
  </si>
  <si>
    <t xml:space="preserve">partial/promotional pricing only ('Partial'), and 41 have no pricing published anywhere ('No') —</t>
  </si>
  <si>
    <t xml:space="preserve">31% of clinics have some pricing on file, roughly in line with Atlanta (32%) and below Charlotte</t>
  </si>
  <si>
    <t xml:space="preserve">(70%). Strongest pricing anchors found: AlluraMD Wellington (VIP Botox $8.95/unit vs $12/unit</t>
  </si>
  <si>
    <t xml:space="preserve">regular, $99/mo membership), Alluring Image Medspa Delray Beach (Botox from $14/unit, fillers</t>
  </si>
  <si>
    <t xml:space="preserve">$789-840/syringe), Facial Mania Med Spa Delray Beach (Botox from $8.99/unit, fillers from</t>
  </si>
  <si>
    <t xml:space="preserve">$499/syringe, membership from $50/mo — same chain seen in Miami with multiple locations).</t>
  </si>
  <si>
    <t xml:space="preserve">No widespread boilerplate-pricing contamination pattern (the '$12-$15/unit Botox' / '$600-</t>
  </si>
  <si>
    <t xml:space="preserve">$1,200/syringe filler' phrasing seen repeated verbatim across unrelated clinics in Atlanta and</t>
  </si>
  <si>
    <t xml:space="preserve">Miami) was found in this city's search results — West Palm Beach pricing data, where published,</t>
  </si>
  <si>
    <t xml:space="preserve">appears to be genuinely clinic-specific.</t>
  </si>
  <si>
    <t xml:space="preserve">373 procedure/treatment line items logged across 59 confirmed clinics.</t>
  </si>
  <si>
    <t xml:space="preserve">NEXT STEPS</t>
  </si>
  <si>
    <t xml:space="preserve">Dashboard tab built with live COUNTA/SUMPRODUCT/COUNTIFS formulas (same structure as Charlotte/</t>
  </si>
  <si>
    <t xml:space="preserve">Atlanta/Miami). Google Trends research and the HTML market report are the next phases.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</si>
</sst>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6" min="5" style="1" width="3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40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n">
        <v>21</v>
      </c>
    </row>
    <row r="3" customFormat="false" ht="15" hidden="false" customHeight="true" outlineLevel="0" collapsed="false">
      <c r="A3" s="1" t="n">
        <v>2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18</v>
      </c>
      <c r="G3" s="1" t="s">
        <v>19</v>
      </c>
      <c r="H3" s="1" t="n">
        <v>1</v>
      </c>
    </row>
    <row r="4" customFormat="false" ht="15" hidden="false" customHeight="true" outlineLevel="0" collapsed="false">
      <c r="A4" s="1" t="n">
        <v>3</v>
      </c>
      <c r="B4" s="1" t="s">
        <v>20</v>
      </c>
      <c r="C4" s="1" t="s">
        <v>10</v>
      </c>
      <c r="D4" s="1" t="s">
        <v>21</v>
      </c>
      <c r="E4" s="1" t="s">
        <v>22</v>
      </c>
      <c r="F4" s="1" t="s">
        <v>23</v>
      </c>
      <c r="G4" s="1" t="s">
        <v>19</v>
      </c>
      <c r="H4" s="1" t="n">
        <v>4</v>
      </c>
    </row>
    <row r="5" customFormat="false" ht="15" hidden="false" customHeight="true" outlineLevel="0" collapsed="false">
      <c r="A5" s="1" t="n">
        <v>4</v>
      </c>
      <c r="B5" s="1" t="s">
        <v>24</v>
      </c>
      <c r="C5" s="1" t="s">
        <v>10</v>
      </c>
      <c r="D5" s="1" t="s">
        <v>25</v>
      </c>
      <c r="E5" s="1" t="s">
        <v>26</v>
      </c>
      <c r="F5" s="1" t="s">
        <v>27</v>
      </c>
      <c r="G5" s="1" t="s">
        <v>19</v>
      </c>
      <c r="H5" s="1" t="n">
        <v>6</v>
      </c>
    </row>
    <row r="6" customFormat="false" ht="15" hidden="false" customHeight="true" outlineLevel="0" collapsed="false">
      <c r="A6" s="1" t="n">
        <v>5</v>
      </c>
      <c r="B6" s="1" t="s">
        <v>28</v>
      </c>
      <c r="C6" s="1" t="s">
        <v>10</v>
      </c>
      <c r="D6" s="1" t="s">
        <v>29</v>
      </c>
      <c r="E6" s="1" t="s">
        <v>30</v>
      </c>
      <c r="F6" s="1" t="s">
        <v>31</v>
      </c>
      <c r="G6" s="1" t="s">
        <v>19</v>
      </c>
      <c r="H6" s="1" t="n">
        <v>6</v>
      </c>
    </row>
    <row r="7" customFormat="false" ht="15" hidden="false" customHeight="true" outlineLevel="0" collapsed="false">
      <c r="A7" s="1" t="n">
        <v>6</v>
      </c>
      <c r="B7" s="1" t="s">
        <v>32</v>
      </c>
      <c r="C7" s="1" t="s">
        <v>10</v>
      </c>
      <c r="D7" s="1" t="s">
        <v>33</v>
      </c>
      <c r="E7" s="1" t="s">
        <v>34</v>
      </c>
      <c r="F7" s="1" t="s">
        <v>35</v>
      </c>
      <c r="G7" s="1" t="s">
        <v>19</v>
      </c>
      <c r="H7" s="1" t="n">
        <v>7</v>
      </c>
    </row>
    <row r="8" customFormat="false" ht="15" hidden="false" customHeight="true" outlineLevel="0" collapsed="false">
      <c r="A8" s="1" t="n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19</v>
      </c>
      <c r="H8" s="1" t="n">
        <v>5</v>
      </c>
    </row>
    <row r="9" customFormat="false" ht="15" hidden="false" customHeight="true" outlineLevel="0" collapsed="false">
      <c r="A9" s="1" t="n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23</v>
      </c>
      <c r="G9" s="1" t="s">
        <v>19</v>
      </c>
      <c r="H9" s="1" t="n">
        <v>7</v>
      </c>
    </row>
    <row r="10" customFormat="false" ht="15" hidden="false" customHeight="true" outlineLevel="0" collapsed="false">
      <c r="A10" s="1" t="n">
        <v>9</v>
      </c>
      <c r="B10" s="1" t="s">
        <v>45</v>
      </c>
      <c r="C10" s="1" t="s">
        <v>42</v>
      </c>
      <c r="D10" s="1" t="s">
        <v>46</v>
      </c>
      <c r="E10" s="1" t="s">
        <v>47</v>
      </c>
      <c r="F10" s="1" t="s">
        <v>23</v>
      </c>
      <c r="G10" s="1" t="s">
        <v>14</v>
      </c>
      <c r="H10" s="1" t="n">
        <v>7</v>
      </c>
    </row>
    <row r="11" customFormat="false" ht="15" hidden="false" customHeight="true" outlineLevel="0" collapsed="false">
      <c r="A11" s="1" t="n">
        <v>10</v>
      </c>
      <c r="B11" s="1" t="s">
        <v>48</v>
      </c>
      <c r="C11" s="1" t="s">
        <v>37</v>
      </c>
      <c r="D11" s="1" t="s">
        <v>49</v>
      </c>
      <c r="E11" s="1" t="s">
        <v>50</v>
      </c>
      <c r="F11" s="1" t="s">
        <v>51</v>
      </c>
      <c r="G11" s="1" t="s">
        <v>19</v>
      </c>
      <c r="H11" s="1" t="n">
        <v>7</v>
      </c>
    </row>
    <row r="12" customFormat="false" ht="15" hidden="false" customHeight="true" outlineLevel="0" collapsed="false">
      <c r="A12" s="1" t="n">
        <v>11</v>
      </c>
      <c r="B12" s="1" t="s">
        <v>52</v>
      </c>
      <c r="C12" s="1" t="s">
        <v>37</v>
      </c>
      <c r="D12" s="1" t="s">
        <v>53</v>
      </c>
      <c r="E12" s="1" t="s">
        <v>54</v>
      </c>
      <c r="F12" s="1" t="s">
        <v>55</v>
      </c>
      <c r="G12" s="1" t="s">
        <v>19</v>
      </c>
      <c r="H12" s="1" t="n">
        <v>8</v>
      </c>
    </row>
    <row r="13" customFormat="false" ht="15" hidden="false" customHeight="true" outlineLevel="0" collapsed="false">
      <c r="A13" s="1" t="n">
        <v>12</v>
      </c>
      <c r="B13" s="1" t="s">
        <v>56</v>
      </c>
      <c r="C13" s="1" t="s">
        <v>37</v>
      </c>
      <c r="D13" s="1" t="s">
        <v>57</v>
      </c>
      <c r="E13" s="1" t="s">
        <v>58</v>
      </c>
      <c r="F13" s="1" t="s">
        <v>59</v>
      </c>
      <c r="G13" s="1" t="s">
        <v>19</v>
      </c>
      <c r="H13" s="1" t="n">
        <v>7</v>
      </c>
    </row>
    <row r="14" customFormat="false" ht="15" hidden="false" customHeight="true" outlineLevel="0" collapsed="false">
      <c r="A14" s="1" t="n">
        <v>13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23</v>
      </c>
      <c r="G14" s="1" t="s">
        <v>19</v>
      </c>
      <c r="H14" s="1" t="n">
        <v>11</v>
      </c>
    </row>
    <row r="15" customFormat="false" ht="15" hidden="false" customHeight="true" outlineLevel="0" collapsed="false">
      <c r="A15" s="1" t="n">
        <v>14</v>
      </c>
      <c r="B15" s="1" t="s">
        <v>64</v>
      </c>
      <c r="C15" s="1" t="s">
        <v>61</v>
      </c>
      <c r="D15" s="1" t="s">
        <v>65</v>
      </c>
      <c r="E15" s="1" t="s">
        <v>66</v>
      </c>
      <c r="F15" s="1" t="s">
        <v>67</v>
      </c>
      <c r="G15" s="1" t="s">
        <v>19</v>
      </c>
      <c r="H15" s="1" t="n">
        <v>10</v>
      </c>
    </row>
    <row r="16" customFormat="false" ht="15" hidden="false" customHeight="true" outlineLevel="0" collapsed="false">
      <c r="A16" s="1" t="n">
        <v>15</v>
      </c>
      <c r="B16" s="1" t="s">
        <v>68</v>
      </c>
      <c r="C16" s="1" t="s">
        <v>61</v>
      </c>
      <c r="D16" s="1" t="s">
        <v>69</v>
      </c>
      <c r="E16" s="1" t="s">
        <v>70</v>
      </c>
      <c r="F16" s="1" t="s">
        <v>27</v>
      </c>
      <c r="G16" s="1" t="s">
        <v>19</v>
      </c>
      <c r="H16" s="1" t="n">
        <v>8</v>
      </c>
    </row>
    <row r="17" customFormat="false" ht="15" hidden="false" customHeight="true" outlineLevel="0" collapsed="false">
      <c r="A17" s="1" t="n">
        <v>16</v>
      </c>
      <c r="B17" s="1" t="s">
        <v>71</v>
      </c>
      <c r="C17" s="1" t="s">
        <v>61</v>
      </c>
      <c r="D17" s="1" t="s">
        <v>72</v>
      </c>
      <c r="E17" s="1" t="s">
        <v>73</v>
      </c>
      <c r="F17" s="1" t="s">
        <v>35</v>
      </c>
      <c r="G17" s="1" t="s">
        <v>19</v>
      </c>
      <c r="H17" s="1" t="n">
        <v>7</v>
      </c>
    </row>
    <row r="18" customFormat="false" ht="15" hidden="false" customHeight="true" outlineLevel="0" collapsed="false">
      <c r="A18" s="1" t="n">
        <v>17</v>
      </c>
      <c r="B18" s="1" t="s">
        <v>74</v>
      </c>
      <c r="C18" s="1" t="s">
        <v>61</v>
      </c>
      <c r="D18" s="1" t="s">
        <v>75</v>
      </c>
      <c r="E18" s="1" t="s">
        <v>76</v>
      </c>
      <c r="F18" s="1" t="s">
        <v>77</v>
      </c>
      <c r="G18" s="1" t="s">
        <v>14</v>
      </c>
      <c r="H18" s="1" t="n">
        <v>6</v>
      </c>
    </row>
    <row r="19" customFormat="false" ht="15" hidden="false" customHeight="true" outlineLevel="0" collapsed="false">
      <c r="A19" s="1" t="n">
        <v>18</v>
      </c>
      <c r="B19" s="1" t="s">
        <v>78</v>
      </c>
      <c r="C19" s="1" t="s">
        <v>61</v>
      </c>
      <c r="D19" s="1" t="s">
        <v>79</v>
      </c>
      <c r="E19" s="1" t="s">
        <v>80</v>
      </c>
      <c r="F19" s="1" t="s">
        <v>35</v>
      </c>
      <c r="G19" s="1" t="s">
        <v>19</v>
      </c>
      <c r="H19" s="1" t="n">
        <v>8</v>
      </c>
    </row>
    <row r="20" customFormat="false" ht="15" hidden="false" customHeight="true" outlineLevel="0" collapsed="false">
      <c r="A20" s="1" t="n">
        <v>19</v>
      </c>
      <c r="B20" s="1" t="s">
        <v>81</v>
      </c>
      <c r="C20" s="1" t="s">
        <v>42</v>
      </c>
      <c r="D20" s="1" t="s">
        <v>82</v>
      </c>
      <c r="E20" s="1" t="s">
        <v>83</v>
      </c>
      <c r="F20" s="1" t="s">
        <v>23</v>
      </c>
      <c r="G20" s="1" t="s">
        <v>14</v>
      </c>
      <c r="H20" s="1" t="n">
        <v>7</v>
      </c>
    </row>
    <row r="21" customFormat="false" ht="15" hidden="false" customHeight="true" outlineLevel="0" collapsed="false">
      <c r="A21" s="1" t="n">
        <v>20</v>
      </c>
      <c r="B21" s="1" t="s">
        <v>84</v>
      </c>
      <c r="C21" s="1" t="s">
        <v>42</v>
      </c>
      <c r="D21" s="1" t="s">
        <v>85</v>
      </c>
      <c r="E21" s="1" t="s">
        <v>86</v>
      </c>
      <c r="F21" s="1" t="s">
        <v>35</v>
      </c>
      <c r="G21" s="1" t="s">
        <v>19</v>
      </c>
      <c r="H21" s="1" t="n">
        <v>4</v>
      </c>
    </row>
    <row r="22" customFormat="false" ht="15" hidden="false" customHeight="true" outlineLevel="0" collapsed="false">
      <c r="A22" s="1" t="n">
        <v>21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27</v>
      </c>
      <c r="G22" s="1" t="s">
        <v>19</v>
      </c>
      <c r="H22" s="1" t="n">
        <v>5</v>
      </c>
    </row>
    <row r="23" customFormat="false" ht="15" hidden="false" customHeight="true" outlineLevel="0" collapsed="false">
      <c r="A23" s="1" t="n">
        <v>22</v>
      </c>
      <c r="B23" s="1" t="s">
        <v>91</v>
      </c>
      <c r="C23" s="1" t="s">
        <v>88</v>
      </c>
      <c r="D23" s="1" t="s">
        <v>92</v>
      </c>
      <c r="E23" s="1" t="s">
        <v>93</v>
      </c>
      <c r="F23" s="1" t="s">
        <v>55</v>
      </c>
      <c r="G23" s="1" t="s">
        <v>19</v>
      </c>
      <c r="H23" s="1" t="n">
        <v>7</v>
      </c>
    </row>
    <row r="24" customFormat="false" ht="15" hidden="false" customHeight="true" outlineLevel="0" collapsed="false">
      <c r="A24" s="1" t="n">
        <v>23</v>
      </c>
      <c r="B24" s="1" t="s">
        <v>94</v>
      </c>
      <c r="C24" s="1" t="s">
        <v>88</v>
      </c>
      <c r="D24" s="1" t="s">
        <v>95</v>
      </c>
      <c r="E24" s="1" t="s">
        <v>96</v>
      </c>
      <c r="F24" s="1" t="s">
        <v>35</v>
      </c>
      <c r="G24" s="1" t="s">
        <v>97</v>
      </c>
      <c r="H24" s="1" t="n">
        <v>4</v>
      </c>
    </row>
    <row r="25" customFormat="false" ht="15" hidden="false" customHeight="true" outlineLevel="0" collapsed="false">
      <c r="A25" s="1" t="n">
        <v>24</v>
      </c>
      <c r="B25" s="1" t="s">
        <v>98</v>
      </c>
      <c r="C25" s="1" t="s">
        <v>88</v>
      </c>
      <c r="D25" s="1" t="s">
        <v>99</v>
      </c>
      <c r="E25" s="1" t="s">
        <v>100</v>
      </c>
      <c r="F25" s="1" t="s">
        <v>23</v>
      </c>
      <c r="G25" s="1" t="s">
        <v>19</v>
      </c>
      <c r="H25" s="1" t="n">
        <v>3</v>
      </c>
    </row>
    <row r="26" customFormat="false" ht="15" hidden="false" customHeight="true" outlineLevel="0" collapsed="false">
      <c r="A26" s="1" t="n">
        <v>25</v>
      </c>
      <c r="B26" s="1" t="s">
        <v>101</v>
      </c>
      <c r="C26" s="1" t="s">
        <v>88</v>
      </c>
      <c r="D26" s="1" t="s">
        <v>102</v>
      </c>
      <c r="E26" s="1" t="s">
        <v>103</v>
      </c>
      <c r="F26" s="1" t="s">
        <v>23</v>
      </c>
      <c r="G26" s="1" t="s">
        <v>14</v>
      </c>
      <c r="H26" s="1" t="n">
        <v>3</v>
      </c>
    </row>
    <row r="27" customFormat="false" ht="15" hidden="false" customHeight="true" outlineLevel="0" collapsed="false">
      <c r="A27" s="1" t="n">
        <v>26</v>
      </c>
      <c r="B27" s="1" t="s">
        <v>104</v>
      </c>
      <c r="C27" s="1" t="s">
        <v>88</v>
      </c>
      <c r="D27" s="1" t="s">
        <v>105</v>
      </c>
      <c r="E27" s="1" t="s">
        <v>106</v>
      </c>
      <c r="F27" s="1" t="s">
        <v>35</v>
      </c>
      <c r="G27" s="1" t="s">
        <v>14</v>
      </c>
      <c r="H27" s="1" t="n">
        <v>6</v>
      </c>
    </row>
    <row r="28" customFormat="false" ht="15" hidden="false" customHeight="true" outlineLevel="0" collapsed="false">
      <c r="A28" s="1" t="n">
        <v>27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111</v>
      </c>
      <c r="G28" s="1" t="s">
        <v>14</v>
      </c>
      <c r="H28" s="1" t="n">
        <v>7</v>
      </c>
    </row>
    <row r="29" customFormat="false" ht="15" hidden="false" customHeight="true" outlineLevel="0" collapsed="false">
      <c r="A29" s="1" t="n">
        <v>28</v>
      </c>
      <c r="B29" s="1" t="s">
        <v>112</v>
      </c>
      <c r="C29" s="1" t="s">
        <v>108</v>
      </c>
      <c r="D29" s="1" t="s">
        <v>113</v>
      </c>
      <c r="E29" s="1" t="s">
        <v>114</v>
      </c>
      <c r="F29" s="1" t="s">
        <v>35</v>
      </c>
      <c r="G29" s="1" t="s">
        <v>19</v>
      </c>
      <c r="H29" s="1" t="n">
        <v>6</v>
      </c>
    </row>
    <row r="30" customFormat="false" ht="15" hidden="false" customHeight="true" outlineLevel="0" collapsed="false">
      <c r="A30" s="1" t="n">
        <v>29</v>
      </c>
      <c r="B30" s="1" t="s">
        <v>115</v>
      </c>
      <c r="C30" s="1" t="s">
        <v>108</v>
      </c>
      <c r="D30" s="1" t="s">
        <v>116</v>
      </c>
      <c r="E30" s="1" t="s">
        <v>103</v>
      </c>
      <c r="F30" s="1" t="s">
        <v>23</v>
      </c>
      <c r="G30" s="1" t="s">
        <v>14</v>
      </c>
      <c r="H30" s="1" t="n">
        <v>7</v>
      </c>
    </row>
    <row r="31" customFormat="false" ht="15" hidden="false" customHeight="true" outlineLevel="0" collapsed="false">
      <c r="A31" s="1" t="n">
        <v>30</v>
      </c>
      <c r="B31" s="1" t="s">
        <v>117</v>
      </c>
      <c r="C31" s="1" t="s">
        <v>108</v>
      </c>
      <c r="D31" s="1" t="s">
        <v>118</v>
      </c>
      <c r="E31" s="1" t="s">
        <v>119</v>
      </c>
      <c r="F31" s="1" t="s">
        <v>35</v>
      </c>
      <c r="G31" s="1" t="s">
        <v>19</v>
      </c>
      <c r="H31" s="1" t="n">
        <v>5</v>
      </c>
    </row>
    <row r="32" customFormat="false" ht="15" hidden="false" customHeight="true" outlineLevel="0" collapsed="false">
      <c r="A32" s="1" t="n">
        <v>31</v>
      </c>
      <c r="B32" s="1" t="s">
        <v>120</v>
      </c>
      <c r="C32" s="1" t="s">
        <v>108</v>
      </c>
      <c r="D32" s="1" t="s">
        <v>121</v>
      </c>
      <c r="E32" s="1" t="s">
        <v>122</v>
      </c>
      <c r="F32" s="1" t="s">
        <v>123</v>
      </c>
      <c r="G32" s="1" t="s">
        <v>19</v>
      </c>
      <c r="H32" s="1" t="n">
        <v>6</v>
      </c>
    </row>
    <row r="33" customFormat="false" ht="15" hidden="false" customHeight="true" outlineLevel="0" collapsed="false">
      <c r="A33" s="1" t="n">
        <v>32</v>
      </c>
      <c r="B33" s="1" t="s">
        <v>124</v>
      </c>
      <c r="C33" s="1" t="s">
        <v>108</v>
      </c>
      <c r="D33" s="1" t="s">
        <v>125</v>
      </c>
      <c r="E33" s="1" t="s">
        <v>126</v>
      </c>
      <c r="F33" s="1" t="s">
        <v>35</v>
      </c>
      <c r="G33" s="1" t="s">
        <v>19</v>
      </c>
      <c r="H33" s="1" t="n">
        <v>6</v>
      </c>
    </row>
    <row r="34" customFormat="false" ht="15" hidden="false" customHeight="true" outlineLevel="0" collapsed="false">
      <c r="A34" s="1" t="n">
        <v>33</v>
      </c>
      <c r="B34" s="1" t="s">
        <v>127</v>
      </c>
      <c r="C34" s="1" t="s">
        <v>128</v>
      </c>
      <c r="D34" s="1" t="s">
        <v>129</v>
      </c>
      <c r="E34" s="1" t="s">
        <v>130</v>
      </c>
      <c r="F34" s="1" t="s">
        <v>23</v>
      </c>
      <c r="G34" s="1" t="s">
        <v>19</v>
      </c>
      <c r="H34" s="1" t="n">
        <v>5</v>
      </c>
    </row>
    <row r="35" customFormat="false" ht="15" hidden="false" customHeight="true" outlineLevel="0" collapsed="false">
      <c r="A35" s="1" t="n">
        <v>34</v>
      </c>
      <c r="B35" s="1" t="s">
        <v>131</v>
      </c>
      <c r="C35" s="1" t="s">
        <v>128</v>
      </c>
      <c r="D35" s="1" t="s">
        <v>132</v>
      </c>
      <c r="E35" s="1" t="s">
        <v>133</v>
      </c>
      <c r="F35" s="1" t="s">
        <v>27</v>
      </c>
      <c r="G35" s="1" t="s">
        <v>19</v>
      </c>
      <c r="H35" s="1" t="n">
        <v>4</v>
      </c>
    </row>
    <row r="36" customFormat="false" ht="15" hidden="false" customHeight="true" outlineLevel="0" collapsed="false">
      <c r="A36" s="1" t="n">
        <v>35</v>
      </c>
      <c r="B36" s="1" t="s">
        <v>134</v>
      </c>
      <c r="C36" s="1" t="s">
        <v>128</v>
      </c>
      <c r="D36" s="1" t="s">
        <v>135</v>
      </c>
      <c r="E36" s="1" t="s">
        <v>136</v>
      </c>
      <c r="F36" s="1" t="s">
        <v>23</v>
      </c>
      <c r="G36" s="1" t="s">
        <v>97</v>
      </c>
      <c r="H36" s="1" t="n">
        <v>7</v>
      </c>
    </row>
    <row r="37" customFormat="false" ht="15" hidden="false" customHeight="true" outlineLevel="0" collapsed="false">
      <c r="A37" s="1" t="n">
        <v>36</v>
      </c>
      <c r="B37" s="1" t="s">
        <v>137</v>
      </c>
      <c r="C37" s="1" t="s">
        <v>128</v>
      </c>
      <c r="D37" s="1" t="s">
        <v>138</v>
      </c>
      <c r="E37" s="1" t="s">
        <v>139</v>
      </c>
      <c r="F37" s="1" t="s">
        <v>27</v>
      </c>
      <c r="G37" s="1" t="s">
        <v>14</v>
      </c>
      <c r="H37" s="1" t="n">
        <v>6</v>
      </c>
    </row>
    <row r="38" customFormat="false" ht="15" hidden="false" customHeight="true" outlineLevel="0" collapsed="false">
      <c r="A38" s="1" t="n">
        <v>37</v>
      </c>
      <c r="B38" s="1" t="s">
        <v>140</v>
      </c>
      <c r="C38" s="1" t="s">
        <v>128</v>
      </c>
      <c r="D38" s="1" t="s">
        <v>141</v>
      </c>
      <c r="E38" s="1" t="s">
        <v>142</v>
      </c>
      <c r="F38" s="1" t="s">
        <v>35</v>
      </c>
      <c r="G38" s="1" t="s">
        <v>19</v>
      </c>
      <c r="H38" s="1" t="n">
        <v>7</v>
      </c>
    </row>
    <row r="39" customFormat="false" ht="15" hidden="false" customHeight="true" outlineLevel="0" collapsed="false">
      <c r="A39" s="1" t="n">
        <v>38</v>
      </c>
      <c r="B39" s="1" t="s">
        <v>143</v>
      </c>
      <c r="C39" s="1" t="s">
        <v>128</v>
      </c>
      <c r="D39" s="1" t="s">
        <v>144</v>
      </c>
      <c r="E39" s="1" t="s">
        <v>145</v>
      </c>
      <c r="F39" s="1" t="s">
        <v>23</v>
      </c>
      <c r="G39" s="1" t="s">
        <v>97</v>
      </c>
      <c r="H39" s="1" t="n">
        <v>6</v>
      </c>
    </row>
    <row r="40" customFormat="false" ht="15" hidden="false" customHeight="true" outlineLevel="0" collapsed="false">
      <c r="A40" s="1" t="n">
        <v>39</v>
      </c>
      <c r="B40" s="1" t="s">
        <v>146</v>
      </c>
      <c r="C40" s="1" t="s">
        <v>147</v>
      </c>
      <c r="D40" s="1" t="s">
        <v>148</v>
      </c>
      <c r="E40" s="1" t="s">
        <v>149</v>
      </c>
      <c r="F40" s="1" t="s">
        <v>150</v>
      </c>
      <c r="G40" s="1" t="s">
        <v>19</v>
      </c>
      <c r="H40" s="1" t="n">
        <v>7</v>
      </c>
    </row>
    <row r="41" customFormat="false" ht="15" hidden="false" customHeight="true" outlineLevel="0" collapsed="false">
      <c r="A41" s="1" t="n">
        <v>40</v>
      </c>
      <c r="B41" s="1" t="s">
        <v>151</v>
      </c>
      <c r="C41" s="1" t="s">
        <v>147</v>
      </c>
      <c r="D41" s="1" t="s">
        <v>152</v>
      </c>
      <c r="E41" s="1" t="s">
        <v>153</v>
      </c>
      <c r="F41" s="1" t="s">
        <v>27</v>
      </c>
      <c r="G41" s="1" t="s">
        <v>19</v>
      </c>
      <c r="H41" s="1" t="n">
        <v>4</v>
      </c>
    </row>
    <row r="42" customFormat="false" ht="15" hidden="false" customHeight="true" outlineLevel="0" collapsed="false">
      <c r="A42" s="1" t="n">
        <v>41</v>
      </c>
      <c r="B42" s="1" t="s">
        <v>154</v>
      </c>
      <c r="C42" s="1" t="s">
        <v>147</v>
      </c>
      <c r="D42" s="1" t="s">
        <v>155</v>
      </c>
      <c r="E42" s="1" t="s">
        <v>156</v>
      </c>
      <c r="F42" s="1" t="s">
        <v>35</v>
      </c>
      <c r="G42" s="1" t="s">
        <v>19</v>
      </c>
      <c r="H42" s="1" t="n">
        <v>8</v>
      </c>
    </row>
    <row r="43" customFormat="false" ht="15" hidden="false" customHeight="true" outlineLevel="0" collapsed="false">
      <c r="A43" s="1" t="n">
        <v>42</v>
      </c>
      <c r="B43" s="1" t="s">
        <v>157</v>
      </c>
      <c r="C43" s="1" t="s">
        <v>147</v>
      </c>
      <c r="D43" s="1" t="s">
        <v>158</v>
      </c>
      <c r="E43" s="1" t="s">
        <v>159</v>
      </c>
      <c r="F43" s="1" t="s">
        <v>27</v>
      </c>
      <c r="G43" s="1" t="s">
        <v>97</v>
      </c>
      <c r="H43" s="1" t="n">
        <v>5</v>
      </c>
    </row>
    <row r="44" customFormat="false" ht="15" hidden="false" customHeight="true" outlineLevel="0" collapsed="false">
      <c r="A44" s="1" t="n">
        <v>43</v>
      </c>
      <c r="B44" s="1" t="s">
        <v>160</v>
      </c>
      <c r="C44" s="1" t="s">
        <v>147</v>
      </c>
      <c r="D44" s="1" t="s">
        <v>161</v>
      </c>
      <c r="E44" s="1" t="s">
        <v>162</v>
      </c>
      <c r="F44" s="1" t="s">
        <v>23</v>
      </c>
      <c r="G44" s="1" t="s">
        <v>14</v>
      </c>
      <c r="H44" s="1" t="n">
        <v>4</v>
      </c>
    </row>
    <row r="45" customFormat="false" ht="15" hidden="false" customHeight="true" outlineLevel="0" collapsed="false">
      <c r="A45" s="1" t="n">
        <v>44</v>
      </c>
      <c r="B45" s="1" t="s">
        <v>163</v>
      </c>
      <c r="C45" s="1" t="s">
        <v>147</v>
      </c>
      <c r="D45" s="1" t="s">
        <v>164</v>
      </c>
      <c r="E45" s="1" t="s">
        <v>165</v>
      </c>
      <c r="F45" s="1" t="s">
        <v>23</v>
      </c>
      <c r="G45" s="1" t="s">
        <v>19</v>
      </c>
      <c r="H45" s="1" t="n">
        <v>7</v>
      </c>
    </row>
    <row r="46" customFormat="false" ht="15" hidden="false" customHeight="true" outlineLevel="0" collapsed="false">
      <c r="A46" s="1" t="n">
        <v>45</v>
      </c>
      <c r="B46" s="1" t="s">
        <v>166</v>
      </c>
      <c r="C46" s="1" t="s">
        <v>167</v>
      </c>
      <c r="D46" s="1" t="s">
        <v>168</v>
      </c>
      <c r="E46" s="1" t="s">
        <v>169</v>
      </c>
      <c r="F46" s="1" t="s">
        <v>27</v>
      </c>
      <c r="G46" s="1" t="s">
        <v>19</v>
      </c>
      <c r="H46" s="1" t="n">
        <v>6</v>
      </c>
    </row>
    <row r="47" customFormat="false" ht="15" hidden="false" customHeight="true" outlineLevel="0" collapsed="false">
      <c r="A47" s="1" t="n">
        <v>46</v>
      </c>
      <c r="B47" s="1" t="s">
        <v>170</v>
      </c>
      <c r="C47" s="1" t="s">
        <v>167</v>
      </c>
      <c r="D47" s="1" t="s">
        <v>171</v>
      </c>
      <c r="E47" s="1" t="s">
        <v>172</v>
      </c>
      <c r="F47" s="1" t="s">
        <v>27</v>
      </c>
      <c r="G47" s="1" t="s">
        <v>19</v>
      </c>
      <c r="H47" s="1" t="n">
        <v>4</v>
      </c>
    </row>
    <row r="48" customFormat="false" ht="15" hidden="false" customHeight="true" outlineLevel="0" collapsed="false">
      <c r="A48" s="1" t="n">
        <v>47</v>
      </c>
      <c r="B48" s="1" t="s">
        <v>173</v>
      </c>
      <c r="C48" s="1" t="s">
        <v>174</v>
      </c>
      <c r="D48" s="1" t="s">
        <v>175</v>
      </c>
      <c r="E48" s="1" t="s">
        <v>176</v>
      </c>
      <c r="F48" s="1" t="s">
        <v>35</v>
      </c>
      <c r="G48" s="1" t="s">
        <v>19</v>
      </c>
      <c r="H48" s="1" t="n">
        <v>8</v>
      </c>
    </row>
    <row r="49" customFormat="false" ht="15" hidden="false" customHeight="true" outlineLevel="0" collapsed="false">
      <c r="A49" s="1" t="n">
        <v>48</v>
      </c>
      <c r="B49" s="1" t="s">
        <v>177</v>
      </c>
      <c r="C49" s="1" t="s">
        <v>167</v>
      </c>
      <c r="D49" s="1" t="s">
        <v>178</v>
      </c>
      <c r="E49" s="1" t="s">
        <v>179</v>
      </c>
      <c r="F49" s="1" t="s">
        <v>23</v>
      </c>
      <c r="G49" s="1" t="s">
        <v>14</v>
      </c>
      <c r="H49" s="1" t="n">
        <v>5</v>
      </c>
    </row>
    <row r="50" customFormat="false" ht="15" hidden="false" customHeight="true" outlineLevel="0" collapsed="false">
      <c r="A50" s="1" t="n">
        <v>49</v>
      </c>
      <c r="B50" s="1" t="s">
        <v>180</v>
      </c>
      <c r="C50" s="1" t="s">
        <v>181</v>
      </c>
      <c r="D50" s="1" t="s">
        <v>182</v>
      </c>
      <c r="E50" s="1" t="s">
        <v>183</v>
      </c>
      <c r="F50" s="1" t="s">
        <v>35</v>
      </c>
      <c r="G50" s="1" t="s">
        <v>19</v>
      </c>
      <c r="H50" s="1" t="n">
        <v>7</v>
      </c>
    </row>
    <row r="51" customFormat="false" ht="15" hidden="false" customHeight="true" outlineLevel="0" collapsed="false">
      <c r="A51" s="1" t="n">
        <v>50</v>
      </c>
      <c r="B51" s="1" t="s">
        <v>184</v>
      </c>
      <c r="C51" s="1" t="s">
        <v>181</v>
      </c>
      <c r="D51" s="1" t="s">
        <v>185</v>
      </c>
      <c r="E51" s="1" t="s">
        <v>186</v>
      </c>
      <c r="F51" s="1" t="s">
        <v>31</v>
      </c>
      <c r="G51" s="1" t="s">
        <v>19</v>
      </c>
      <c r="H51" s="1" t="n">
        <v>8</v>
      </c>
    </row>
    <row r="52" customFormat="false" ht="15" hidden="false" customHeight="true" outlineLevel="0" collapsed="false">
      <c r="A52" s="1" t="n">
        <v>51</v>
      </c>
      <c r="B52" s="1" t="s">
        <v>187</v>
      </c>
      <c r="C52" s="1" t="s">
        <v>181</v>
      </c>
      <c r="D52" s="1" t="s">
        <v>188</v>
      </c>
      <c r="E52" s="1" t="s">
        <v>189</v>
      </c>
      <c r="F52" s="1" t="s">
        <v>35</v>
      </c>
      <c r="G52" s="1" t="s">
        <v>19</v>
      </c>
      <c r="H52" s="1" t="n">
        <v>3</v>
      </c>
    </row>
    <row r="53" customFormat="false" ht="15" hidden="false" customHeight="true" outlineLevel="0" collapsed="false">
      <c r="A53" s="1" t="n">
        <v>52</v>
      </c>
      <c r="B53" s="1" t="s">
        <v>190</v>
      </c>
      <c r="C53" s="1" t="s">
        <v>181</v>
      </c>
      <c r="D53" s="1" t="s">
        <v>191</v>
      </c>
      <c r="E53" s="1" t="s">
        <v>192</v>
      </c>
      <c r="F53" s="1" t="s">
        <v>35</v>
      </c>
      <c r="G53" s="1" t="s">
        <v>19</v>
      </c>
      <c r="H53" s="1" t="n">
        <v>4</v>
      </c>
    </row>
    <row r="54" customFormat="false" ht="15" hidden="false" customHeight="true" outlineLevel="0" collapsed="false">
      <c r="A54" s="1" t="n">
        <v>53</v>
      </c>
      <c r="B54" s="1" t="s">
        <v>193</v>
      </c>
      <c r="C54" s="1" t="s">
        <v>181</v>
      </c>
      <c r="D54" s="1" t="s">
        <v>194</v>
      </c>
      <c r="E54" s="1" t="s">
        <v>195</v>
      </c>
      <c r="F54" s="1" t="s">
        <v>35</v>
      </c>
      <c r="G54" s="1" t="s">
        <v>14</v>
      </c>
      <c r="H54" s="1" t="n">
        <v>6</v>
      </c>
    </row>
    <row r="55" customFormat="false" ht="15" hidden="false" customHeight="true" outlineLevel="0" collapsed="false">
      <c r="A55" s="1" t="n">
        <v>54</v>
      </c>
      <c r="B55" s="1" t="s">
        <v>196</v>
      </c>
      <c r="C55" s="1" t="s">
        <v>197</v>
      </c>
      <c r="D55" s="1" t="s">
        <v>198</v>
      </c>
      <c r="E55" s="1" t="s">
        <v>199</v>
      </c>
      <c r="F55" s="1" t="s">
        <v>31</v>
      </c>
      <c r="G55" s="1" t="s">
        <v>19</v>
      </c>
      <c r="H55" s="1" t="n">
        <v>7</v>
      </c>
    </row>
    <row r="56" customFormat="false" ht="15" hidden="false" customHeight="true" outlineLevel="0" collapsed="false">
      <c r="A56" s="1" t="n">
        <v>55</v>
      </c>
      <c r="B56" s="1" t="s">
        <v>200</v>
      </c>
      <c r="C56" s="1" t="s">
        <v>197</v>
      </c>
      <c r="D56" s="1" t="s">
        <v>201</v>
      </c>
      <c r="E56" s="1" t="s">
        <v>202</v>
      </c>
      <c r="F56" s="1" t="s">
        <v>27</v>
      </c>
      <c r="G56" s="1" t="s">
        <v>19</v>
      </c>
      <c r="H56" s="1" t="n">
        <v>6</v>
      </c>
    </row>
    <row r="57" customFormat="false" ht="15" hidden="false" customHeight="true" outlineLevel="0" collapsed="false">
      <c r="A57" s="1" t="n">
        <v>56</v>
      </c>
      <c r="B57" s="1" t="s">
        <v>203</v>
      </c>
      <c r="C57" s="1" t="s">
        <v>204</v>
      </c>
      <c r="D57" s="1" t="s">
        <v>205</v>
      </c>
      <c r="E57" s="1" t="s">
        <v>206</v>
      </c>
      <c r="F57" s="1" t="s">
        <v>27</v>
      </c>
      <c r="G57" s="1" t="s">
        <v>14</v>
      </c>
      <c r="H57" s="1" t="n">
        <v>7</v>
      </c>
    </row>
    <row r="58" customFormat="false" ht="15" hidden="false" customHeight="true" outlineLevel="0" collapsed="false">
      <c r="A58" s="1" t="n">
        <v>57</v>
      </c>
      <c r="B58" s="1" t="s">
        <v>207</v>
      </c>
      <c r="C58" s="1" t="s">
        <v>204</v>
      </c>
      <c r="D58" s="1" t="s">
        <v>208</v>
      </c>
      <c r="E58" s="1" t="s">
        <v>209</v>
      </c>
      <c r="F58" s="1" t="s">
        <v>35</v>
      </c>
      <c r="G58" s="1" t="s">
        <v>97</v>
      </c>
      <c r="H58" s="1" t="n">
        <v>6</v>
      </c>
    </row>
    <row r="59" customFormat="false" ht="15" hidden="false" customHeight="true" outlineLevel="0" collapsed="false">
      <c r="A59" s="1" t="n">
        <v>58</v>
      </c>
      <c r="B59" s="1" t="s">
        <v>210</v>
      </c>
      <c r="C59" s="1" t="s">
        <v>204</v>
      </c>
      <c r="D59" s="1" t="s">
        <v>211</v>
      </c>
      <c r="E59" s="1" t="s">
        <v>212</v>
      </c>
      <c r="F59" s="1" t="s">
        <v>27</v>
      </c>
      <c r="G59" s="1" t="s">
        <v>19</v>
      </c>
      <c r="H59" s="1" t="n">
        <v>7</v>
      </c>
    </row>
    <row r="60" customFormat="false" ht="15" hidden="false" customHeight="true" outlineLevel="0" collapsed="false">
      <c r="A60" s="1" t="n">
        <v>59</v>
      </c>
      <c r="B60" s="1" t="s">
        <v>213</v>
      </c>
      <c r="C60" s="1" t="s">
        <v>204</v>
      </c>
      <c r="D60" s="1" t="s">
        <v>214</v>
      </c>
      <c r="E60" s="1" t="s">
        <v>215</v>
      </c>
      <c r="F60" s="1" t="s">
        <v>27</v>
      </c>
      <c r="G60" s="1" t="s">
        <v>19</v>
      </c>
      <c r="H60" s="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216</v>
      </c>
      <c r="D1" s="2" t="s">
        <v>217</v>
      </c>
      <c r="E1" s="2" t="s">
        <v>218</v>
      </c>
      <c r="F1" s="2" t="s">
        <v>219</v>
      </c>
    </row>
    <row r="2" customFormat="false" ht="15" hidden="false" customHeight="true" outlineLevel="0" collapsed="false">
      <c r="A2" s="1" t="n">
        <v>1</v>
      </c>
      <c r="B2" s="1" t="s">
        <v>9</v>
      </c>
      <c r="C2" s="1" t="s">
        <v>220</v>
      </c>
      <c r="D2" s="1" t="s">
        <v>221</v>
      </c>
      <c r="F2" s="1" t="s">
        <v>222</v>
      </c>
    </row>
    <row r="3" customFormat="false" ht="15" hidden="false" customHeight="true" outlineLevel="0" collapsed="false">
      <c r="A3" s="1" t="n">
        <v>2</v>
      </c>
      <c r="B3" s="1" t="s">
        <v>9</v>
      </c>
      <c r="C3" s="1" t="s">
        <v>223</v>
      </c>
      <c r="D3" s="1" t="s">
        <v>221</v>
      </c>
      <c r="F3" s="1" t="s">
        <v>222</v>
      </c>
    </row>
    <row r="4" customFormat="false" ht="15" hidden="false" customHeight="true" outlineLevel="0" collapsed="false">
      <c r="A4" s="1" t="n">
        <v>3</v>
      </c>
      <c r="B4" s="1" t="s">
        <v>9</v>
      </c>
      <c r="C4" s="1" t="s">
        <v>224</v>
      </c>
      <c r="D4" s="1" t="s">
        <v>225</v>
      </c>
      <c r="F4" s="1" t="s">
        <v>222</v>
      </c>
    </row>
    <row r="5" customFormat="false" ht="15" hidden="false" customHeight="true" outlineLevel="0" collapsed="false">
      <c r="A5" s="1" t="n">
        <v>4</v>
      </c>
      <c r="B5" s="1" t="s">
        <v>9</v>
      </c>
      <c r="C5" s="1" t="s">
        <v>226</v>
      </c>
      <c r="D5" s="1" t="s">
        <v>227</v>
      </c>
      <c r="F5" s="1" t="s">
        <v>222</v>
      </c>
    </row>
    <row r="6" customFormat="false" ht="15" hidden="false" customHeight="true" outlineLevel="0" collapsed="false">
      <c r="A6" s="1" t="n">
        <v>5</v>
      </c>
      <c r="B6" s="1" t="s">
        <v>9</v>
      </c>
      <c r="C6" s="1" t="s">
        <v>228</v>
      </c>
      <c r="D6" s="1" t="s">
        <v>229</v>
      </c>
      <c r="E6" s="1" t="s">
        <v>230</v>
      </c>
    </row>
    <row r="7" customFormat="false" ht="15" hidden="false" customHeight="true" outlineLevel="0" collapsed="false">
      <c r="A7" s="1" t="n">
        <v>6</v>
      </c>
      <c r="B7" s="1" t="s">
        <v>9</v>
      </c>
      <c r="C7" s="1" t="s">
        <v>231</v>
      </c>
      <c r="D7" s="1" t="s">
        <v>232</v>
      </c>
      <c r="E7" s="1" t="s">
        <v>230</v>
      </c>
    </row>
    <row r="8" customFormat="false" ht="15" hidden="false" customHeight="true" outlineLevel="0" collapsed="false">
      <c r="A8" s="1" t="n">
        <v>7</v>
      </c>
      <c r="B8" s="1" t="s">
        <v>9</v>
      </c>
      <c r="C8" s="1" t="s">
        <v>231</v>
      </c>
      <c r="D8" s="1" t="s">
        <v>233</v>
      </c>
      <c r="E8" s="1" t="s">
        <v>234</v>
      </c>
    </row>
    <row r="9" customFormat="false" ht="15" hidden="false" customHeight="true" outlineLevel="0" collapsed="false">
      <c r="A9" s="1" t="n">
        <v>8</v>
      </c>
      <c r="B9" s="1" t="s">
        <v>9</v>
      </c>
      <c r="C9" s="1" t="s">
        <v>235</v>
      </c>
      <c r="D9" s="1" t="s">
        <v>232</v>
      </c>
    </row>
    <row r="10" customFormat="false" ht="15" hidden="false" customHeight="true" outlineLevel="0" collapsed="false">
      <c r="A10" s="1" t="n">
        <v>9</v>
      </c>
      <c r="B10" s="1" t="s">
        <v>9</v>
      </c>
      <c r="C10" s="1" t="s">
        <v>236</v>
      </c>
      <c r="D10" s="1" t="s">
        <v>237</v>
      </c>
    </row>
    <row r="11" customFormat="false" ht="15" hidden="false" customHeight="true" outlineLevel="0" collapsed="false">
      <c r="A11" s="1" t="n">
        <v>10</v>
      </c>
      <c r="B11" s="1" t="s">
        <v>9</v>
      </c>
      <c r="C11" s="1" t="s">
        <v>238</v>
      </c>
      <c r="D11" s="1" t="s">
        <v>239</v>
      </c>
      <c r="F11" s="1" t="s">
        <v>222</v>
      </c>
    </row>
    <row r="12" customFormat="false" ht="15" hidden="false" customHeight="true" outlineLevel="0" collapsed="false">
      <c r="A12" s="1" t="n">
        <v>11</v>
      </c>
      <c r="B12" s="1" t="s">
        <v>9</v>
      </c>
      <c r="C12" s="1" t="s">
        <v>240</v>
      </c>
      <c r="D12" s="1" t="s">
        <v>241</v>
      </c>
      <c r="F12" s="1" t="s">
        <v>242</v>
      </c>
    </row>
    <row r="13" customFormat="false" ht="15" hidden="false" customHeight="true" outlineLevel="0" collapsed="false">
      <c r="A13" s="1" t="n">
        <v>12</v>
      </c>
      <c r="B13" s="1" t="s">
        <v>9</v>
      </c>
      <c r="C13" s="1" t="s">
        <v>243</v>
      </c>
      <c r="D13" s="1" t="s">
        <v>241</v>
      </c>
      <c r="F13" s="1" t="s">
        <v>242</v>
      </c>
    </row>
    <row r="14" customFormat="false" ht="15" hidden="false" customHeight="true" outlineLevel="0" collapsed="false">
      <c r="A14" s="1" t="n">
        <v>13</v>
      </c>
      <c r="B14" s="1" t="s">
        <v>9</v>
      </c>
      <c r="C14" s="1" t="s">
        <v>244</v>
      </c>
      <c r="D14" s="1" t="s">
        <v>241</v>
      </c>
      <c r="F14" s="1" t="s">
        <v>242</v>
      </c>
    </row>
    <row r="15" customFormat="false" ht="15" hidden="false" customHeight="true" outlineLevel="0" collapsed="false">
      <c r="A15" s="1" t="n">
        <v>14</v>
      </c>
      <c r="B15" s="1" t="s">
        <v>9</v>
      </c>
      <c r="C15" s="1" t="s">
        <v>245</v>
      </c>
      <c r="D15" s="1" t="s">
        <v>241</v>
      </c>
      <c r="F15" s="1" t="s">
        <v>242</v>
      </c>
    </row>
    <row r="16" customFormat="false" ht="15" hidden="false" customHeight="true" outlineLevel="0" collapsed="false">
      <c r="A16" s="1" t="n">
        <v>15</v>
      </c>
      <c r="B16" s="1" t="s">
        <v>9</v>
      </c>
      <c r="C16" s="1" t="s">
        <v>246</v>
      </c>
      <c r="D16" s="1" t="s">
        <v>241</v>
      </c>
      <c r="F16" s="1" t="s">
        <v>247</v>
      </c>
    </row>
    <row r="17" customFormat="false" ht="15" hidden="false" customHeight="true" outlineLevel="0" collapsed="false">
      <c r="A17" s="1" t="n">
        <v>16</v>
      </c>
      <c r="B17" s="1" t="s">
        <v>9</v>
      </c>
      <c r="C17" s="1" t="s">
        <v>248</v>
      </c>
      <c r="F17" s="1" t="s">
        <v>248</v>
      </c>
    </row>
    <row r="18" customFormat="false" ht="15" hidden="false" customHeight="true" outlineLevel="0" collapsed="false">
      <c r="A18" s="1" t="n">
        <v>17</v>
      </c>
      <c r="B18" s="1" t="s">
        <v>9</v>
      </c>
      <c r="C18" s="1" t="s">
        <v>249</v>
      </c>
      <c r="F18" s="1" t="s">
        <v>250</v>
      </c>
    </row>
    <row r="19" customFormat="false" ht="15" hidden="false" customHeight="true" outlineLevel="0" collapsed="false">
      <c r="A19" s="1" t="n">
        <v>18</v>
      </c>
      <c r="B19" s="1" t="s">
        <v>9</v>
      </c>
      <c r="C19" s="1" t="s">
        <v>251</v>
      </c>
      <c r="F19" s="1" t="s">
        <v>250</v>
      </c>
    </row>
    <row r="20" customFormat="false" ht="15" hidden="false" customHeight="true" outlineLevel="0" collapsed="false">
      <c r="A20" s="1" t="n">
        <v>19</v>
      </c>
      <c r="B20" s="1" t="s">
        <v>9</v>
      </c>
      <c r="C20" s="1" t="s">
        <v>252</v>
      </c>
    </row>
    <row r="21" customFormat="false" ht="15" hidden="false" customHeight="true" outlineLevel="0" collapsed="false">
      <c r="A21" s="1" t="n">
        <v>20</v>
      </c>
      <c r="B21" s="1" t="s">
        <v>9</v>
      </c>
      <c r="C21" s="1" t="s">
        <v>253</v>
      </c>
      <c r="F21" s="1" t="s">
        <v>254</v>
      </c>
    </row>
    <row r="22" customFormat="false" ht="15" hidden="false" customHeight="true" outlineLevel="0" collapsed="false">
      <c r="A22" s="1" t="n">
        <v>21</v>
      </c>
      <c r="B22" s="1" t="s">
        <v>9</v>
      </c>
      <c r="C22" s="1" t="s">
        <v>255</v>
      </c>
      <c r="F22" s="1" t="s">
        <v>256</v>
      </c>
    </row>
    <row r="23" customFormat="false" ht="15" hidden="false" customHeight="true" outlineLevel="0" collapsed="false">
      <c r="A23" s="1" t="n">
        <v>22</v>
      </c>
      <c r="B23" s="1" t="s">
        <v>15</v>
      </c>
      <c r="C23" s="1" t="s">
        <v>257</v>
      </c>
      <c r="D23" s="1" t="s">
        <v>258</v>
      </c>
    </row>
    <row r="24" customFormat="false" ht="15" hidden="false" customHeight="true" outlineLevel="0" collapsed="false">
      <c r="A24" s="1" t="n">
        <v>23</v>
      </c>
      <c r="B24" s="1" t="s">
        <v>20</v>
      </c>
      <c r="C24" s="1" t="s">
        <v>259</v>
      </c>
      <c r="D24" s="1" t="s">
        <v>258</v>
      </c>
    </row>
    <row r="25" customFormat="false" ht="15" hidden="false" customHeight="true" outlineLevel="0" collapsed="false">
      <c r="A25" s="1" t="n">
        <v>24</v>
      </c>
      <c r="B25" s="1" t="s">
        <v>20</v>
      </c>
      <c r="C25" s="1" t="s">
        <v>260</v>
      </c>
      <c r="D25" s="1" t="s">
        <v>258</v>
      </c>
      <c r="F25" s="1" t="s">
        <v>261</v>
      </c>
    </row>
    <row r="26" customFormat="false" ht="15" hidden="false" customHeight="true" outlineLevel="0" collapsed="false">
      <c r="A26" s="1" t="n">
        <v>25</v>
      </c>
      <c r="B26" s="1" t="s">
        <v>20</v>
      </c>
      <c r="C26" s="1" t="s">
        <v>262</v>
      </c>
      <c r="D26" s="1" t="s">
        <v>258</v>
      </c>
    </row>
    <row r="27" customFormat="false" ht="15" hidden="false" customHeight="true" outlineLevel="0" collapsed="false">
      <c r="A27" s="1" t="n">
        <v>26</v>
      </c>
      <c r="B27" s="1" t="s">
        <v>20</v>
      </c>
      <c r="C27" s="1" t="s">
        <v>263</v>
      </c>
      <c r="D27" s="1" t="s">
        <v>264</v>
      </c>
    </row>
    <row r="28" customFormat="false" ht="15" hidden="false" customHeight="true" outlineLevel="0" collapsed="false">
      <c r="A28" s="1" t="n">
        <v>27</v>
      </c>
      <c r="B28" s="1" t="s">
        <v>24</v>
      </c>
      <c r="C28" s="1" t="s">
        <v>265</v>
      </c>
      <c r="D28" s="1" t="s">
        <v>258</v>
      </c>
    </row>
    <row r="29" customFormat="false" ht="15" hidden="false" customHeight="true" outlineLevel="0" collapsed="false">
      <c r="A29" s="1" t="n">
        <v>28</v>
      </c>
      <c r="B29" s="1" t="s">
        <v>24</v>
      </c>
      <c r="C29" s="1" t="s">
        <v>266</v>
      </c>
      <c r="D29" s="1" t="s">
        <v>258</v>
      </c>
    </row>
    <row r="30" customFormat="false" ht="15" hidden="false" customHeight="true" outlineLevel="0" collapsed="false">
      <c r="A30" s="1" t="n">
        <v>29</v>
      </c>
      <c r="B30" s="1" t="s">
        <v>24</v>
      </c>
      <c r="C30" s="1" t="s">
        <v>254</v>
      </c>
      <c r="D30" s="1" t="s">
        <v>258</v>
      </c>
      <c r="F30" s="1" t="s">
        <v>254</v>
      </c>
    </row>
    <row r="31" customFormat="false" ht="15" hidden="false" customHeight="true" outlineLevel="0" collapsed="false">
      <c r="A31" s="1" t="n">
        <v>30</v>
      </c>
      <c r="B31" s="1" t="s">
        <v>24</v>
      </c>
      <c r="C31" s="1" t="s">
        <v>267</v>
      </c>
      <c r="D31" s="1" t="s">
        <v>258</v>
      </c>
    </row>
    <row r="32" customFormat="false" ht="15" hidden="false" customHeight="true" outlineLevel="0" collapsed="false">
      <c r="A32" s="1" t="n">
        <v>31</v>
      </c>
      <c r="B32" s="1" t="s">
        <v>24</v>
      </c>
      <c r="C32" s="1" t="s">
        <v>260</v>
      </c>
      <c r="D32" s="1" t="s">
        <v>258</v>
      </c>
      <c r="F32" s="1" t="s">
        <v>261</v>
      </c>
    </row>
    <row r="33" customFormat="false" ht="15" hidden="false" customHeight="true" outlineLevel="0" collapsed="false">
      <c r="A33" s="1" t="n">
        <v>32</v>
      </c>
      <c r="B33" s="1" t="s">
        <v>24</v>
      </c>
      <c r="C33" s="1" t="s">
        <v>268</v>
      </c>
      <c r="D33" s="1" t="s">
        <v>258</v>
      </c>
      <c r="F33" s="1" t="s">
        <v>247</v>
      </c>
    </row>
    <row r="34" customFormat="false" ht="15" hidden="false" customHeight="true" outlineLevel="0" collapsed="false">
      <c r="A34" s="1" t="n">
        <v>33</v>
      </c>
      <c r="B34" s="1" t="s">
        <v>28</v>
      </c>
      <c r="C34" s="1" t="s">
        <v>269</v>
      </c>
      <c r="D34" s="1" t="s">
        <v>258</v>
      </c>
      <c r="F34" s="1" t="s">
        <v>222</v>
      </c>
    </row>
    <row r="35" customFormat="false" ht="15" hidden="false" customHeight="true" outlineLevel="0" collapsed="false">
      <c r="A35" s="1" t="n">
        <v>34</v>
      </c>
      <c r="B35" s="1" t="s">
        <v>28</v>
      </c>
      <c r="C35" s="1" t="s">
        <v>270</v>
      </c>
      <c r="D35" s="1" t="s">
        <v>258</v>
      </c>
      <c r="F35" s="1" t="s">
        <v>271</v>
      </c>
    </row>
    <row r="36" customFormat="false" ht="15" hidden="false" customHeight="true" outlineLevel="0" collapsed="false">
      <c r="A36" s="1" t="n">
        <v>35</v>
      </c>
      <c r="B36" s="1" t="s">
        <v>28</v>
      </c>
      <c r="C36" s="1" t="s">
        <v>240</v>
      </c>
      <c r="D36" s="1" t="s">
        <v>258</v>
      </c>
      <c r="F36" s="1" t="s">
        <v>242</v>
      </c>
    </row>
    <row r="37" customFormat="false" ht="15" hidden="false" customHeight="true" outlineLevel="0" collapsed="false">
      <c r="A37" s="1" t="n">
        <v>36</v>
      </c>
      <c r="B37" s="1" t="s">
        <v>28</v>
      </c>
      <c r="C37" s="1" t="s">
        <v>246</v>
      </c>
      <c r="D37" s="1" t="s">
        <v>258</v>
      </c>
      <c r="F37" s="1" t="s">
        <v>247</v>
      </c>
    </row>
    <row r="38" customFormat="false" ht="15" hidden="false" customHeight="true" outlineLevel="0" collapsed="false">
      <c r="A38" s="1" t="n">
        <v>37</v>
      </c>
      <c r="B38" s="1" t="s">
        <v>28</v>
      </c>
      <c r="C38" s="1" t="s">
        <v>248</v>
      </c>
      <c r="D38" s="1" t="s">
        <v>258</v>
      </c>
      <c r="F38" s="1" t="s">
        <v>248</v>
      </c>
    </row>
    <row r="39" customFormat="false" ht="15" hidden="false" customHeight="true" outlineLevel="0" collapsed="false">
      <c r="A39" s="1" t="n">
        <v>38</v>
      </c>
      <c r="B39" s="1" t="s">
        <v>28</v>
      </c>
      <c r="C39" s="1" t="s">
        <v>272</v>
      </c>
      <c r="D39" s="1" t="s">
        <v>258</v>
      </c>
      <c r="F39" s="1" t="s">
        <v>250</v>
      </c>
    </row>
    <row r="40" customFormat="false" ht="15" hidden="false" customHeight="true" outlineLevel="0" collapsed="false">
      <c r="A40" s="1" t="n">
        <v>39</v>
      </c>
      <c r="B40" s="1" t="s">
        <v>32</v>
      </c>
      <c r="C40" s="1" t="s">
        <v>240</v>
      </c>
      <c r="D40" s="1" t="s">
        <v>258</v>
      </c>
      <c r="F40" s="1" t="s">
        <v>242</v>
      </c>
    </row>
    <row r="41" customFormat="false" ht="15" hidden="false" customHeight="true" outlineLevel="0" collapsed="false">
      <c r="A41" s="1" t="n">
        <v>40</v>
      </c>
      <c r="B41" s="1" t="s">
        <v>32</v>
      </c>
      <c r="C41" s="1" t="s">
        <v>246</v>
      </c>
      <c r="D41" s="1" t="s">
        <v>258</v>
      </c>
      <c r="F41" s="1" t="s">
        <v>247</v>
      </c>
    </row>
    <row r="42" customFormat="false" ht="15" hidden="false" customHeight="true" outlineLevel="0" collapsed="false">
      <c r="A42" s="1" t="n">
        <v>41</v>
      </c>
      <c r="B42" s="1" t="s">
        <v>32</v>
      </c>
      <c r="C42" s="1" t="s">
        <v>260</v>
      </c>
      <c r="D42" s="1" t="s">
        <v>258</v>
      </c>
      <c r="F42" s="1" t="s">
        <v>261</v>
      </c>
    </row>
    <row r="43" customFormat="false" ht="15" hidden="false" customHeight="true" outlineLevel="0" collapsed="false">
      <c r="A43" s="1" t="n">
        <v>42</v>
      </c>
      <c r="B43" s="1" t="s">
        <v>32</v>
      </c>
      <c r="C43" s="1" t="s">
        <v>273</v>
      </c>
      <c r="D43" s="1" t="s">
        <v>258</v>
      </c>
    </row>
    <row r="44" customFormat="false" ht="15" hidden="false" customHeight="true" outlineLevel="0" collapsed="false">
      <c r="A44" s="1" t="n">
        <v>43</v>
      </c>
      <c r="B44" s="1" t="s">
        <v>32</v>
      </c>
      <c r="C44" s="1" t="s">
        <v>274</v>
      </c>
      <c r="D44" s="1" t="s">
        <v>258</v>
      </c>
      <c r="F44" s="1" t="s">
        <v>274</v>
      </c>
    </row>
    <row r="45" customFormat="false" ht="15" hidden="false" customHeight="true" outlineLevel="0" collapsed="false">
      <c r="A45" s="1" t="n">
        <v>44</v>
      </c>
      <c r="B45" s="1" t="s">
        <v>32</v>
      </c>
      <c r="C45" s="1" t="s">
        <v>248</v>
      </c>
      <c r="D45" s="1" t="s">
        <v>258</v>
      </c>
      <c r="F45" s="1" t="s">
        <v>248</v>
      </c>
    </row>
    <row r="46" customFormat="false" ht="15" hidden="false" customHeight="true" outlineLevel="0" collapsed="false">
      <c r="A46" s="1" t="n">
        <v>45</v>
      </c>
      <c r="B46" s="1" t="s">
        <v>32</v>
      </c>
      <c r="C46" s="1" t="s">
        <v>275</v>
      </c>
      <c r="D46" s="1" t="s">
        <v>258</v>
      </c>
      <c r="F46" s="1" t="s">
        <v>276</v>
      </c>
    </row>
    <row r="47" customFormat="false" ht="15" hidden="false" customHeight="true" outlineLevel="0" collapsed="false">
      <c r="A47" s="1" t="n">
        <v>46</v>
      </c>
      <c r="B47" s="1" t="s">
        <v>36</v>
      </c>
      <c r="C47" s="1" t="s">
        <v>240</v>
      </c>
      <c r="D47" s="1" t="s">
        <v>277</v>
      </c>
      <c r="F47" s="1" t="s">
        <v>242</v>
      </c>
    </row>
    <row r="48" customFormat="false" ht="15" hidden="false" customHeight="true" outlineLevel="0" collapsed="false">
      <c r="A48" s="1" t="n">
        <v>47</v>
      </c>
      <c r="B48" s="1" t="s">
        <v>36</v>
      </c>
      <c r="C48" s="1" t="s">
        <v>278</v>
      </c>
      <c r="D48" s="1" t="s">
        <v>258</v>
      </c>
      <c r="F48" s="1" t="s">
        <v>261</v>
      </c>
    </row>
    <row r="49" customFormat="false" ht="15" hidden="false" customHeight="true" outlineLevel="0" collapsed="false">
      <c r="A49" s="1" t="n">
        <v>48</v>
      </c>
      <c r="B49" s="1" t="s">
        <v>36</v>
      </c>
      <c r="C49" s="1" t="s">
        <v>259</v>
      </c>
      <c r="D49" s="1" t="s">
        <v>258</v>
      </c>
    </row>
    <row r="50" customFormat="false" ht="15" hidden="false" customHeight="true" outlineLevel="0" collapsed="false">
      <c r="A50" s="1" t="n">
        <v>49</v>
      </c>
      <c r="B50" s="1" t="s">
        <v>36</v>
      </c>
      <c r="C50" s="1" t="s">
        <v>279</v>
      </c>
      <c r="D50" s="1" t="s">
        <v>258</v>
      </c>
    </row>
    <row r="51" customFormat="false" ht="15" hidden="false" customHeight="true" outlineLevel="0" collapsed="false">
      <c r="A51" s="1" t="n">
        <v>50</v>
      </c>
      <c r="B51" s="1" t="s">
        <v>36</v>
      </c>
      <c r="C51" s="1" t="s">
        <v>260</v>
      </c>
      <c r="D51" s="1" t="s">
        <v>258</v>
      </c>
      <c r="F51" s="1" t="s">
        <v>261</v>
      </c>
    </row>
    <row r="52" customFormat="false" ht="15" hidden="false" customHeight="true" outlineLevel="0" collapsed="false">
      <c r="A52" s="1" t="n">
        <v>51</v>
      </c>
      <c r="B52" s="1" t="s">
        <v>41</v>
      </c>
      <c r="C52" s="1" t="s">
        <v>280</v>
      </c>
      <c r="D52" s="1" t="s">
        <v>258</v>
      </c>
      <c r="F52" s="1" t="s">
        <v>254</v>
      </c>
    </row>
    <row r="53" customFormat="false" ht="15" hidden="false" customHeight="true" outlineLevel="0" collapsed="false">
      <c r="A53" s="1" t="n">
        <v>52</v>
      </c>
      <c r="B53" s="1" t="s">
        <v>41</v>
      </c>
      <c r="C53" s="1" t="s">
        <v>281</v>
      </c>
      <c r="D53" s="1" t="s">
        <v>258</v>
      </c>
      <c r="F53" s="1" t="s">
        <v>250</v>
      </c>
    </row>
    <row r="54" customFormat="false" ht="15" hidden="false" customHeight="true" outlineLevel="0" collapsed="false">
      <c r="A54" s="1" t="n">
        <v>53</v>
      </c>
      <c r="B54" s="1" t="s">
        <v>41</v>
      </c>
      <c r="C54" s="1" t="s">
        <v>282</v>
      </c>
      <c r="D54" s="1" t="s">
        <v>258</v>
      </c>
      <c r="F54" s="1" t="s">
        <v>222</v>
      </c>
    </row>
    <row r="55" customFormat="false" ht="15" hidden="false" customHeight="true" outlineLevel="0" collapsed="false">
      <c r="A55" s="1" t="n">
        <v>54</v>
      </c>
      <c r="B55" s="1" t="s">
        <v>41</v>
      </c>
      <c r="C55" s="1" t="s">
        <v>283</v>
      </c>
      <c r="D55" s="1" t="s">
        <v>258</v>
      </c>
    </row>
    <row r="56" customFormat="false" ht="15" hidden="false" customHeight="true" outlineLevel="0" collapsed="false">
      <c r="A56" s="1" t="n">
        <v>55</v>
      </c>
      <c r="B56" s="1" t="s">
        <v>41</v>
      </c>
      <c r="C56" s="1" t="s">
        <v>284</v>
      </c>
      <c r="D56" s="1" t="s">
        <v>258</v>
      </c>
      <c r="F56" s="1" t="s">
        <v>261</v>
      </c>
    </row>
    <row r="57" customFormat="false" ht="15" hidden="false" customHeight="true" outlineLevel="0" collapsed="false">
      <c r="A57" s="1" t="n">
        <v>56</v>
      </c>
      <c r="B57" s="1" t="s">
        <v>41</v>
      </c>
      <c r="C57" s="1" t="s">
        <v>285</v>
      </c>
      <c r="D57" s="1" t="s">
        <v>258</v>
      </c>
      <c r="F57" s="1" t="s">
        <v>261</v>
      </c>
    </row>
    <row r="58" customFormat="false" ht="15" hidden="false" customHeight="true" outlineLevel="0" collapsed="false">
      <c r="A58" s="1" t="n">
        <v>57</v>
      </c>
      <c r="B58" s="1" t="s">
        <v>41</v>
      </c>
      <c r="C58" s="1" t="s">
        <v>259</v>
      </c>
      <c r="D58" s="1" t="s">
        <v>258</v>
      </c>
    </row>
    <row r="59" customFormat="false" ht="15" hidden="false" customHeight="true" outlineLevel="0" collapsed="false">
      <c r="A59" s="1" t="n">
        <v>58</v>
      </c>
      <c r="B59" s="1" t="s">
        <v>45</v>
      </c>
      <c r="C59" s="1" t="s">
        <v>240</v>
      </c>
      <c r="D59" s="1" t="s">
        <v>258</v>
      </c>
      <c r="F59" s="1" t="s">
        <v>242</v>
      </c>
    </row>
    <row r="60" customFormat="false" ht="15" hidden="false" customHeight="true" outlineLevel="0" collapsed="false">
      <c r="A60" s="1" t="n">
        <v>59</v>
      </c>
      <c r="B60" s="1" t="s">
        <v>45</v>
      </c>
      <c r="C60" s="1" t="s">
        <v>286</v>
      </c>
      <c r="D60" s="1" t="s">
        <v>258</v>
      </c>
      <c r="F60" s="1" t="s">
        <v>247</v>
      </c>
    </row>
    <row r="61" customFormat="false" ht="15" hidden="false" customHeight="true" outlineLevel="0" collapsed="false">
      <c r="A61" s="1" t="n">
        <v>60</v>
      </c>
      <c r="B61" s="1" t="s">
        <v>45</v>
      </c>
      <c r="C61" s="1" t="s">
        <v>287</v>
      </c>
      <c r="D61" s="1" t="s">
        <v>258</v>
      </c>
      <c r="F61" s="1" t="s">
        <v>287</v>
      </c>
    </row>
    <row r="62" customFormat="false" ht="15" hidden="false" customHeight="true" outlineLevel="0" collapsed="false">
      <c r="A62" s="1" t="n">
        <v>61</v>
      </c>
      <c r="B62" s="1" t="s">
        <v>45</v>
      </c>
      <c r="C62" s="1" t="s">
        <v>288</v>
      </c>
      <c r="D62" s="1" t="s">
        <v>289</v>
      </c>
      <c r="F62" s="1" t="s">
        <v>271</v>
      </c>
    </row>
    <row r="63" customFormat="false" ht="15" hidden="false" customHeight="true" outlineLevel="0" collapsed="false">
      <c r="A63" s="1" t="n">
        <v>62</v>
      </c>
      <c r="B63" s="1" t="s">
        <v>45</v>
      </c>
      <c r="C63" s="1" t="s">
        <v>254</v>
      </c>
      <c r="D63" s="1" t="s">
        <v>258</v>
      </c>
      <c r="F63" s="1" t="s">
        <v>254</v>
      </c>
    </row>
    <row r="64" customFormat="false" ht="15" hidden="false" customHeight="true" outlineLevel="0" collapsed="false">
      <c r="A64" s="1" t="n">
        <v>63</v>
      </c>
      <c r="B64" s="1" t="s">
        <v>45</v>
      </c>
      <c r="C64" s="1" t="s">
        <v>281</v>
      </c>
      <c r="D64" s="1" t="s">
        <v>258</v>
      </c>
      <c r="F64" s="1" t="s">
        <v>250</v>
      </c>
    </row>
    <row r="65" customFormat="false" ht="15" hidden="false" customHeight="true" outlineLevel="0" collapsed="false">
      <c r="A65" s="1" t="n">
        <v>64</v>
      </c>
      <c r="B65" s="1" t="s">
        <v>45</v>
      </c>
      <c r="C65" s="1" t="s">
        <v>222</v>
      </c>
      <c r="D65" s="1" t="s">
        <v>258</v>
      </c>
      <c r="F65" s="1" t="s">
        <v>222</v>
      </c>
    </row>
    <row r="66" customFormat="false" ht="15" hidden="false" customHeight="true" outlineLevel="0" collapsed="false">
      <c r="A66" s="1" t="n">
        <v>65</v>
      </c>
      <c r="B66" s="1" t="s">
        <v>48</v>
      </c>
      <c r="C66" s="1" t="s">
        <v>240</v>
      </c>
      <c r="D66" s="1" t="s">
        <v>258</v>
      </c>
      <c r="F66" s="1" t="s">
        <v>242</v>
      </c>
    </row>
    <row r="67" customFormat="false" ht="15" hidden="false" customHeight="true" outlineLevel="0" collapsed="false">
      <c r="A67" s="1" t="n">
        <v>66</v>
      </c>
      <c r="B67" s="1" t="s">
        <v>48</v>
      </c>
      <c r="C67" s="1" t="s">
        <v>290</v>
      </c>
      <c r="D67" s="1" t="s">
        <v>258</v>
      </c>
    </row>
    <row r="68" customFormat="false" ht="15" hidden="false" customHeight="true" outlineLevel="0" collapsed="false">
      <c r="A68" s="1" t="n">
        <v>67</v>
      </c>
      <c r="B68" s="1" t="s">
        <v>48</v>
      </c>
      <c r="C68" s="1" t="s">
        <v>266</v>
      </c>
      <c r="D68" s="1" t="s">
        <v>258</v>
      </c>
    </row>
    <row r="69" customFormat="false" ht="15" hidden="false" customHeight="true" outlineLevel="0" collapsed="false">
      <c r="A69" s="1" t="n">
        <v>68</v>
      </c>
      <c r="B69" s="1" t="s">
        <v>48</v>
      </c>
      <c r="C69" s="1" t="s">
        <v>291</v>
      </c>
      <c r="D69" s="1" t="s">
        <v>258</v>
      </c>
      <c r="F69" s="1" t="s">
        <v>291</v>
      </c>
    </row>
    <row r="70" customFormat="false" ht="15" hidden="false" customHeight="true" outlineLevel="0" collapsed="false">
      <c r="A70" s="1" t="n">
        <v>69</v>
      </c>
      <c r="B70" s="1" t="s">
        <v>48</v>
      </c>
      <c r="C70" s="1" t="s">
        <v>292</v>
      </c>
      <c r="D70" s="1" t="s">
        <v>258</v>
      </c>
      <c r="F70" s="1" t="s">
        <v>276</v>
      </c>
    </row>
    <row r="71" customFormat="false" ht="15" hidden="false" customHeight="true" outlineLevel="0" collapsed="false">
      <c r="A71" s="1" t="n">
        <v>70</v>
      </c>
      <c r="B71" s="1" t="s">
        <v>48</v>
      </c>
      <c r="C71" s="1" t="s">
        <v>293</v>
      </c>
      <c r="D71" s="1" t="s">
        <v>258</v>
      </c>
      <c r="F71" s="1" t="s">
        <v>248</v>
      </c>
    </row>
    <row r="72" customFormat="false" ht="15" hidden="false" customHeight="true" outlineLevel="0" collapsed="false">
      <c r="A72" s="1" t="n">
        <v>71</v>
      </c>
      <c r="B72" s="1" t="s">
        <v>48</v>
      </c>
      <c r="C72" s="1" t="s">
        <v>294</v>
      </c>
      <c r="D72" s="1" t="s">
        <v>258</v>
      </c>
    </row>
    <row r="73" customFormat="false" ht="15" hidden="false" customHeight="true" outlineLevel="0" collapsed="false">
      <c r="A73" s="1" t="n">
        <v>72</v>
      </c>
      <c r="B73" s="1" t="s">
        <v>52</v>
      </c>
      <c r="C73" s="1" t="s">
        <v>295</v>
      </c>
      <c r="D73" s="1" t="s">
        <v>296</v>
      </c>
      <c r="F73" s="1" t="s">
        <v>242</v>
      </c>
    </row>
    <row r="74" customFormat="false" ht="15" hidden="false" customHeight="true" outlineLevel="0" collapsed="false">
      <c r="A74" s="1" t="n">
        <v>73</v>
      </c>
      <c r="B74" s="1" t="s">
        <v>52</v>
      </c>
      <c r="C74" s="1" t="s">
        <v>286</v>
      </c>
      <c r="D74" s="1" t="s">
        <v>258</v>
      </c>
      <c r="F74" s="1" t="s">
        <v>247</v>
      </c>
    </row>
    <row r="75" customFormat="false" ht="15" hidden="false" customHeight="true" outlineLevel="0" collapsed="false">
      <c r="A75" s="1" t="n">
        <v>74</v>
      </c>
      <c r="B75" s="1" t="s">
        <v>52</v>
      </c>
      <c r="C75" s="1" t="s">
        <v>297</v>
      </c>
      <c r="D75" s="1" t="s">
        <v>258</v>
      </c>
      <c r="F75" s="1" t="s">
        <v>261</v>
      </c>
    </row>
    <row r="76" customFormat="false" ht="15" hidden="false" customHeight="true" outlineLevel="0" collapsed="false">
      <c r="A76" s="1" t="n">
        <v>75</v>
      </c>
      <c r="B76" s="1" t="s">
        <v>52</v>
      </c>
      <c r="C76" s="1" t="s">
        <v>298</v>
      </c>
      <c r="D76" s="1" t="s">
        <v>258</v>
      </c>
      <c r="F76" s="1" t="s">
        <v>271</v>
      </c>
    </row>
    <row r="77" customFormat="false" ht="15" hidden="false" customHeight="true" outlineLevel="0" collapsed="false">
      <c r="A77" s="1" t="n">
        <v>76</v>
      </c>
      <c r="B77" s="1" t="s">
        <v>52</v>
      </c>
      <c r="C77" s="1" t="s">
        <v>299</v>
      </c>
      <c r="D77" s="1" t="s">
        <v>258</v>
      </c>
      <c r="F77" s="1" t="s">
        <v>271</v>
      </c>
    </row>
    <row r="78" customFormat="false" ht="15" hidden="false" customHeight="true" outlineLevel="0" collapsed="false">
      <c r="A78" s="1" t="n">
        <v>77</v>
      </c>
      <c r="B78" s="1" t="s">
        <v>52</v>
      </c>
      <c r="C78" s="1" t="s">
        <v>300</v>
      </c>
      <c r="D78" s="1" t="s">
        <v>258</v>
      </c>
      <c r="F78" s="1" t="s">
        <v>291</v>
      </c>
    </row>
    <row r="79" customFormat="false" ht="15" hidden="false" customHeight="true" outlineLevel="0" collapsed="false">
      <c r="A79" s="1" t="n">
        <v>78</v>
      </c>
      <c r="B79" s="1" t="s">
        <v>52</v>
      </c>
      <c r="C79" s="1" t="s">
        <v>301</v>
      </c>
      <c r="D79" s="1" t="s">
        <v>258</v>
      </c>
      <c r="F79" s="1" t="s">
        <v>256</v>
      </c>
    </row>
    <row r="80" customFormat="false" ht="15" hidden="false" customHeight="true" outlineLevel="0" collapsed="false">
      <c r="A80" s="1" t="n">
        <v>79</v>
      </c>
      <c r="B80" s="1" t="s">
        <v>52</v>
      </c>
      <c r="C80" s="1" t="s">
        <v>302</v>
      </c>
      <c r="D80" s="1" t="s">
        <v>258</v>
      </c>
    </row>
    <row r="81" customFormat="false" ht="15" hidden="false" customHeight="true" outlineLevel="0" collapsed="false">
      <c r="A81" s="1" t="n">
        <v>80</v>
      </c>
      <c r="B81" s="1" t="s">
        <v>56</v>
      </c>
      <c r="C81" s="1" t="s">
        <v>287</v>
      </c>
      <c r="D81" s="1" t="s">
        <v>258</v>
      </c>
      <c r="F81" s="1" t="s">
        <v>287</v>
      </c>
    </row>
    <row r="82" customFormat="false" ht="15" hidden="false" customHeight="true" outlineLevel="0" collapsed="false">
      <c r="A82" s="1" t="n">
        <v>81</v>
      </c>
      <c r="B82" s="1" t="s">
        <v>56</v>
      </c>
      <c r="C82" s="1" t="s">
        <v>291</v>
      </c>
      <c r="D82" s="1" t="s">
        <v>258</v>
      </c>
      <c r="F82" s="1" t="s">
        <v>291</v>
      </c>
    </row>
    <row r="83" customFormat="false" ht="15" hidden="false" customHeight="true" outlineLevel="0" collapsed="false">
      <c r="A83" s="1" t="n">
        <v>82</v>
      </c>
      <c r="B83" s="1" t="s">
        <v>56</v>
      </c>
      <c r="C83" s="1" t="s">
        <v>303</v>
      </c>
      <c r="D83" s="1" t="s">
        <v>258</v>
      </c>
    </row>
    <row r="84" customFormat="false" ht="15" hidden="false" customHeight="true" outlineLevel="0" collapsed="false">
      <c r="A84" s="1" t="n">
        <v>83</v>
      </c>
      <c r="B84" s="1" t="s">
        <v>56</v>
      </c>
      <c r="C84" s="1" t="s">
        <v>254</v>
      </c>
      <c r="D84" s="1" t="s">
        <v>258</v>
      </c>
      <c r="F84" s="1" t="s">
        <v>254</v>
      </c>
    </row>
    <row r="85" customFormat="false" ht="15" hidden="false" customHeight="true" outlineLevel="0" collapsed="false">
      <c r="A85" s="1" t="n">
        <v>84</v>
      </c>
      <c r="B85" s="1" t="s">
        <v>56</v>
      </c>
      <c r="C85" s="1" t="s">
        <v>222</v>
      </c>
      <c r="D85" s="1" t="s">
        <v>258</v>
      </c>
      <c r="F85" s="1" t="s">
        <v>222</v>
      </c>
    </row>
    <row r="86" customFormat="false" ht="15" hidden="false" customHeight="true" outlineLevel="0" collapsed="false">
      <c r="A86" s="1" t="n">
        <v>85</v>
      </c>
      <c r="B86" s="1" t="s">
        <v>56</v>
      </c>
      <c r="C86" s="1" t="s">
        <v>304</v>
      </c>
      <c r="D86" s="1" t="s">
        <v>258</v>
      </c>
    </row>
    <row r="87" customFormat="false" ht="15" hidden="false" customHeight="true" outlineLevel="0" collapsed="false">
      <c r="A87" s="1" t="n">
        <v>86</v>
      </c>
      <c r="B87" s="1" t="s">
        <v>56</v>
      </c>
      <c r="C87" s="1" t="s">
        <v>305</v>
      </c>
      <c r="D87" s="1" t="s">
        <v>258</v>
      </c>
    </row>
    <row r="88" customFormat="false" ht="15" hidden="false" customHeight="true" outlineLevel="0" collapsed="false">
      <c r="A88" s="1" t="n">
        <v>87</v>
      </c>
      <c r="B88" s="1" t="s">
        <v>60</v>
      </c>
      <c r="C88" s="1" t="s">
        <v>306</v>
      </c>
      <c r="D88" s="1" t="s">
        <v>258</v>
      </c>
      <c r="F88" s="1" t="s">
        <v>274</v>
      </c>
    </row>
    <row r="89" customFormat="false" ht="15" hidden="false" customHeight="true" outlineLevel="0" collapsed="false">
      <c r="A89" s="1" t="n">
        <v>88</v>
      </c>
      <c r="B89" s="1" t="s">
        <v>60</v>
      </c>
      <c r="C89" s="1" t="s">
        <v>307</v>
      </c>
      <c r="D89" s="1" t="s">
        <v>258</v>
      </c>
      <c r="F89" s="1" t="s">
        <v>274</v>
      </c>
    </row>
    <row r="90" customFormat="false" ht="15" hidden="false" customHeight="true" outlineLevel="0" collapsed="false">
      <c r="A90" s="1" t="n">
        <v>89</v>
      </c>
      <c r="B90" s="1" t="s">
        <v>60</v>
      </c>
      <c r="C90" s="1" t="s">
        <v>308</v>
      </c>
      <c r="D90" s="1" t="s">
        <v>258</v>
      </c>
      <c r="F90" s="1" t="s">
        <v>274</v>
      </c>
    </row>
    <row r="91" customFormat="false" ht="15" hidden="false" customHeight="true" outlineLevel="0" collapsed="false">
      <c r="A91" s="1" t="n">
        <v>90</v>
      </c>
      <c r="B91" s="1" t="s">
        <v>60</v>
      </c>
      <c r="C91" s="1" t="s">
        <v>309</v>
      </c>
      <c r="D91" s="1" t="s">
        <v>258</v>
      </c>
      <c r="F91" s="1" t="s">
        <v>248</v>
      </c>
    </row>
    <row r="92" customFormat="false" ht="15" hidden="false" customHeight="true" outlineLevel="0" collapsed="false">
      <c r="A92" s="1" t="n">
        <v>91</v>
      </c>
      <c r="B92" s="1" t="s">
        <v>60</v>
      </c>
      <c r="C92" s="1" t="s">
        <v>240</v>
      </c>
      <c r="D92" s="1" t="s">
        <v>310</v>
      </c>
      <c r="F92" s="1" t="s">
        <v>242</v>
      </c>
    </row>
    <row r="93" customFormat="false" ht="15" hidden="false" customHeight="true" outlineLevel="0" collapsed="false">
      <c r="A93" s="1" t="n">
        <v>92</v>
      </c>
      <c r="B93" s="1" t="s">
        <v>60</v>
      </c>
      <c r="C93" s="1" t="s">
        <v>287</v>
      </c>
      <c r="D93" s="1" t="s">
        <v>258</v>
      </c>
      <c r="F93" s="1" t="s">
        <v>287</v>
      </c>
    </row>
    <row r="94" customFormat="false" ht="15" hidden="false" customHeight="true" outlineLevel="0" collapsed="false">
      <c r="A94" s="1" t="n">
        <v>93</v>
      </c>
      <c r="B94" s="1" t="s">
        <v>60</v>
      </c>
      <c r="C94" s="1" t="s">
        <v>254</v>
      </c>
      <c r="D94" s="1" t="s">
        <v>258</v>
      </c>
      <c r="F94" s="1" t="s">
        <v>254</v>
      </c>
    </row>
    <row r="95" customFormat="false" ht="15" hidden="false" customHeight="true" outlineLevel="0" collapsed="false">
      <c r="A95" s="1" t="n">
        <v>94</v>
      </c>
      <c r="B95" s="1" t="s">
        <v>60</v>
      </c>
      <c r="C95" s="1" t="s">
        <v>311</v>
      </c>
      <c r="D95" s="1" t="s">
        <v>258</v>
      </c>
      <c r="F95" s="1" t="s">
        <v>247</v>
      </c>
    </row>
    <row r="96" customFormat="false" ht="15" hidden="false" customHeight="true" outlineLevel="0" collapsed="false">
      <c r="A96" s="1" t="n">
        <v>95</v>
      </c>
      <c r="B96" s="1" t="s">
        <v>60</v>
      </c>
      <c r="C96" s="1" t="s">
        <v>312</v>
      </c>
      <c r="D96" s="1" t="s">
        <v>258</v>
      </c>
      <c r="F96" s="1" t="s">
        <v>250</v>
      </c>
    </row>
    <row r="97" customFormat="false" ht="15" hidden="false" customHeight="true" outlineLevel="0" collapsed="false">
      <c r="A97" s="1" t="n">
        <v>96</v>
      </c>
      <c r="B97" s="1" t="s">
        <v>60</v>
      </c>
      <c r="C97" s="1" t="s">
        <v>305</v>
      </c>
      <c r="D97" s="1" t="s">
        <v>258</v>
      </c>
    </row>
    <row r="98" customFormat="false" ht="15" hidden="false" customHeight="true" outlineLevel="0" collapsed="false">
      <c r="A98" s="1" t="n">
        <v>97</v>
      </c>
      <c r="B98" s="1" t="s">
        <v>60</v>
      </c>
      <c r="C98" s="1" t="s">
        <v>275</v>
      </c>
      <c r="D98" s="1" t="s">
        <v>258</v>
      </c>
      <c r="F98" s="1" t="s">
        <v>276</v>
      </c>
    </row>
    <row r="99" customFormat="false" ht="15" hidden="false" customHeight="true" outlineLevel="0" collapsed="false">
      <c r="A99" s="1" t="n">
        <v>98</v>
      </c>
      <c r="B99" s="1" t="s">
        <v>64</v>
      </c>
      <c r="C99" s="1" t="s">
        <v>313</v>
      </c>
      <c r="D99" s="1" t="s">
        <v>258</v>
      </c>
    </row>
    <row r="100" customFormat="false" ht="15" hidden="false" customHeight="true" outlineLevel="0" collapsed="false">
      <c r="A100" s="1" t="n">
        <v>99</v>
      </c>
      <c r="B100" s="1" t="s">
        <v>64</v>
      </c>
      <c r="C100" s="1" t="s">
        <v>314</v>
      </c>
      <c r="D100" s="1" t="s">
        <v>258</v>
      </c>
      <c r="F100" s="1" t="s">
        <v>315</v>
      </c>
    </row>
    <row r="101" customFormat="false" ht="15" hidden="false" customHeight="true" outlineLevel="0" collapsed="false">
      <c r="A101" s="1" t="n">
        <v>100</v>
      </c>
      <c r="B101" s="1" t="s">
        <v>64</v>
      </c>
      <c r="C101" s="1" t="s">
        <v>316</v>
      </c>
      <c r="D101" s="1" t="s">
        <v>258</v>
      </c>
      <c r="F101" s="1" t="s">
        <v>271</v>
      </c>
    </row>
    <row r="102" customFormat="false" ht="15" hidden="false" customHeight="true" outlineLevel="0" collapsed="false">
      <c r="A102" s="1" t="n">
        <v>101</v>
      </c>
      <c r="B102" s="1" t="s">
        <v>64</v>
      </c>
      <c r="C102" s="1" t="s">
        <v>281</v>
      </c>
      <c r="D102" s="1" t="s">
        <v>258</v>
      </c>
      <c r="F102" s="1" t="s">
        <v>250</v>
      </c>
    </row>
    <row r="103" customFormat="false" ht="15" hidden="false" customHeight="true" outlineLevel="0" collapsed="false">
      <c r="A103" s="1" t="n">
        <v>102</v>
      </c>
      <c r="B103" s="1" t="s">
        <v>64</v>
      </c>
      <c r="C103" s="1" t="s">
        <v>248</v>
      </c>
      <c r="D103" s="1" t="s">
        <v>258</v>
      </c>
      <c r="F103" s="1" t="s">
        <v>248</v>
      </c>
    </row>
    <row r="104" customFormat="false" ht="15" hidden="false" customHeight="true" outlineLevel="0" collapsed="false">
      <c r="A104" s="1" t="n">
        <v>103</v>
      </c>
      <c r="B104" s="1" t="s">
        <v>64</v>
      </c>
      <c r="C104" s="1" t="s">
        <v>317</v>
      </c>
      <c r="D104" s="1" t="s">
        <v>258</v>
      </c>
      <c r="F104" s="1" t="s">
        <v>274</v>
      </c>
    </row>
    <row r="105" customFormat="false" ht="15" hidden="false" customHeight="true" outlineLevel="0" collapsed="false">
      <c r="A105" s="1" t="n">
        <v>104</v>
      </c>
      <c r="B105" s="1" t="s">
        <v>64</v>
      </c>
      <c r="C105" s="1" t="s">
        <v>318</v>
      </c>
      <c r="D105" s="1" t="s">
        <v>258</v>
      </c>
      <c r="F105" s="1" t="s">
        <v>271</v>
      </c>
    </row>
    <row r="106" customFormat="false" ht="15" hidden="false" customHeight="true" outlineLevel="0" collapsed="false">
      <c r="A106" s="1" t="n">
        <v>105</v>
      </c>
      <c r="B106" s="1" t="s">
        <v>64</v>
      </c>
      <c r="C106" s="1" t="s">
        <v>319</v>
      </c>
      <c r="D106" s="1" t="s">
        <v>258</v>
      </c>
      <c r="F106" s="1" t="s">
        <v>256</v>
      </c>
    </row>
    <row r="107" customFormat="false" ht="15" hidden="false" customHeight="true" outlineLevel="0" collapsed="false">
      <c r="A107" s="1" t="n">
        <v>106</v>
      </c>
      <c r="B107" s="1" t="s">
        <v>64</v>
      </c>
      <c r="C107" s="1" t="s">
        <v>320</v>
      </c>
      <c r="D107" s="1" t="s">
        <v>258</v>
      </c>
    </row>
    <row r="108" customFormat="false" ht="15" hidden="false" customHeight="true" outlineLevel="0" collapsed="false">
      <c r="A108" s="1" t="n">
        <v>107</v>
      </c>
      <c r="B108" s="1" t="s">
        <v>64</v>
      </c>
      <c r="C108" s="1" t="s">
        <v>297</v>
      </c>
      <c r="D108" s="1" t="s">
        <v>258</v>
      </c>
      <c r="F108" s="1" t="s">
        <v>261</v>
      </c>
    </row>
    <row r="109" customFormat="false" ht="15" hidden="false" customHeight="true" outlineLevel="0" collapsed="false">
      <c r="A109" s="1" t="n">
        <v>108</v>
      </c>
      <c r="B109" s="1" t="s">
        <v>68</v>
      </c>
      <c r="C109" s="1" t="s">
        <v>240</v>
      </c>
      <c r="D109" s="1" t="s">
        <v>258</v>
      </c>
      <c r="F109" s="1" t="s">
        <v>242</v>
      </c>
    </row>
    <row r="110" customFormat="false" ht="15" hidden="false" customHeight="true" outlineLevel="0" collapsed="false">
      <c r="A110" s="1" t="n">
        <v>109</v>
      </c>
      <c r="B110" s="1" t="s">
        <v>68</v>
      </c>
      <c r="C110" s="1" t="s">
        <v>286</v>
      </c>
      <c r="D110" s="1" t="s">
        <v>258</v>
      </c>
      <c r="F110" s="1" t="s">
        <v>247</v>
      </c>
    </row>
    <row r="111" customFormat="false" ht="15" hidden="false" customHeight="true" outlineLevel="0" collapsed="false">
      <c r="A111" s="1" t="n">
        <v>110</v>
      </c>
      <c r="B111" s="1" t="s">
        <v>68</v>
      </c>
      <c r="C111" s="1" t="s">
        <v>321</v>
      </c>
      <c r="D111" s="1" t="s">
        <v>258</v>
      </c>
    </row>
    <row r="112" customFormat="false" ht="15" hidden="false" customHeight="true" outlineLevel="0" collapsed="false">
      <c r="A112" s="1" t="n">
        <v>111</v>
      </c>
      <c r="B112" s="1" t="s">
        <v>68</v>
      </c>
      <c r="C112" s="1" t="s">
        <v>276</v>
      </c>
      <c r="D112" s="1" t="s">
        <v>258</v>
      </c>
      <c r="F112" s="1" t="s">
        <v>276</v>
      </c>
    </row>
    <row r="113" customFormat="false" ht="15" hidden="false" customHeight="true" outlineLevel="0" collapsed="false">
      <c r="A113" s="1" t="n">
        <v>112</v>
      </c>
      <c r="B113" s="1" t="s">
        <v>68</v>
      </c>
      <c r="C113" s="1" t="s">
        <v>322</v>
      </c>
      <c r="D113" s="1" t="s">
        <v>258</v>
      </c>
      <c r="F113" s="1" t="s">
        <v>271</v>
      </c>
    </row>
    <row r="114" customFormat="false" ht="15" hidden="false" customHeight="true" outlineLevel="0" collapsed="false">
      <c r="A114" s="1" t="n">
        <v>113</v>
      </c>
      <c r="B114" s="1" t="s">
        <v>68</v>
      </c>
      <c r="C114" s="1" t="s">
        <v>254</v>
      </c>
      <c r="D114" s="1" t="s">
        <v>258</v>
      </c>
      <c r="F114" s="1" t="s">
        <v>254</v>
      </c>
    </row>
    <row r="115" customFormat="false" ht="15" hidden="false" customHeight="true" outlineLevel="0" collapsed="false">
      <c r="A115" s="1" t="n">
        <v>114</v>
      </c>
      <c r="B115" s="1" t="s">
        <v>68</v>
      </c>
      <c r="C115" s="1" t="s">
        <v>323</v>
      </c>
      <c r="D115" s="1" t="s">
        <v>258</v>
      </c>
      <c r="F115" s="1" t="s">
        <v>274</v>
      </c>
    </row>
    <row r="116" customFormat="false" ht="15" hidden="false" customHeight="true" outlineLevel="0" collapsed="false">
      <c r="A116" s="1" t="n">
        <v>115</v>
      </c>
      <c r="B116" s="1" t="s">
        <v>68</v>
      </c>
      <c r="C116" s="1" t="s">
        <v>248</v>
      </c>
      <c r="D116" s="1" t="s">
        <v>258</v>
      </c>
      <c r="F116" s="1" t="s">
        <v>248</v>
      </c>
    </row>
    <row r="117" customFormat="false" ht="15" hidden="false" customHeight="true" outlineLevel="0" collapsed="false">
      <c r="A117" s="1" t="n">
        <v>116</v>
      </c>
      <c r="B117" s="1" t="s">
        <v>71</v>
      </c>
      <c r="C117" s="1" t="s">
        <v>319</v>
      </c>
      <c r="D117" s="1" t="s">
        <v>258</v>
      </c>
      <c r="F117" s="1" t="s">
        <v>256</v>
      </c>
    </row>
    <row r="118" customFormat="false" ht="15" hidden="false" customHeight="true" outlineLevel="0" collapsed="false">
      <c r="A118" s="1" t="n">
        <v>117</v>
      </c>
      <c r="B118" s="1" t="s">
        <v>71</v>
      </c>
      <c r="C118" s="1" t="s">
        <v>278</v>
      </c>
      <c r="D118" s="1" t="s">
        <v>258</v>
      </c>
      <c r="F118" s="1" t="s">
        <v>261</v>
      </c>
    </row>
    <row r="119" customFormat="false" ht="15" hidden="false" customHeight="true" outlineLevel="0" collapsed="false">
      <c r="A119" s="1" t="n">
        <v>118</v>
      </c>
      <c r="B119" s="1" t="s">
        <v>71</v>
      </c>
      <c r="C119" s="1" t="s">
        <v>240</v>
      </c>
      <c r="D119" s="1" t="s">
        <v>258</v>
      </c>
      <c r="F119" s="1" t="s">
        <v>242</v>
      </c>
    </row>
    <row r="120" customFormat="false" ht="15" hidden="false" customHeight="true" outlineLevel="0" collapsed="false">
      <c r="A120" s="1" t="n">
        <v>119</v>
      </c>
      <c r="B120" s="1" t="s">
        <v>71</v>
      </c>
      <c r="C120" s="1" t="s">
        <v>286</v>
      </c>
      <c r="D120" s="1" t="s">
        <v>258</v>
      </c>
      <c r="F120" s="1" t="s">
        <v>247</v>
      </c>
    </row>
    <row r="121" customFormat="false" ht="15" hidden="false" customHeight="true" outlineLevel="0" collapsed="false">
      <c r="A121" s="1" t="n">
        <v>120</v>
      </c>
      <c r="B121" s="1" t="s">
        <v>71</v>
      </c>
      <c r="C121" s="1" t="s">
        <v>324</v>
      </c>
      <c r="D121" s="1" t="s">
        <v>258</v>
      </c>
      <c r="F121" s="1" t="s">
        <v>271</v>
      </c>
    </row>
    <row r="122" customFormat="false" ht="15" hidden="false" customHeight="true" outlineLevel="0" collapsed="false">
      <c r="A122" s="1" t="n">
        <v>121</v>
      </c>
      <c r="B122" s="1" t="s">
        <v>71</v>
      </c>
      <c r="C122" s="1" t="s">
        <v>287</v>
      </c>
      <c r="D122" s="1" t="s">
        <v>258</v>
      </c>
      <c r="F122" s="1" t="s">
        <v>287</v>
      </c>
    </row>
    <row r="123" customFormat="false" ht="15" hidden="false" customHeight="true" outlineLevel="0" collapsed="false">
      <c r="A123" s="1" t="n">
        <v>122</v>
      </c>
      <c r="B123" s="1" t="s">
        <v>71</v>
      </c>
      <c r="C123" s="1" t="s">
        <v>325</v>
      </c>
      <c r="D123" s="1" t="s">
        <v>258</v>
      </c>
      <c r="F123" s="1" t="s">
        <v>250</v>
      </c>
    </row>
    <row r="124" customFormat="false" ht="15" hidden="false" customHeight="true" outlineLevel="0" collapsed="false">
      <c r="A124" s="1" t="n">
        <v>123</v>
      </c>
      <c r="B124" s="1" t="s">
        <v>74</v>
      </c>
      <c r="C124" s="1" t="s">
        <v>240</v>
      </c>
      <c r="D124" s="1" t="s">
        <v>258</v>
      </c>
      <c r="F124" s="1" t="s">
        <v>242</v>
      </c>
    </row>
    <row r="125" customFormat="false" ht="15" hidden="false" customHeight="true" outlineLevel="0" collapsed="false">
      <c r="A125" s="1" t="n">
        <v>124</v>
      </c>
      <c r="B125" s="1" t="s">
        <v>74</v>
      </c>
      <c r="C125" s="1" t="s">
        <v>243</v>
      </c>
      <c r="D125" s="1" t="s">
        <v>326</v>
      </c>
      <c r="F125" s="1" t="s">
        <v>242</v>
      </c>
    </row>
    <row r="126" customFormat="false" ht="15" hidden="false" customHeight="true" outlineLevel="0" collapsed="false">
      <c r="A126" s="1" t="n">
        <v>125</v>
      </c>
      <c r="B126" s="1" t="s">
        <v>74</v>
      </c>
      <c r="C126" s="1" t="s">
        <v>246</v>
      </c>
      <c r="D126" s="1" t="s">
        <v>258</v>
      </c>
      <c r="F126" s="1" t="s">
        <v>247</v>
      </c>
    </row>
    <row r="127" customFormat="false" ht="15" hidden="false" customHeight="true" outlineLevel="0" collapsed="false">
      <c r="A127" s="1" t="n">
        <v>126</v>
      </c>
      <c r="B127" s="1" t="s">
        <v>74</v>
      </c>
      <c r="C127" s="1" t="s">
        <v>327</v>
      </c>
      <c r="D127" s="1" t="s">
        <v>258</v>
      </c>
      <c r="F127" s="1" t="s">
        <v>261</v>
      </c>
    </row>
    <row r="128" customFormat="false" ht="15" hidden="false" customHeight="true" outlineLevel="0" collapsed="false">
      <c r="A128" s="1" t="n">
        <v>127</v>
      </c>
      <c r="B128" s="1" t="s">
        <v>74</v>
      </c>
      <c r="C128" s="1" t="s">
        <v>328</v>
      </c>
      <c r="D128" s="1" t="s">
        <v>258</v>
      </c>
      <c r="F128" s="1" t="s">
        <v>256</v>
      </c>
    </row>
    <row r="129" customFormat="false" ht="15" hidden="false" customHeight="true" outlineLevel="0" collapsed="false">
      <c r="A129" s="1" t="n">
        <v>128</v>
      </c>
      <c r="B129" s="1" t="s">
        <v>74</v>
      </c>
      <c r="C129" s="1" t="s">
        <v>248</v>
      </c>
      <c r="D129" s="1" t="s">
        <v>258</v>
      </c>
      <c r="F129" s="1" t="s">
        <v>248</v>
      </c>
    </row>
    <row r="130" customFormat="false" ht="15" hidden="false" customHeight="true" outlineLevel="0" collapsed="false">
      <c r="A130" s="1" t="n">
        <v>129</v>
      </c>
      <c r="B130" s="1" t="s">
        <v>78</v>
      </c>
      <c r="C130" s="1" t="s">
        <v>329</v>
      </c>
      <c r="D130" s="1" t="s">
        <v>258</v>
      </c>
    </row>
    <row r="131" customFormat="false" ht="15" hidden="false" customHeight="true" outlineLevel="0" collapsed="false">
      <c r="A131" s="1" t="n">
        <v>130</v>
      </c>
      <c r="B131" s="1" t="s">
        <v>78</v>
      </c>
      <c r="C131" s="1" t="s">
        <v>330</v>
      </c>
      <c r="D131" s="1" t="s">
        <v>258</v>
      </c>
    </row>
    <row r="132" customFormat="false" ht="15" hidden="false" customHeight="true" outlineLevel="0" collapsed="false">
      <c r="A132" s="1" t="n">
        <v>131</v>
      </c>
      <c r="B132" s="1" t="s">
        <v>78</v>
      </c>
      <c r="C132" s="1" t="s">
        <v>240</v>
      </c>
      <c r="D132" s="1" t="s">
        <v>258</v>
      </c>
      <c r="F132" s="1" t="s">
        <v>242</v>
      </c>
    </row>
    <row r="133" customFormat="false" ht="15" hidden="false" customHeight="true" outlineLevel="0" collapsed="false">
      <c r="A133" s="1" t="n">
        <v>132</v>
      </c>
      <c r="B133" s="1" t="s">
        <v>78</v>
      </c>
      <c r="C133" s="1" t="s">
        <v>286</v>
      </c>
      <c r="D133" s="1" t="s">
        <v>258</v>
      </c>
      <c r="F133" s="1" t="s">
        <v>247</v>
      </c>
    </row>
    <row r="134" customFormat="false" ht="15" hidden="false" customHeight="true" outlineLevel="0" collapsed="false">
      <c r="A134" s="1" t="n">
        <v>133</v>
      </c>
      <c r="B134" s="1" t="s">
        <v>78</v>
      </c>
      <c r="C134" s="1" t="s">
        <v>331</v>
      </c>
      <c r="D134" s="1" t="s">
        <v>258</v>
      </c>
      <c r="F134" s="1" t="s">
        <v>250</v>
      </c>
    </row>
    <row r="135" customFormat="false" ht="15" hidden="false" customHeight="true" outlineLevel="0" collapsed="false">
      <c r="A135" s="1" t="n">
        <v>134</v>
      </c>
      <c r="B135" s="1" t="s">
        <v>78</v>
      </c>
      <c r="C135" s="1" t="s">
        <v>332</v>
      </c>
      <c r="D135" s="1" t="s">
        <v>258</v>
      </c>
      <c r="F135" s="1" t="s">
        <v>248</v>
      </c>
    </row>
    <row r="136" customFormat="false" ht="15" hidden="false" customHeight="true" outlineLevel="0" collapsed="false">
      <c r="A136" s="1" t="n">
        <v>135</v>
      </c>
      <c r="B136" s="1" t="s">
        <v>78</v>
      </c>
      <c r="C136" s="1" t="s">
        <v>275</v>
      </c>
      <c r="D136" s="1" t="s">
        <v>258</v>
      </c>
      <c r="F136" s="1" t="s">
        <v>276</v>
      </c>
    </row>
    <row r="137" customFormat="false" ht="15" hidden="false" customHeight="true" outlineLevel="0" collapsed="false">
      <c r="A137" s="1" t="n">
        <v>136</v>
      </c>
      <c r="B137" s="1" t="s">
        <v>78</v>
      </c>
      <c r="C137" s="1" t="s">
        <v>333</v>
      </c>
      <c r="D137" s="1" t="s">
        <v>258</v>
      </c>
    </row>
    <row r="138" customFormat="false" ht="15" hidden="false" customHeight="true" outlineLevel="0" collapsed="false">
      <c r="A138" s="1" t="n">
        <v>137</v>
      </c>
      <c r="B138" s="1" t="s">
        <v>81</v>
      </c>
      <c r="C138" s="1" t="s">
        <v>334</v>
      </c>
      <c r="D138" s="1" t="s">
        <v>335</v>
      </c>
      <c r="F138" s="1" t="s">
        <v>276</v>
      </c>
    </row>
    <row r="139" customFormat="false" ht="15" hidden="false" customHeight="true" outlineLevel="0" collapsed="false">
      <c r="A139" s="1" t="n">
        <v>138</v>
      </c>
      <c r="B139" s="1" t="s">
        <v>81</v>
      </c>
      <c r="C139" s="1" t="s">
        <v>336</v>
      </c>
      <c r="D139" s="1" t="s">
        <v>337</v>
      </c>
    </row>
    <row r="140" customFormat="false" ht="15" hidden="false" customHeight="true" outlineLevel="0" collapsed="false">
      <c r="A140" s="1" t="n">
        <v>139</v>
      </c>
      <c r="B140" s="1" t="s">
        <v>81</v>
      </c>
      <c r="C140" s="1" t="s">
        <v>240</v>
      </c>
      <c r="D140" s="1" t="s">
        <v>258</v>
      </c>
      <c r="F140" s="1" t="s">
        <v>242</v>
      </c>
    </row>
    <row r="141" customFormat="false" ht="15" hidden="false" customHeight="true" outlineLevel="0" collapsed="false">
      <c r="A141" s="1" t="n">
        <v>140</v>
      </c>
      <c r="B141" s="1" t="s">
        <v>81</v>
      </c>
      <c r="C141" s="1" t="s">
        <v>260</v>
      </c>
      <c r="D141" s="1" t="s">
        <v>258</v>
      </c>
      <c r="F141" s="1" t="s">
        <v>261</v>
      </c>
    </row>
    <row r="142" customFormat="false" ht="15" hidden="false" customHeight="true" outlineLevel="0" collapsed="false">
      <c r="A142" s="1" t="n">
        <v>141</v>
      </c>
      <c r="B142" s="1" t="s">
        <v>81</v>
      </c>
      <c r="C142" s="1" t="s">
        <v>338</v>
      </c>
      <c r="D142" s="1" t="s">
        <v>258</v>
      </c>
      <c r="F142" s="1" t="s">
        <v>339</v>
      </c>
    </row>
    <row r="143" customFormat="false" ht="15" hidden="false" customHeight="true" outlineLevel="0" collapsed="false">
      <c r="A143" s="1" t="n">
        <v>142</v>
      </c>
      <c r="B143" s="1" t="s">
        <v>81</v>
      </c>
      <c r="C143" s="1" t="s">
        <v>340</v>
      </c>
      <c r="D143" s="1" t="s">
        <v>258</v>
      </c>
    </row>
    <row r="144" customFormat="false" ht="15" hidden="false" customHeight="true" outlineLevel="0" collapsed="false">
      <c r="A144" s="1" t="n">
        <v>143</v>
      </c>
      <c r="B144" s="1" t="s">
        <v>81</v>
      </c>
      <c r="C144" s="1" t="s">
        <v>248</v>
      </c>
      <c r="D144" s="1" t="s">
        <v>258</v>
      </c>
      <c r="F144" s="1" t="s">
        <v>248</v>
      </c>
    </row>
    <row r="145" customFormat="false" ht="15" hidden="false" customHeight="true" outlineLevel="0" collapsed="false">
      <c r="A145" s="1" t="n">
        <v>144</v>
      </c>
      <c r="B145" s="1" t="s">
        <v>84</v>
      </c>
      <c r="C145" s="1" t="s">
        <v>341</v>
      </c>
      <c r="D145" s="1" t="s">
        <v>342</v>
      </c>
    </row>
    <row r="146" customFormat="false" ht="15" hidden="false" customHeight="true" outlineLevel="0" collapsed="false">
      <c r="A146" s="1" t="n">
        <v>145</v>
      </c>
      <c r="B146" s="1" t="s">
        <v>84</v>
      </c>
      <c r="C146" s="1" t="s">
        <v>343</v>
      </c>
      <c r="D146" s="1" t="s">
        <v>258</v>
      </c>
    </row>
    <row r="147" customFormat="false" ht="15" hidden="false" customHeight="true" outlineLevel="0" collapsed="false">
      <c r="A147" s="1" t="n">
        <v>146</v>
      </c>
      <c r="B147" s="1" t="s">
        <v>84</v>
      </c>
      <c r="C147" s="1" t="s">
        <v>260</v>
      </c>
      <c r="D147" s="1" t="s">
        <v>258</v>
      </c>
      <c r="F147" s="1" t="s">
        <v>261</v>
      </c>
    </row>
    <row r="148" customFormat="false" ht="15" hidden="false" customHeight="true" outlineLevel="0" collapsed="false">
      <c r="A148" s="1" t="n">
        <v>147</v>
      </c>
      <c r="B148" s="1" t="s">
        <v>84</v>
      </c>
      <c r="C148" s="1" t="s">
        <v>344</v>
      </c>
      <c r="D148" s="1" t="s">
        <v>258</v>
      </c>
    </row>
    <row r="149" customFormat="false" ht="15" hidden="false" customHeight="true" outlineLevel="0" collapsed="false">
      <c r="A149" s="1" t="n">
        <v>148</v>
      </c>
      <c r="B149" s="1" t="s">
        <v>87</v>
      </c>
      <c r="C149" s="1" t="s">
        <v>240</v>
      </c>
      <c r="D149" s="1" t="s">
        <v>258</v>
      </c>
      <c r="F149" s="1" t="s">
        <v>242</v>
      </c>
    </row>
    <row r="150" customFormat="false" ht="15" hidden="false" customHeight="true" outlineLevel="0" collapsed="false">
      <c r="A150" s="1" t="n">
        <v>149</v>
      </c>
      <c r="B150" s="1" t="s">
        <v>87</v>
      </c>
      <c r="C150" s="1" t="s">
        <v>246</v>
      </c>
      <c r="D150" s="1" t="s">
        <v>258</v>
      </c>
      <c r="F150" s="1" t="s">
        <v>247</v>
      </c>
    </row>
    <row r="151" customFormat="false" ht="15" hidden="false" customHeight="true" outlineLevel="0" collapsed="false">
      <c r="A151" s="1" t="n">
        <v>150</v>
      </c>
      <c r="B151" s="1" t="s">
        <v>87</v>
      </c>
      <c r="C151" s="1" t="s">
        <v>319</v>
      </c>
      <c r="D151" s="1" t="s">
        <v>258</v>
      </c>
      <c r="F151" s="1" t="s">
        <v>256</v>
      </c>
    </row>
    <row r="152" customFormat="false" ht="15" hidden="false" customHeight="true" outlineLevel="0" collapsed="false">
      <c r="A152" s="1" t="n">
        <v>151</v>
      </c>
      <c r="B152" s="1" t="s">
        <v>87</v>
      </c>
      <c r="C152" s="1" t="s">
        <v>345</v>
      </c>
      <c r="D152" s="1" t="s">
        <v>258</v>
      </c>
    </row>
    <row r="153" customFormat="false" ht="15" hidden="false" customHeight="true" outlineLevel="0" collapsed="false">
      <c r="A153" s="1" t="n">
        <v>152</v>
      </c>
      <c r="B153" s="1" t="s">
        <v>87</v>
      </c>
      <c r="C153" s="1" t="s">
        <v>346</v>
      </c>
      <c r="D153" s="1" t="s">
        <v>258</v>
      </c>
      <c r="F153" s="1" t="s">
        <v>261</v>
      </c>
    </row>
    <row r="154" customFormat="false" ht="15" hidden="false" customHeight="true" outlineLevel="0" collapsed="false">
      <c r="A154" s="1" t="n">
        <v>153</v>
      </c>
      <c r="B154" s="1" t="s">
        <v>91</v>
      </c>
      <c r="C154" s="1" t="s">
        <v>278</v>
      </c>
      <c r="D154" s="1" t="s">
        <v>258</v>
      </c>
      <c r="F154" s="1" t="s">
        <v>261</v>
      </c>
    </row>
    <row r="155" customFormat="false" ht="15" hidden="false" customHeight="true" outlineLevel="0" collapsed="false">
      <c r="A155" s="1" t="n">
        <v>154</v>
      </c>
      <c r="B155" s="1" t="s">
        <v>91</v>
      </c>
      <c r="C155" s="1" t="s">
        <v>347</v>
      </c>
      <c r="D155" s="1" t="s">
        <v>258</v>
      </c>
      <c r="F155" s="1" t="s">
        <v>261</v>
      </c>
    </row>
    <row r="156" customFormat="false" ht="15" hidden="false" customHeight="true" outlineLevel="0" collapsed="false">
      <c r="A156" s="1" t="n">
        <v>155</v>
      </c>
      <c r="B156" s="1" t="s">
        <v>91</v>
      </c>
      <c r="C156" s="1" t="s">
        <v>348</v>
      </c>
      <c r="D156" s="1" t="s">
        <v>258</v>
      </c>
      <c r="F156" s="1" t="s">
        <v>261</v>
      </c>
    </row>
    <row r="157" customFormat="false" ht="15" hidden="false" customHeight="true" outlineLevel="0" collapsed="false">
      <c r="A157" s="1" t="n">
        <v>156</v>
      </c>
      <c r="B157" s="1" t="s">
        <v>91</v>
      </c>
      <c r="C157" s="1" t="s">
        <v>240</v>
      </c>
      <c r="D157" s="1" t="s">
        <v>258</v>
      </c>
      <c r="F157" s="1" t="s">
        <v>242</v>
      </c>
    </row>
    <row r="158" customFormat="false" ht="15" hidden="false" customHeight="true" outlineLevel="0" collapsed="false">
      <c r="A158" s="1" t="n">
        <v>157</v>
      </c>
      <c r="B158" s="1" t="s">
        <v>91</v>
      </c>
      <c r="C158" s="1" t="s">
        <v>349</v>
      </c>
      <c r="D158" s="1" t="s">
        <v>258</v>
      </c>
      <c r="F158" s="1" t="s">
        <v>247</v>
      </c>
    </row>
    <row r="159" customFormat="false" ht="15" hidden="false" customHeight="true" outlineLevel="0" collapsed="false">
      <c r="A159" s="1" t="n">
        <v>158</v>
      </c>
      <c r="B159" s="1" t="s">
        <v>91</v>
      </c>
      <c r="C159" s="1" t="s">
        <v>350</v>
      </c>
      <c r="D159" s="1" t="s">
        <v>258</v>
      </c>
      <c r="F159" s="1" t="s">
        <v>247</v>
      </c>
    </row>
    <row r="160" customFormat="false" ht="15" hidden="false" customHeight="true" outlineLevel="0" collapsed="false">
      <c r="A160" s="1" t="n">
        <v>159</v>
      </c>
      <c r="B160" s="1" t="s">
        <v>91</v>
      </c>
      <c r="C160" s="1" t="s">
        <v>340</v>
      </c>
      <c r="D160" s="1" t="s">
        <v>258</v>
      </c>
    </row>
    <row r="161" customFormat="false" ht="15" hidden="false" customHeight="true" outlineLevel="0" collapsed="false">
      <c r="A161" s="1" t="n">
        <v>160</v>
      </c>
      <c r="B161" s="1" t="s">
        <v>94</v>
      </c>
      <c r="C161" s="1" t="s">
        <v>351</v>
      </c>
      <c r="D161" s="1" t="s">
        <v>352</v>
      </c>
      <c r="F161" s="1" t="s">
        <v>242</v>
      </c>
    </row>
    <row r="162" customFormat="false" ht="15" hidden="false" customHeight="true" outlineLevel="0" collapsed="false">
      <c r="A162" s="1" t="n">
        <v>161</v>
      </c>
      <c r="B162" s="1" t="s">
        <v>94</v>
      </c>
      <c r="C162" s="1" t="s">
        <v>353</v>
      </c>
      <c r="D162" s="1" t="s">
        <v>354</v>
      </c>
      <c r="F162" s="1" t="s">
        <v>242</v>
      </c>
    </row>
    <row r="163" customFormat="false" ht="15" hidden="false" customHeight="true" outlineLevel="0" collapsed="false">
      <c r="A163" s="1" t="n">
        <v>162</v>
      </c>
      <c r="B163" s="1" t="s">
        <v>94</v>
      </c>
      <c r="C163" s="1" t="s">
        <v>355</v>
      </c>
      <c r="D163" s="1" t="s">
        <v>356</v>
      </c>
    </row>
    <row r="164" customFormat="false" ht="15" hidden="false" customHeight="true" outlineLevel="0" collapsed="false">
      <c r="A164" s="1" t="n">
        <v>163</v>
      </c>
      <c r="B164" s="1" t="s">
        <v>94</v>
      </c>
      <c r="C164" s="1" t="s">
        <v>357</v>
      </c>
      <c r="D164" s="1" t="s">
        <v>358</v>
      </c>
      <c r="F164" s="1" t="s">
        <v>287</v>
      </c>
    </row>
    <row r="165" customFormat="false" ht="15" hidden="false" customHeight="true" outlineLevel="0" collapsed="false">
      <c r="A165" s="1" t="n">
        <v>164</v>
      </c>
      <c r="B165" s="1" t="s">
        <v>98</v>
      </c>
      <c r="C165" s="1" t="s">
        <v>240</v>
      </c>
      <c r="D165" s="1" t="s">
        <v>258</v>
      </c>
      <c r="F165" s="1" t="s">
        <v>242</v>
      </c>
    </row>
    <row r="166" customFormat="false" ht="15" hidden="false" customHeight="true" outlineLevel="0" collapsed="false">
      <c r="A166" s="1" t="n">
        <v>165</v>
      </c>
      <c r="B166" s="1" t="s">
        <v>98</v>
      </c>
      <c r="C166" s="1" t="s">
        <v>243</v>
      </c>
      <c r="D166" s="1" t="s">
        <v>258</v>
      </c>
      <c r="F166" s="1" t="s">
        <v>242</v>
      </c>
    </row>
    <row r="167" customFormat="false" ht="15" hidden="false" customHeight="true" outlineLevel="0" collapsed="false">
      <c r="A167" s="1" t="n">
        <v>166</v>
      </c>
      <c r="B167" s="1" t="s">
        <v>98</v>
      </c>
      <c r="C167" s="1" t="s">
        <v>244</v>
      </c>
      <c r="D167" s="1" t="s">
        <v>258</v>
      </c>
      <c r="F167" s="1" t="s">
        <v>242</v>
      </c>
    </row>
    <row r="168" customFormat="false" ht="15" hidden="false" customHeight="true" outlineLevel="0" collapsed="false">
      <c r="A168" s="1" t="n">
        <v>167</v>
      </c>
      <c r="B168" s="1" t="s">
        <v>101</v>
      </c>
      <c r="C168" s="1" t="s">
        <v>359</v>
      </c>
      <c r="D168" s="1" t="s">
        <v>360</v>
      </c>
    </row>
    <row r="169" customFormat="false" ht="15" hidden="false" customHeight="true" outlineLevel="0" collapsed="false">
      <c r="A169" s="1" t="n">
        <v>168</v>
      </c>
      <c r="B169" s="1" t="s">
        <v>101</v>
      </c>
      <c r="C169" s="1" t="s">
        <v>361</v>
      </c>
      <c r="D169" s="1" t="s">
        <v>258</v>
      </c>
    </row>
    <row r="170" customFormat="false" ht="15" hidden="false" customHeight="true" outlineLevel="0" collapsed="false">
      <c r="A170" s="1" t="n">
        <v>169</v>
      </c>
      <c r="B170" s="1" t="s">
        <v>101</v>
      </c>
      <c r="C170" s="1" t="s">
        <v>362</v>
      </c>
      <c r="D170" s="1" t="s">
        <v>258</v>
      </c>
    </row>
    <row r="171" customFormat="false" ht="15" hidden="false" customHeight="true" outlineLevel="0" collapsed="false">
      <c r="A171" s="1" t="n">
        <v>170</v>
      </c>
      <c r="B171" s="1" t="s">
        <v>104</v>
      </c>
      <c r="C171" s="1" t="s">
        <v>240</v>
      </c>
      <c r="D171" s="1" t="s">
        <v>258</v>
      </c>
      <c r="F171" s="1" t="s">
        <v>242</v>
      </c>
    </row>
    <row r="172" customFormat="false" ht="15" hidden="false" customHeight="true" outlineLevel="0" collapsed="false">
      <c r="A172" s="1" t="n">
        <v>171</v>
      </c>
      <c r="B172" s="1" t="s">
        <v>104</v>
      </c>
      <c r="C172" s="1" t="s">
        <v>243</v>
      </c>
      <c r="D172" s="1" t="s">
        <v>258</v>
      </c>
      <c r="F172" s="1" t="s">
        <v>242</v>
      </c>
    </row>
    <row r="173" customFormat="false" ht="15" hidden="false" customHeight="true" outlineLevel="0" collapsed="false">
      <c r="A173" s="1" t="n">
        <v>172</v>
      </c>
      <c r="B173" s="1" t="s">
        <v>104</v>
      </c>
      <c r="C173" s="1" t="s">
        <v>363</v>
      </c>
      <c r="D173" s="1" t="s">
        <v>258</v>
      </c>
      <c r="F173" s="1" t="s">
        <v>242</v>
      </c>
    </row>
    <row r="174" customFormat="false" ht="15" hidden="false" customHeight="true" outlineLevel="0" collapsed="false">
      <c r="A174" s="1" t="n">
        <v>173</v>
      </c>
      <c r="B174" s="1" t="s">
        <v>104</v>
      </c>
      <c r="C174" s="1" t="s">
        <v>286</v>
      </c>
      <c r="D174" s="1" t="s">
        <v>258</v>
      </c>
      <c r="F174" s="1" t="s">
        <v>247</v>
      </c>
    </row>
    <row r="175" customFormat="false" ht="15" hidden="false" customHeight="true" outlineLevel="0" collapsed="false">
      <c r="A175" s="1" t="n">
        <v>174</v>
      </c>
      <c r="B175" s="1" t="s">
        <v>104</v>
      </c>
      <c r="C175" s="1" t="s">
        <v>338</v>
      </c>
      <c r="D175" s="1" t="s">
        <v>258</v>
      </c>
      <c r="F175" s="1" t="s">
        <v>339</v>
      </c>
    </row>
    <row r="176" customFormat="false" ht="15" hidden="false" customHeight="true" outlineLevel="0" collapsed="false">
      <c r="A176" s="1" t="n">
        <v>175</v>
      </c>
      <c r="B176" s="1" t="s">
        <v>104</v>
      </c>
      <c r="C176" s="1" t="s">
        <v>364</v>
      </c>
      <c r="D176" s="1" t="s">
        <v>365</v>
      </c>
    </row>
    <row r="177" customFormat="false" ht="15" hidden="false" customHeight="true" outlineLevel="0" collapsed="false">
      <c r="A177" s="1" t="n">
        <v>176</v>
      </c>
      <c r="B177" s="1" t="s">
        <v>107</v>
      </c>
      <c r="C177" s="1" t="s">
        <v>240</v>
      </c>
      <c r="D177" s="1" t="s">
        <v>258</v>
      </c>
      <c r="F177" s="1" t="s">
        <v>242</v>
      </c>
    </row>
    <row r="178" customFormat="false" ht="15" hidden="false" customHeight="true" outlineLevel="0" collapsed="false">
      <c r="A178" s="1" t="n">
        <v>177</v>
      </c>
      <c r="B178" s="1" t="s">
        <v>107</v>
      </c>
      <c r="C178" s="1" t="s">
        <v>366</v>
      </c>
      <c r="D178" s="1" t="s">
        <v>258</v>
      </c>
    </row>
    <row r="179" customFormat="false" ht="15" hidden="false" customHeight="true" outlineLevel="0" collapsed="false">
      <c r="A179" s="1" t="n">
        <v>178</v>
      </c>
      <c r="B179" s="1" t="s">
        <v>107</v>
      </c>
      <c r="C179" s="1" t="s">
        <v>270</v>
      </c>
      <c r="D179" s="1" t="s">
        <v>258</v>
      </c>
      <c r="F179" s="1" t="s">
        <v>271</v>
      </c>
    </row>
    <row r="180" customFormat="false" ht="15" hidden="false" customHeight="true" outlineLevel="0" collapsed="false">
      <c r="A180" s="1" t="n">
        <v>179</v>
      </c>
      <c r="B180" s="1" t="s">
        <v>107</v>
      </c>
      <c r="C180" s="1" t="s">
        <v>367</v>
      </c>
      <c r="D180" s="1" t="s">
        <v>368</v>
      </c>
      <c r="F180" s="1" t="s">
        <v>369</v>
      </c>
    </row>
    <row r="181" customFormat="false" ht="15" hidden="false" customHeight="true" outlineLevel="0" collapsed="false">
      <c r="A181" s="1" t="n">
        <v>180</v>
      </c>
      <c r="B181" s="1" t="s">
        <v>107</v>
      </c>
      <c r="C181" s="1" t="s">
        <v>370</v>
      </c>
      <c r="D181" s="1" t="s">
        <v>371</v>
      </c>
      <c r="F181" s="1" t="s">
        <v>339</v>
      </c>
    </row>
    <row r="182" customFormat="false" ht="15" hidden="false" customHeight="true" outlineLevel="0" collapsed="false">
      <c r="A182" s="1" t="n">
        <v>181</v>
      </c>
      <c r="B182" s="1" t="s">
        <v>107</v>
      </c>
      <c r="C182" s="1" t="s">
        <v>372</v>
      </c>
      <c r="D182" s="1" t="s">
        <v>373</v>
      </c>
      <c r="F182" s="1" t="s">
        <v>261</v>
      </c>
    </row>
    <row r="183" customFormat="false" ht="15" hidden="false" customHeight="true" outlineLevel="0" collapsed="false">
      <c r="A183" s="1" t="n">
        <v>182</v>
      </c>
      <c r="B183" s="1" t="s">
        <v>107</v>
      </c>
      <c r="C183" s="1" t="s">
        <v>374</v>
      </c>
      <c r="D183" s="1" t="s">
        <v>375</v>
      </c>
      <c r="F183" s="1" t="s">
        <v>254</v>
      </c>
    </row>
    <row r="184" customFormat="false" ht="15" hidden="false" customHeight="true" outlineLevel="0" collapsed="false">
      <c r="A184" s="1" t="n">
        <v>183</v>
      </c>
      <c r="B184" s="1" t="s">
        <v>112</v>
      </c>
      <c r="C184" s="1" t="s">
        <v>278</v>
      </c>
      <c r="D184" s="1" t="s">
        <v>258</v>
      </c>
      <c r="F184" s="1" t="s">
        <v>261</v>
      </c>
    </row>
    <row r="185" customFormat="false" ht="15" hidden="false" customHeight="true" outlineLevel="0" collapsed="false">
      <c r="A185" s="1" t="n">
        <v>184</v>
      </c>
      <c r="B185" s="1" t="s">
        <v>112</v>
      </c>
      <c r="C185" s="1" t="s">
        <v>240</v>
      </c>
      <c r="D185" s="1" t="s">
        <v>258</v>
      </c>
      <c r="F185" s="1" t="s">
        <v>242</v>
      </c>
    </row>
    <row r="186" customFormat="false" ht="15" hidden="false" customHeight="true" outlineLevel="0" collapsed="false">
      <c r="A186" s="1" t="n">
        <v>185</v>
      </c>
      <c r="B186" s="1" t="s">
        <v>112</v>
      </c>
      <c r="C186" s="1" t="s">
        <v>286</v>
      </c>
      <c r="D186" s="1" t="s">
        <v>258</v>
      </c>
      <c r="F186" s="1" t="s">
        <v>247</v>
      </c>
    </row>
    <row r="187" customFormat="false" ht="15" hidden="false" customHeight="true" outlineLevel="0" collapsed="false">
      <c r="A187" s="1" t="n">
        <v>186</v>
      </c>
      <c r="B187" s="1" t="s">
        <v>112</v>
      </c>
      <c r="C187" s="1" t="s">
        <v>319</v>
      </c>
      <c r="D187" s="1" t="s">
        <v>258</v>
      </c>
      <c r="F187" s="1" t="s">
        <v>256</v>
      </c>
    </row>
    <row r="188" customFormat="false" ht="15" hidden="false" customHeight="true" outlineLevel="0" collapsed="false">
      <c r="A188" s="1" t="n">
        <v>187</v>
      </c>
      <c r="B188" s="1" t="s">
        <v>112</v>
      </c>
      <c r="C188" s="1" t="s">
        <v>274</v>
      </c>
      <c r="D188" s="1" t="s">
        <v>258</v>
      </c>
      <c r="F188" s="1" t="s">
        <v>274</v>
      </c>
    </row>
    <row r="189" customFormat="false" ht="15" hidden="false" customHeight="true" outlineLevel="0" collapsed="false">
      <c r="A189" s="1" t="n">
        <v>188</v>
      </c>
      <c r="B189" s="1" t="s">
        <v>112</v>
      </c>
      <c r="C189" s="1" t="s">
        <v>275</v>
      </c>
      <c r="D189" s="1" t="s">
        <v>258</v>
      </c>
      <c r="F189" s="1" t="s">
        <v>276</v>
      </c>
    </row>
    <row r="190" customFormat="false" ht="15" hidden="false" customHeight="true" outlineLevel="0" collapsed="false">
      <c r="A190" s="1" t="n">
        <v>189</v>
      </c>
      <c r="B190" s="1" t="s">
        <v>115</v>
      </c>
      <c r="C190" s="1" t="s">
        <v>240</v>
      </c>
      <c r="D190" s="1" t="s">
        <v>258</v>
      </c>
      <c r="F190" s="1" t="s">
        <v>242</v>
      </c>
    </row>
    <row r="191" customFormat="false" ht="15" hidden="false" customHeight="true" outlineLevel="0" collapsed="false">
      <c r="A191" s="1" t="n">
        <v>190</v>
      </c>
      <c r="B191" s="1" t="s">
        <v>115</v>
      </c>
      <c r="C191" s="1" t="s">
        <v>376</v>
      </c>
      <c r="D191" s="1" t="s">
        <v>377</v>
      </c>
      <c r="F191" s="1" t="s">
        <v>242</v>
      </c>
    </row>
    <row r="192" customFormat="false" ht="15" hidden="false" customHeight="true" outlineLevel="0" collapsed="false">
      <c r="A192" s="1" t="n">
        <v>191</v>
      </c>
      <c r="B192" s="1" t="s">
        <v>115</v>
      </c>
      <c r="C192" s="1" t="s">
        <v>305</v>
      </c>
      <c r="D192" s="1" t="s">
        <v>258</v>
      </c>
    </row>
    <row r="193" customFormat="false" ht="15" hidden="false" customHeight="true" outlineLevel="0" collapsed="false">
      <c r="A193" s="1" t="n">
        <v>192</v>
      </c>
      <c r="B193" s="1" t="s">
        <v>115</v>
      </c>
      <c r="C193" s="1" t="s">
        <v>291</v>
      </c>
      <c r="D193" s="1" t="s">
        <v>258</v>
      </c>
      <c r="F193" s="1" t="s">
        <v>291</v>
      </c>
    </row>
    <row r="194" customFormat="false" ht="15" hidden="false" customHeight="true" outlineLevel="0" collapsed="false">
      <c r="A194" s="1" t="n">
        <v>193</v>
      </c>
      <c r="B194" s="1" t="s">
        <v>115</v>
      </c>
      <c r="C194" s="1" t="s">
        <v>378</v>
      </c>
      <c r="D194" s="1" t="s">
        <v>258</v>
      </c>
      <c r="F194" s="1" t="s">
        <v>271</v>
      </c>
    </row>
    <row r="195" customFormat="false" ht="15" hidden="false" customHeight="true" outlineLevel="0" collapsed="false">
      <c r="A195" s="1" t="n">
        <v>194</v>
      </c>
      <c r="B195" s="1" t="s">
        <v>115</v>
      </c>
      <c r="C195" s="1" t="s">
        <v>379</v>
      </c>
      <c r="D195" s="1" t="s">
        <v>258</v>
      </c>
      <c r="F195" s="1" t="s">
        <v>250</v>
      </c>
    </row>
    <row r="196" customFormat="false" ht="15" hidden="false" customHeight="true" outlineLevel="0" collapsed="false">
      <c r="A196" s="1" t="n">
        <v>195</v>
      </c>
      <c r="B196" s="1" t="s">
        <v>115</v>
      </c>
      <c r="C196" s="1" t="s">
        <v>366</v>
      </c>
      <c r="D196" s="1" t="s">
        <v>258</v>
      </c>
    </row>
    <row r="197" customFormat="false" ht="15" hidden="false" customHeight="true" outlineLevel="0" collapsed="false">
      <c r="A197" s="1" t="n">
        <v>196</v>
      </c>
      <c r="B197" s="1" t="s">
        <v>117</v>
      </c>
      <c r="C197" s="1" t="s">
        <v>380</v>
      </c>
      <c r="D197" s="1" t="s">
        <v>381</v>
      </c>
      <c r="F197" s="1" t="s">
        <v>242</v>
      </c>
    </row>
    <row r="198" customFormat="false" ht="15" hidden="false" customHeight="true" outlineLevel="0" collapsed="false">
      <c r="A198" s="1" t="n">
        <v>197</v>
      </c>
      <c r="B198" s="1" t="s">
        <v>117</v>
      </c>
      <c r="C198" s="1" t="s">
        <v>382</v>
      </c>
      <c r="D198" s="1" t="s">
        <v>258</v>
      </c>
      <c r="F198" s="1" t="s">
        <v>247</v>
      </c>
    </row>
    <row r="199" customFormat="false" ht="15" hidden="false" customHeight="true" outlineLevel="0" collapsed="false">
      <c r="A199" s="1" t="n">
        <v>198</v>
      </c>
      <c r="B199" s="1" t="s">
        <v>117</v>
      </c>
      <c r="C199" s="1" t="s">
        <v>383</v>
      </c>
      <c r="D199" s="1" t="s">
        <v>258</v>
      </c>
    </row>
    <row r="200" customFormat="false" ht="15" hidden="false" customHeight="true" outlineLevel="0" collapsed="false">
      <c r="A200" s="1" t="n">
        <v>199</v>
      </c>
      <c r="B200" s="1" t="s">
        <v>117</v>
      </c>
      <c r="C200" s="1" t="s">
        <v>248</v>
      </c>
      <c r="D200" s="1" t="s">
        <v>258</v>
      </c>
      <c r="F200" s="1" t="s">
        <v>248</v>
      </c>
    </row>
    <row r="201" customFormat="false" ht="15" hidden="false" customHeight="true" outlineLevel="0" collapsed="false">
      <c r="A201" s="1" t="n">
        <v>200</v>
      </c>
      <c r="B201" s="1" t="s">
        <v>117</v>
      </c>
      <c r="C201" s="1" t="s">
        <v>384</v>
      </c>
      <c r="D201" s="1" t="s">
        <v>258</v>
      </c>
      <c r="F201" s="1" t="s">
        <v>339</v>
      </c>
    </row>
    <row r="202" customFormat="false" ht="15" hidden="false" customHeight="true" outlineLevel="0" collapsed="false">
      <c r="A202" s="1" t="n">
        <v>201</v>
      </c>
      <c r="B202" s="1" t="s">
        <v>120</v>
      </c>
      <c r="C202" s="1" t="s">
        <v>385</v>
      </c>
      <c r="D202" s="1" t="s">
        <v>258</v>
      </c>
      <c r="F202" s="1" t="s">
        <v>261</v>
      </c>
    </row>
    <row r="203" customFormat="false" ht="15" hidden="false" customHeight="true" outlineLevel="0" collapsed="false">
      <c r="A203" s="1" t="n">
        <v>202</v>
      </c>
      <c r="B203" s="1" t="s">
        <v>120</v>
      </c>
      <c r="C203" s="1" t="s">
        <v>386</v>
      </c>
      <c r="D203" s="1" t="s">
        <v>258</v>
      </c>
    </row>
    <row r="204" customFormat="false" ht="15" hidden="false" customHeight="true" outlineLevel="0" collapsed="false">
      <c r="A204" s="1" t="n">
        <v>203</v>
      </c>
      <c r="B204" s="1" t="s">
        <v>120</v>
      </c>
      <c r="C204" s="1" t="s">
        <v>287</v>
      </c>
      <c r="D204" s="1" t="s">
        <v>258</v>
      </c>
      <c r="F204" s="1" t="s">
        <v>287</v>
      </c>
    </row>
    <row r="205" customFormat="false" ht="15" hidden="false" customHeight="true" outlineLevel="0" collapsed="false">
      <c r="A205" s="1" t="n">
        <v>204</v>
      </c>
      <c r="B205" s="1" t="s">
        <v>120</v>
      </c>
      <c r="C205" s="1" t="s">
        <v>248</v>
      </c>
      <c r="D205" s="1" t="s">
        <v>258</v>
      </c>
      <c r="F205" s="1" t="s">
        <v>248</v>
      </c>
    </row>
    <row r="206" customFormat="false" ht="15" hidden="false" customHeight="true" outlineLevel="0" collapsed="false">
      <c r="A206" s="1" t="n">
        <v>205</v>
      </c>
      <c r="B206" s="1" t="s">
        <v>120</v>
      </c>
      <c r="C206" s="1" t="s">
        <v>312</v>
      </c>
      <c r="D206" s="1" t="s">
        <v>258</v>
      </c>
      <c r="F206" s="1" t="s">
        <v>250</v>
      </c>
    </row>
    <row r="207" customFormat="false" ht="15" hidden="false" customHeight="true" outlineLevel="0" collapsed="false">
      <c r="A207" s="1" t="n">
        <v>206</v>
      </c>
      <c r="B207" s="1" t="s">
        <v>120</v>
      </c>
      <c r="C207" s="1" t="s">
        <v>387</v>
      </c>
      <c r="D207" s="1" t="s">
        <v>258</v>
      </c>
      <c r="F207" s="1" t="s">
        <v>274</v>
      </c>
    </row>
    <row r="208" customFormat="false" ht="15" hidden="false" customHeight="true" outlineLevel="0" collapsed="false">
      <c r="A208" s="1" t="n">
        <v>207</v>
      </c>
      <c r="B208" s="1" t="s">
        <v>124</v>
      </c>
      <c r="C208" s="1" t="s">
        <v>240</v>
      </c>
      <c r="D208" s="1" t="s">
        <v>258</v>
      </c>
      <c r="F208" s="1" t="s">
        <v>242</v>
      </c>
    </row>
    <row r="209" customFormat="false" ht="15" hidden="false" customHeight="true" outlineLevel="0" collapsed="false">
      <c r="A209" s="1" t="n">
        <v>208</v>
      </c>
      <c r="B209" s="1" t="s">
        <v>124</v>
      </c>
      <c r="C209" s="1" t="s">
        <v>244</v>
      </c>
      <c r="D209" s="1" t="s">
        <v>258</v>
      </c>
      <c r="F209" s="1" t="s">
        <v>242</v>
      </c>
    </row>
    <row r="210" customFormat="false" ht="15" hidden="false" customHeight="true" outlineLevel="0" collapsed="false">
      <c r="A210" s="1" t="n">
        <v>209</v>
      </c>
      <c r="B210" s="1" t="s">
        <v>124</v>
      </c>
      <c r="C210" s="1" t="s">
        <v>286</v>
      </c>
      <c r="D210" s="1" t="s">
        <v>258</v>
      </c>
      <c r="F210" s="1" t="s">
        <v>247</v>
      </c>
    </row>
    <row r="211" customFormat="false" ht="15" hidden="false" customHeight="true" outlineLevel="0" collapsed="false">
      <c r="A211" s="1" t="n">
        <v>210</v>
      </c>
      <c r="B211" s="1" t="s">
        <v>124</v>
      </c>
      <c r="C211" s="1" t="s">
        <v>388</v>
      </c>
      <c r="D211" s="1" t="s">
        <v>258</v>
      </c>
    </row>
    <row r="212" customFormat="false" ht="15" hidden="false" customHeight="true" outlineLevel="0" collapsed="false">
      <c r="A212" s="1" t="n">
        <v>211</v>
      </c>
      <c r="B212" s="1" t="s">
        <v>124</v>
      </c>
      <c r="C212" s="1" t="s">
        <v>389</v>
      </c>
      <c r="D212" s="1" t="s">
        <v>258</v>
      </c>
      <c r="F212" s="1" t="s">
        <v>287</v>
      </c>
    </row>
    <row r="213" customFormat="false" ht="15" hidden="false" customHeight="true" outlineLevel="0" collapsed="false">
      <c r="A213" s="1" t="n">
        <v>212</v>
      </c>
      <c r="B213" s="1" t="s">
        <v>124</v>
      </c>
      <c r="C213" s="1" t="s">
        <v>312</v>
      </c>
      <c r="D213" s="1" t="s">
        <v>258</v>
      </c>
      <c r="F213" s="1" t="s">
        <v>250</v>
      </c>
    </row>
    <row r="214" customFormat="false" ht="15" hidden="false" customHeight="true" outlineLevel="0" collapsed="false">
      <c r="A214" s="1" t="n">
        <v>213</v>
      </c>
      <c r="B214" s="1" t="s">
        <v>127</v>
      </c>
      <c r="C214" s="1" t="s">
        <v>328</v>
      </c>
      <c r="D214" s="1" t="s">
        <v>258</v>
      </c>
      <c r="F214" s="1" t="s">
        <v>256</v>
      </c>
    </row>
    <row r="215" customFormat="false" ht="15" hidden="false" customHeight="true" outlineLevel="0" collapsed="false">
      <c r="A215" s="1" t="n">
        <v>214</v>
      </c>
      <c r="B215" s="1" t="s">
        <v>127</v>
      </c>
      <c r="C215" s="1" t="s">
        <v>327</v>
      </c>
      <c r="D215" s="1" t="s">
        <v>258</v>
      </c>
      <c r="F215" s="1" t="s">
        <v>261</v>
      </c>
    </row>
    <row r="216" customFormat="false" ht="15" hidden="false" customHeight="true" outlineLevel="0" collapsed="false">
      <c r="A216" s="1" t="n">
        <v>215</v>
      </c>
      <c r="B216" s="1" t="s">
        <v>127</v>
      </c>
      <c r="C216" s="1" t="s">
        <v>240</v>
      </c>
      <c r="D216" s="1" t="s">
        <v>258</v>
      </c>
      <c r="F216" s="1" t="s">
        <v>242</v>
      </c>
    </row>
    <row r="217" customFormat="false" ht="15" hidden="false" customHeight="true" outlineLevel="0" collapsed="false">
      <c r="A217" s="1" t="n">
        <v>216</v>
      </c>
      <c r="B217" s="1" t="s">
        <v>127</v>
      </c>
      <c r="C217" s="1" t="s">
        <v>246</v>
      </c>
      <c r="D217" s="1" t="s">
        <v>258</v>
      </c>
      <c r="F217" s="1" t="s">
        <v>247</v>
      </c>
    </row>
    <row r="218" customFormat="false" ht="15" hidden="false" customHeight="true" outlineLevel="0" collapsed="false">
      <c r="A218" s="1" t="n">
        <v>217</v>
      </c>
      <c r="B218" s="1" t="s">
        <v>127</v>
      </c>
      <c r="C218" s="1" t="s">
        <v>390</v>
      </c>
      <c r="D218" s="1" t="s">
        <v>258</v>
      </c>
    </row>
    <row r="219" customFormat="false" ht="15" hidden="false" customHeight="true" outlineLevel="0" collapsed="false">
      <c r="A219" s="1" t="n">
        <v>218</v>
      </c>
      <c r="B219" s="1" t="s">
        <v>131</v>
      </c>
      <c r="C219" s="1" t="s">
        <v>391</v>
      </c>
      <c r="D219" s="1" t="s">
        <v>258</v>
      </c>
    </row>
    <row r="220" customFormat="false" ht="15" hidden="false" customHeight="true" outlineLevel="0" collapsed="false">
      <c r="A220" s="1" t="n">
        <v>219</v>
      </c>
      <c r="B220" s="1" t="s">
        <v>131</v>
      </c>
      <c r="C220" s="1" t="s">
        <v>392</v>
      </c>
      <c r="D220" s="1" t="s">
        <v>258</v>
      </c>
    </row>
    <row r="221" customFormat="false" ht="15" hidden="false" customHeight="true" outlineLevel="0" collapsed="false">
      <c r="A221" s="1" t="n">
        <v>220</v>
      </c>
      <c r="B221" s="1" t="s">
        <v>131</v>
      </c>
      <c r="C221" s="1" t="s">
        <v>393</v>
      </c>
      <c r="D221" s="1" t="s">
        <v>258</v>
      </c>
    </row>
    <row r="222" customFormat="false" ht="15" hidden="false" customHeight="true" outlineLevel="0" collapsed="false">
      <c r="A222" s="1" t="n">
        <v>221</v>
      </c>
      <c r="B222" s="1" t="s">
        <v>131</v>
      </c>
      <c r="C222" s="1" t="s">
        <v>394</v>
      </c>
      <c r="D222" s="1" t="s">
        <v>258</v>
      </c>
    </row>
    <row r="223" customFormat="false" ht="15" hidden="false" customHeight="true" outlineLevel="0" collapsed="false">
      <c r="A223" s="1" t="n">
        <v>222</v>
      </c>
      <c r="B223" s="1" t="s">
        <v>134</v>
      </c>
      <c r="C223" s="1" t="s">
        <v>395</v>
      </c>
      <c r="D223" s="1" t="s">
        <v>396</v>
      </c>
      <c r="F223" s="1" t="s">
        <v>242</v>
      </c>
    </row>
    <row r="224" customFormat="false" ht="15" hidden="false" customHeight="true" outlineLevel="0" collapsed="false">
      <c r="A224" s="1" t="n">
        <v>223</v>
      </c>
      <c r="B224" s="1" t="s">
        <v>134</v>
      </c>
      <c r="C224" s="1" t="s">
        <v>397</v>
      </c>
      <c r="D224" s="1" t="s">
        <v>398</v>
      </c>
      <c r="F224" s="1" t="s">
        <v>247</v>
      </c>
    </row>
    <row r="225" customFormat="false" ht="15" hidden="false" customHeight="true" outlineLevel="0" collapsed="false">
      <c r="A225" s="1" t="n">
        <v>224</v>
      </c>
      <c r="B225" s="1" t="s">
        <v>134</v>
      </c>
      <c r="C225" s="1" t="s">
        <v>399</v>
      </c>
      <c r="D225" s="1" t="s">
        <v>400</v>
      </c>
      <c r="F225" s="1" t="s">
        <v>247</v>
      </c>
    </row>
    <row r="226" customFormat="false" ht="15" hidden="false" customHeight="true" outlineLevel="0" collapsed="false">
      <c r="A226" s="1" t="n">
        <v>225</v>
      </c>
      <c r="B226" s="1" t="s">
        <v>134</v>
      </c>
      <c r="C226" s="1" t="s">
        <v>401</v>
      </c>
      <c r="D226" s="1" t="s">
        <v>398</v>
      </c>
      <c r="F226" s="1" t="s">
        <v>247</v>
      </c>
    </row>
    <row r="227" customFormat="false" ht="15" hidden="false" customHeight="true" outlineLevel="0" collapsed="false">
      <c r="A227" s="1" t="n">
        <v>226</v>
      </c>
      <c r="B227" s="1" t="s">
        <v>134</v>
      </c>
      <c r="C227" s="1" t="s">
        <v>402</v>
      </c>
      <c r="D227" s="1" t="s">
        <v>398</v>
      </c>
      <c r="F227" s="1" t="s">
        <v>247</v>
      </c>
    </row>
    <row r="228" customFormat="false" ht="15" hidden="false" customHeight="true" outlineLevel="0" collapsed="false">
      <c r="A228" s="1" t="n">
        <v>227</v>
      </c>
      <c r="B228" s="1" t="s">
        <v>134</v>
      </c>
      <c r="C228" s="1" t="s">
        <v>222</v>
      </c>
      <c r="D228" s="1" t="s">
        <v>258</v>
      </c>
      <c r="F228" s="1" t="s">
        <v>222</v>
      </c>
    </row>
    <row r="229" customFormat="false" ht="15" hidden="false" customHeight="true" outlineLevel="0" collapsed="false">
      <c r="A229" s="1" t="n">
        <v>228</v>
      </c>
      <c r="B229" s="1" t="s">
        <v>134</v>
      </c>
      <c r="C229" s="1" t="s">
        <v>403</v>
      </c>
      <c r="D229" s="1" t="s">
        <v>258</v>
      </c>
      <c r="F229" s="1" t="s">
        <v>404</v>
      </c>
    </row>
    <row r="230" customFormat="false" ht="15" hidden="false" customHeight="true" outlineLevel="0" collapsed="false">
      <c r="A230" s="1" t="n">
        <v>229</v>
      </c>
      <c r="B230" s="1" t="s">
        <v>137</v>
      </c>
      <c r="C230" s="1" t="s">
        <v>405</v>
      </c>
      <c r="D230" s="1" t="s">
        <v>406</v>
      </c>
    </row>
    <row r="231" customFormat="false" ht="15" hidden="false" customHeight="true" outlineLevel="0" collapsed="false">
      <c r="A231" s="1" t="n">
        <v>230</v>
      </c>
      <c r="B231" s="1" t="s">
        <v>137</v>
      </c>
      <c r="C231" s="1" t="s">
        <v>407</v>
      </c>
      <c r="D231" s="1" t="s">
        <v>408</v>
      </c>
    </row>
    <row r="232" customFormat="false" ht="15" hidden="false" customHeight="true" outlineLevel="0" collapsed="false">
      <c r="A232" s="1" t="n">
        <v>231</v>
      </c>
      <c r="B232" s="1" t="s">
        <v>137</v>
      </c>
      <c r="C232" s="1" t="s">
        <v>286</v>
      </c>
      <c r="D232" s="1" t="s">
        <v>258</v>
      </c>
      <c r="F232" s="1" t="s">
        <v>247</v>
      </c>
    </row>
    <row r="233" customFormat="false" ht="15" hidden="false" customHeight="true" outlineLevel="0" collapsed="false">
      <c r="A233" s="1" t="n">
        <v>232</v>
      </c>
      <c r="B233" s="1" t="s">
        <v>137</v>
      </c>
      <c r="C233" s="1" t="s">
        <v>305</v>
      </c>
      <c r="D233" s="1" t="s">
        <v>258</v>
      </c>
    </row>
    <row r="234" customFormat="false" ht="15" hidden="false" customHeight="true" outlineLevel="0" collapsed="false">
      <c r="A234" s="1" t="n">
        <v>233</v>
      </c>
      <c r="B234" s="1" t="s">
        <v>137</v>
      </c>
      <c r="C234" s="1" t="s">
        <v>409</v>
      </c>
      <c r="D234" s="1" t="s">
        <v>258</v>
      </c>
      <c r="F234" s="1" t="s">
        <v>410</v>
      </c>
    </row>
    <row r="235" customFormat="false" ht="15" hidden="false" customHeight="true" outlineLevel="0" collapsed="false">
      <c r="A235" s="1" t="n">
        <v>234</v>
      </c>
      <c r="B235" s="1" t="s">
        <v>137</v>
      </c>
      <c r="C235" s="1" t="s">
        <v>332</v>
      </c>
      <c r="D235" s="1" t="s">
        <v>258</v>
      </c>
      <c r="F235" s="1" t="s">
        <v>248</v>
      </c>
    </row>
    <row r="236" customFormat="false" ht="15" hidden="false" customHeight="true" outlineLevel="0" collapsed="false">
      <c r="A236" s="1" t="n">
        <v>235</v>
      </c>
      <c r="B236" s="1" t="s">
        <v>140</v>
      </c>
      <c r="C236" s="1" t="s">
        <v>411</v>
      </c>
      <c r="D236" s="1" t="s">
        <v>258</v>
      </c>
      <c r="F236" s="1" t="s">
        <v>242</v>
      </c>
    </row>
    <row r="237" customFormat="false" ht="15" hidden="false" customHeight="true" outlineLevel="0" collapsed="false">
      <c r="A237" s="1" t="n">
        <v>236</v>
      </c>
      <c r="B237" s="1" t="s">
        <v>140</v>
      </c>
      <c r="C237" s="1" t="s">
        <v>246</v>
      </c>
      <c r="D237" s="1" t="s">
        <v>258</v>
      </c>
      <c r="F237" s="1" t="s">
        <v>247</v>
      </c>
    </row>
    <row r="238" customFormat="false" ht="15" hidden="false" customHeight="true" outlineLevel="0" collapsed="false">
      <c r="A238" s="1" t="n">
        <v>237</v>
      </c>
      <c r="B238" s="1" t="s">
        <v>140</v>
      </c>
      <c r="C238" s="1" t="s">
        <v>412</v>
      </c>
      <c r="D238" s="1" t="s">
        <v>258</v>
      </c>
      <c r="F238" s="1" t="s">
        <v>271</v>
      </c>
    </row>
    <row r="239" customFormat="false" ht="15" hidden="false" customHeight="true" outlineLevel="0" collapsed="false">
      <c r="A239" s="1" t="n">
        <v>238</v>
      </c>
      <c r="B239" s="1" t="s">
        <v>140</v>
      </c>
      <c r="C239" s="1" t="s">
        <v>413</v>
      </c>
      <c r="D239" s="1" t="s">
        <v>258</v>
      </c>
      <c r="F239" s="1" t="s">
        <v>271</v>
      </c>
    </row>
    <row r="240" customFormat="false" ht="15" hidden="false" customHeight="true" outlineLevel="0" collapsed="false">
      <c r="A240" s="1" t="n">
        <v>239</v>
      </c>
      <c r="B240" s="1" t="s">
        <v>140</v>
      </c>
      <c r="C240" s="1" t="s">
        <v>287</v>
      </c>
      <c r="D240" s="1" t="s">
        <v>258</v>
      </c>
      <c r="F240" s="1" t="s">
        <v>287</v>
      </c>
    </row>
    <row r="241" customFormat="false" ht="15" hidden="false" customHeight="true" outlineLevel="0" collapsed="false">
      <c r="A241" s="1" t="n">
        <v>240</v>
      </c>
      <c r="B241" s="1" t="s">
        <v>140</v>
      </c>
      <c r="C241" s="1" t="s">
        <v>414</v>
      </c>
      <c r="D241" s="1" t="s">
        <v>258</v>
      </c>
      <c r="F241" s="1" t="s">
        <v>261</v>
      </c>
    </row>
    <row r="242" customFormat="false" ht="15" hidden="false" customHeight="true" outlineLevel="0" collapsed="false">
      <c r="A242" s="1" t="n">
        <v>241</v>
      </c>
      <c r="B242" s="1" t="s">
        <v>140</v>
      </c>
      <c r="C242" s="1" t="s">
        <v>278</v>
      </c>
      <c r="D242" s="1" t="s">
        <v>258</v>
      </c>
      <c r="F242" s="1" t="s">
        <v>261</v>
      </c>
    </row>
    <row r="243" customFormat="false" ht="15" hidden="false" customHeight="true" outlineLevel="0" collapsed="false">
      <c r="A243" s="1" t="n">
        <v>242</v>
      </c>
      <c r="B243" s="1" t="s">
        <v>143</v>
      </c>
      <c r="C243" s="1" t="s">
        <v>395</v>
      </c>
      <c r="D243" s="1" t="s">
        <v>415</v>
      </c>
      <c r="F243" s="1" t="s">
        <v>242</v>
      </c>
    </row>
    <row r="244" customFormat="false" ht="15" hidden="false" customHeight="true" outlineLevel="0" collapsed="false">
      <c r="A244" s="1" t="n">
        <v>243</v>
      </c>
      <c r="B244" s="1" t="s">
        <v>143</v>
      </c>
      <c r="C244" s="1" t="s">
        <v>246</v>
      </c>
      <c r="D244" s="1" t="s">
        <v>416</v>
      </c>
      <c r="F244" s="1" t="s">
        <v>247</v>
      </c>
    </row>
    <row r="245" customFormat="false" ht="15" hidden="false" customHeight="true" outlineLevel="0" collapsed="false">
      <c r="A245" s="1" t="n">
        <v>244</v>
      </c>
      <c r="B245" s="1" t="s">
        <v>143</v>
      </c>
      <c r="C245" s="1" t="s">
        <v>417</v>
      </c>
      <c r="D245" s="1" t="s">
        <v>418</v>
      </c>
    </row>
    <row r="246" customFormat="false" ht="15" hidden="false" customHeight="true" outlineLevel="0" collapsed="false">
      <c r="A246" s="1" t="n">
        <v>245</v>
      </c>
      <c r="B246" s="1" t="s">
        <v>143</v>
      </c>
      <c r="C246" s="1" t="s">
        <v>291</v>
      </c>
      <c r="D246" s="1" t="s">
        <v>419</v>
      </c>
      <c r="F246" s="1" t="s">
        <v>291</v>
      </c>
    </row>
    <row r="247" customFormat="false" ht="15" hidden="false" customHeight="true" outlineLevel="0" collapsed="false">
      <c r="A247" s="1" t="n">
        <v>246</v>
      </c>
      <c r="B247" s="1" t="s">
        <v>143</v>
      </c>
      <c r="C247" s="1" t="s">
        <v>254</v>
      </c>
      <c r="D247" s="1" t="s">
        <v>420</v>
      </c>
      <c r="F247" s="1" t="s">
        <v>254</v>
      </c>
    </row>
    <row r="248" customFormat="false" ht="15" hidden="false" customHeight="true" outlineLevel="0" collapsed="false">
      <c r="A248" s="1" t="n">
        <v>247</v>
      </c>
      <c r="B248" s="1" t="s">
        <v>143</v>
      </c>
      <c r="C248" s="1" t="s">
        <v>287</v>
      </c>
      <c r="D248" s="1" t="s">
        <v>421</v>
      </c>
      <c r="F248" s="1" t="s">
        <v>287</v>
      </c>
    </row>
    <row r="249" customFormat="false" ht="15" hidden="false" customHeight="true" outlineLevel="0" collapsed="false">
      <c r="A249" s="1" t="n">
        <v>248</v>
      </c>
      <c r="B249" s="1" t="s">
        <v>146</v>
      </c>
      <c r="C249" s="1" t="s">
        <v>422</v>
      </c>
      <c r="D249" s="1" t="s">
        <v>258</v>
      </c>
      <c r="F249" s="1" t="s">
        <v>247</v>
      </c>
    </row>
    <row r="250" customFormat="false" ht="15" hidden="false" customHeight="true" outlineLevel="0" collapsed="false">
      <c r="A250" s="1" t="n">
        <v>249</v>
      </c>
      <c r="B250" s="1" t="s">
        <v>146</v>
      </c>
      <c r="C250" s="1" t="s">
        <v>423</v>
      </c>
      <c r="D250" s="1" t="s">
        <v>258</v>
      </c>
      <c r="F250" s="1" t="s">
        <v>247</v>
      </c>
    </row>
    <row r="251" customFormat="false" ht="15" hidden="false" customHeight="true" outlineLevel="0" collapsed="false">
      <c r="A251" s="1" t="n">
        <v>250</v>
      </c>
      <c r="B251" s="1" t="s">
        <v>146</v>
      </c>
      <c r="C251" s="1" t="s">
        <v>366</v>
      </c>
      <c r="D251" s="1" t="s">
        <v>258</v>
      </c>
    </row>
    <row r="252" customFormat="false" ht="15" hidden="false" customHeight="true" outlineLevel="0" collapsed="false">
      <c r="A252" s="1" t="n">
        <v>251</v>
      </c>
      <c r="B252" s="1" t="s">
        <v>146</v>
      </c>
      <c r="C252" s="1" t="s">
        <v>424</v>
      </c>
      <c r="D252" s="1" t="s">
        <v>258</v>
      </c>
      <c r="F252" s="1" t="s">
        <v>424</v>
      </c>
    </row>
    <row r="253" customFormat="false" ht="15" hidden="false" customHeight="true" outlineLevel="0" collapsed="false">
      <c r="A253" s="1" t="n">
        <v>252</v>
      </c>
      <c r="B253" s="1" t="s">
        <v>146</v>
      </c>
      <c r="C253" s="1" t="s">
        <v>287</v>
      </c>
      <c r="D253" s="1" t="s">
        <v>258</v>
      </c>
      <c r="F253" s="1" t="s">
        <v>287</v>
      </c>
    </row>
    <row r="254" customFormat="false" ht="15" hidden="false" customHeight="true" outlineLevel="0" collapsed="false">
      <c r="A254" s="1" t="n">
        <v>253</v>
      </c>
      <c r="B254" s="1" t="s">
        <v>146</v>
      </c>
      <c r="C254" s="1" t="s">
        <v>338</v>
      </c>
      <c r="D254" s="1" t="s">
        <v>258</v>
      </c>
      <c r="F254" s="1" t="s">
        <v>339</v>
      </c>
    </row>
    <row r="255" customFormat="false" ht="15" hidden="false" customHeight="true" outlineLevel="0" collapsed="false">
      <c r="A255" s="1" t="n">
        <v>254</v>
      </c>
      <c r="B255" s="1" t="s">
        <v>146</v>
      </c>
      <c r="C255" s="1" t="s">
        <v>425</v>
      </c>
      <c r="D255" s="1" t="s">
        <v>258</v>
      </c>
      <c r="F255" s="1" t="s">
        <v>242</v>
      </c>
    </row>
    <row r="256" customFormat="false" ht="15" hidden="false" customHeight="true" outlineLevel="0" collapsed="false">
      <c r="A256" s="1" t="n">
        <v>255</v>
      </c>
      <c r="B256" s="1" t="s">
        <v>151</v>
      </c>
      <c r="C256" s="1" t="s">
        <v>287</v>
      </c>
      <c r="D256" s="1" t="s">
        <v>426</v>
      </c>
      <c r="F256" s="1" t="s">
        <v>287</v>
      </c>
    </row>
    <row r="257" customFormat="false" ht="15" hidden="false" customHeight="true" outlineLevel="0" collapsed="false">
      <c r="A257" s="1" t="n">
        <v>256</v>
      </c>
      <c r="B257" s="1" t="s">
        <v>151</v>
      </c>
      <c r="C257" s="1" t="s">
        <v>422</v>
      </c>
      <c r="D257" s="1" t="s">
        <v>258</v>
      </c>
      <c r="F257" s="1" t="s">
        <v>247</v>
      </c>
    </row>
    <row r="258" customFormat="false" ht="15" hidden="false" customHeight="true" outlineLevel="0" collapsed="false">
      <c r="A258" s="1" t="n">
        <v>257</v>
      </c>
      <c r="B258" s="1" t="s">
        <v>151</v>
      </c>
      <c r="C258" s="1" t="s">
        <v>240</v>
      </c>
      <c r="D258" s="1" t="s">
        <v>258</v>
      </c>
      <c r="F258" s="1" t="s">
        <v>242</v>
      </c>
    </row>
    <row r="259" customFormat="false" ht="15" hidden="false" customHeight="true" outlineLevel="0" collapsed="false">
      <c r="A259" s="1" t="n">
        <v>258</v>
      </c>
      <c r="B259" s="1" t="s">
        <v>151</v>
      </c>
      <c r="C259" s="1" t="s">
        <v>338</v>
      </c>
      <c r="D259" s="1" t="s">
        <v>258</v>
      </c>
      <c r="F259" s="1" t="s">
        <v>339</v>
      </c>
    </row>
    <row r="260" customFormat="false" ht="15" hidden="false" customHeight="true" outlineLevel="0" collapsed="false">
      <c r="A260" s="1" t="n">
        <v>259</v>
      </c>
      <c r="B260" s="1" t="s">
        <v>154</v>
      </c>
      <c r="C260" s="1" t="s">
        <v>287</v>
      </c>
      <c r="D260" s="1" t="s">
        <v>258</v>
      </c>
      <c r="F260" s="1" t="s">
        <v>287</v>
      </c>
    </row>
    <row r="261" customFormat="false" ht="15" hidden="false" customHeight="true" outlineLevel="0" collapsed="false">
      <c r="A261" s="1" t="n">
        <v>260</v>
      </c>
      <c r="B261" s="1" t="s">
        <v>154</v>
      </c>
      <c r="C261" s="1" t="s">
        <v>278</v>
      </c>
      <c r="D261" s="1" t="s">
        <v>258</v>
      </c>
      <c r="F261" s="1" t="s">
        <v>261</v>
      </c>
    </row>
    <row r="262" customFormat="false" ht="15" hidden="false" customHeight="true" outlineLevel="0" collapsed="false">
      <c r="A262" s="1" t="n">
        <v>261</v>
      </c>
      <c r="B262" s="1" t="s">
        <v>154</v>
      </c>
      <c r="C262" s="1" t="s">
        <v>427</v>
      </c>
      <c r="D262" s="1" t="s">
        <v>258</v>
      </c>
      <c r="F262" s="1" t="s">
        <v>261</v>
      </c>
    </row>
    <row r="263" customFormat="false" ht="15" hidden="false" customHeight="true" outlineLevel="0" collapsed="false">
      <c r="A263" s="1" t="n">
        <v>262</v>
      </c>
      <c r="B263" s="1" t="s">
        <v>154</v>
      </c>
      <c r="C263" s="1" t="s">
        <v>345</v>
      </c>
      <c r="D263" s="1" t="s">
        <v>258</v>
      </c>
    </row>
    <row r="264" customFormat="false" ht="15" hidden="false" customHeight="true" outlineLevel="0" collapsed="false">
      <c r="A264" s="1" t="n">
        <v>263</v>
      </c>
      <c r="B264" s="1" t="s">
        <v>154</v>
      </c>
      <c r="C264" s="1" t="s">
        <v>422</v>
      </c>
      <c r="D264" s="1" t="s">
        <v>258</v>
      </c>
      <c r="F264" s="1" t="s">
        <v>247</v>
      </c>
    </row>
    <row r="265" customFormat="false" ht="15" hidden="false" customHeight="true" outlineLevel="0" collapsed="false">
      <c r="A265" s="1" t="n">
        <v>264</v>
      </c>
      <c r="B265" s="1" t="s">
        <v>154</v>
      </c>
      <c r="C265" s="1" t="s">
        <v>399</v>
      </c>
      <c r="D265" s="1" t="s">
        <v>258</v>
      </c>
      <c r="F265" s="1" t="s">
        <v>247</v>
      </c>
    </row>
    <row r="266" customFormat="false" ht="15" hidden="false" customHeight="true" outlineLevel="0" collapsed="false">
      <c r="A266" s="1" t="n">
        <v>265</v>
      </c>
      <c r="B266" s="1" t="s">
        <v>154</v>
      </c>
      <c r="C266" s="1" t="s">
        <v>428</v>
      </c>
      <c r="D266" s="1" t="s">
        <v>258</v>
      </c>
    </row>
    <row r="267" customFormat="false" ht="15" hidden="false" customHeight="true" outlineLevel="0" collapsed="false">
      <c r="A267" s="1" t="n">
        <v>266</v>
      </c>
      <c r="B267" s="1" t="s">
        <v>154</v>
      </c>
      <c r="C267" s="1" t="s">
        <v>429</v>
      </c>
      <c r="D267" s="1" t="s">
        <v>258</v>
      </c>
      <c r="F267" s="1" t="s">
        <v>242</v>
      </c>
    </row>
    <row r="268" customFormat="false" ht="15" hidden="false" customHeight="true" outlineLevel="0" collapsed="false">
      <c r="A268" s="1" t="n">
        <v>267</v>
      </c>
      <c r="B268" s="1" t="s">
        <v>157</v>
      </c>
      <c r="C268" s="1" t="s">
        <v>240</v>
      </c>
      <c r="D268" s="1" t="s">
        <v>430</v>
      </c>
      <c r="F268" s="1" t="s">
        <v>242</v>
      </c>
    </row>
    <row r="269" customFormat="false" ht="15" hidden="false" customHeight="true" outlineLevel="0" collapsed="false">
      <c r="A269" s="1" t="n">
        <v>268</v>
      </c>
      <c r="B269" s="1" t="s">
        <v>157</v>
      </c>
      <c r="C269" s="1" t="s">
        <v>286</v>
      </c>
      <c r="D269" s="1" t="s">
        <v>258</v>
      </c>
      <c r="F269" s="1" t="s">
        <v>247</v>
      </c>
    </row>
    <row r="270" customFormat="false" ht="15" hidden="false" customHeight="true" outlineLevel="0" collapsed="false">
      <c r="A270" s="1" t="n">
        <v>269</v>
      </c>
      <c r="B270" s="1" t="s">
        <v>157</v>
      </c>
      <c r="C270" s="1" t="s">
        <v>431</v>
      </c>
      <c r="D270" s="1" t="s">
        <v>258</v>
      </c>
      <c r="F270" s="1" t="s">
        <v>247</v>
      </c>
    </row>
    <row r="271" customFormat="false" ht="15" hidden="false" customHeight="true" outlineLevel="0" collapsed="false">
      <c r="A271" s="1" t="n">
        <v>270</v>
      </c>
      <c r="B271" s="1" t="s">
        <v>157</v>
      </c>
      <c r="C271" s="1" t="s">
        <v>254</v>
      </c>
      <c r="D271" s="1" t="s">
        <v>258</v>
      </c>
      <c r="F271" s="1" t="s">
        <v>254</v>
      </c>
    </row>
    <row r="272" customFormat="false" ht="15" hidden="false" customHeight="true" outlineLevel="0" collapsed="false">
      <c r="A272" s="1" t="n">
        <v>271</v>
      </c>
      <c r="B272" s="1" t="s">
        <v>157</v>
      </c>
      <c r="C272" s="1" t="s">
        <v>432</v>
      </c>
      <c r="D272" s="1" t="s">
        <v>258</v>
      </c>
      <c r="F272" s="1" t="s">
        <v>271</v>
      </c>
    </row>
    <row r="273" customFormat="false" ht="15" hidden="false" customHeight="true" outlineLevel="0" collapsed="false">
      <c r="A273" s="1" t="n">
        <v>272</v>
      </c>
      <c r="B273" s="1" t="s">
        <v>160</v>
      </c>
      <c r="C273" s="1" t="s">
        <v>433</v>
      </c>
      <c r="D273" s="1" t="s">
        <v>434</v>
      </c>
    </row>
    <row r="274" customFormat="false" ht="15" hidden="false" customHeight="true" outlineLevel="0" collapsed="false">
      <c r="A274" s="1" t="n">
        <v>273</v>
      </c>
      <c r="B274" s="1" t="s">
        <v>160</v>
      </c>
      <c r="C274" s="1" t="s">
        <v>240</v>
      </c>
      <c r="D274" s="1" t="s">
        <v>258</v>
      </c>
      <c r="F274" s="1" t="s">
        <v>242</v>
      </c>
    </row>
    <row r="275" customFormat="false" ht="15" hidden="false" customHeight="true" outlineLevel="0" collapsed="false">
      <c r="A275" s="1" t="n">
        <v>274</v>
      </c>
      <c r="B275" s="1" t="s">
        <v>160</v>
      </c>
      <c r="C275" s="1" t="s">
        <v>390</v>
      </c>
      <c r="D275" s="1" t="s">
        <v>258</v>
      </c>
    </row>
    <row r="276" customFormat="false" ht="15" hidden="false" customHeight="true" outlineLevel="0" collapsed="false">
      <c r="A276" s="1" t="n">
        <v>275</v>
      </c>
      <c r="B276" s="1" t="s">
        <v>160</v>
      </c>
      <c r="C276" s="1" t="s">
        <v>435</v>
      </c>
      <c r="D276" s="1" t="s">
        <v>258</v>
      </c>
    </row>
    <row r="277" customFormat="false" ht="15" hidden="false" customHeight="true" outlineLevel="0" collapsed="false">
      <c r="A277" s="1" t="n">
        <v>276</v>
      </c>
      <c r="B277" s="1" t="s">
        <v>163</v>
      </c>
      <c r="C277" s="1" t="s">
        <v>291</v>
      </c>
      <c r="D277" s="1" t="s">
        <v>258</v>
      </c>
      <c r="F277" s="1" t="s">
        <v>291</v>
      </c>
    </row>
    <row r="278" customFormat="false" ht="15" hidden="false" customHeight="true" outlineLevel="0" collapsed="false">
      <c r="A278" s="1" t="n">
        <v>277</v>
      </c>
      <c r="B278" s="1" t="s">
        <v>163</v>
      </c>
      <c r="C278" s="1" t="s">
        <v>436</v>
      </c>
      <c r="D278" s="1" t="s">
        <v>258</v>
      </c>
    </row>
    <row r="279" customFormat="false" ht="15" hidden="false" customHeight="true" outlineLevel="0" collapsed="false">
      <c r="A279" s="1" t="n">
        <v>278</v>
      </c>
      <c r="B279" s="1" t="s">
        <v>163</v>
      </c>
      <c r="C279" s="1" t="s">
        <v>278</v>
      </c>
      <c r="D279" s="1" t="s">
        <v>258</v>
      </c>
      <c r="F279" s="1" t="s">
        <v>261</v>
      </c>
    </row>
    <row r="280" customFormat="false" ht="15" hidden="false" customHeight="true" outlineLevel="0" collapsed="false">
      <c r="A280" s="1" t="n">
        <v>279</v>
      </c>
      <c r="B280" s="1" t="s">
        <v>163</v>
      </c>
      <c r="C280" s="1" t="s">
        <v>240</v>
      </c>
      <c r="D280" s="1" t="s">
        <v>258</v>
      </c>
      <c r="F280" s="1" t="s">
        <v>242</v>
      </c>
    </row>
    <row r="281" customFormat="false" ht="15" hidden="false" customHeight="true" outlineLevel="0" collapsed="false">
      <c r="A281" s="1" t="n">
        <v>280</v>
      </c>
      <c r="B281" s="1" t="s">
        <v>163</v>
      </c>
      <c r="C281" s="1" t="s">
        <v>246</v>
      </c>
      <c r="D281" s="1" t="s">
        <v>258</v>
      </c>
      <c r="F281" s="1" t="s">
        <v>247</v>
      </c>
    </row>
    <row r="282" customFormat="false" ht="15" hidden="false" customHeight="true" outlineLevel="0" collapsed="false">
      <c r="A282" s="1" t="n">
        <v>281</v>
      </c>
      <c r="B282" s="1" t="s">
        <v>163</v>
      </c>
      <c r="C282" s="1" t="s">
        <v>274</v>
      </c>
      <c r="D282" s="1" t="s">
        <v>258</v>
      </c>
      <c r="F282" s="1" t="s">
        <v>274</v>
      </c>
    </row>
    <row r="283" customFormat="false" ht="15" hidden="false" customHeight="true" outlineLevel="0" collapsed="false">
      <c r="A283" s="1" t="n">
        <v>282</v>
      </c>
      <c r="B283" s="1" t="s">
        <v>163</v>
      </c>
      <c r="C283" s="1" t="s">
        <v>280</v>
      </c>
      <c r="D283" s="1" t="s">
        <v>258</v>
      </c>
      <c r="F283" s="1" t="s">
        <v>254</v>
      </c>
    </row>
    <row r="284" customFormat="false" ht="15" hidden="false" customHeight="true" outlineLevel="0" collapsed="false">
      <c r="A284" s="1" t="n">
        <v>283</v>
      </c>
      <c r="B284" s="1" t="s">
        <v>166</v>
      </c>
      <c r="C284" s="1" t="s">
        <v>437</v>
      </c>
      <c r="D284" s="1" t="s">
        <v>258</v>
      </c>
    </row>
    <row r="285" customFormat="false" ht="15" hidden="false" customHeight="true" outlineLevel="0" collapsed="false">
      <c r="A285" s="1" t="n">
        <v>284</v>
      </c>
      <c r="B285" s="1" t="s">
        <v>166</v>
      </c>
      <c r="C285" s="1" t="s">
        <v>438</v>
      </c>
      <c r="D285" s="1" t="s">
        <v>258</v>
      </c>
    </row>
    <row r="286" customFormat="false" ht="15" hidden="false" customHeight="true" outlineLevel="0" collapsed="false">
      <c r="A286" s="1" t="n">
        <v>285</v>
      </c>
      <c r="B286" s="1" t="s">
        <v>166</v>
      </c>
      <c r="C286" s="1" t="s">
        <v>254</v>
      </c>
      <c r="D286" s="1" t="s">
        <v>258</v>
      </c>
      <c r="F286" s="1" t="s">
        <v>254</v>
      </c>
    </row>
    <row r="287" customFormat="false" ht="15" hidden="false" customHeight="true" outlineLevel="0" collapsed="false">
      <c r="A287" s="1" t="n">
        <v>286</v>
      </c>
      <c r="B287" s="1" t="s">
        <v>166</v>
      </c>
      <c r="C287" s="1" t="s">
        <v>439</v>
      </c>
      <c r="D287" s="1" t="s">
        <v>258</v>
      </c>
    </row>
    <row r="288" customFormat="false" ht="15" hidden="false" customHeight="true" outlineLevel="0" collapsed="false">
      <c r="A288" s="1" t="n">
        <v>287</v>
      </c>
      <c r="B288" s="1" t="s">
        <v>166</v>
      </c>
      <c r="C288" s="1" t="s">
        <v>304</v>
      </c>
      <c r="D288" s="1" t="s">
        <v>258</v>
      </c>
    </row>
    <row r="289" customFormat="false" ht="15" hidden="false" customHeight="true" outlineLevel="0" collapsed="false">
      <c r="A289" s="1" t="n">
        <v>288</v>
      </c>
      <c r="B289" s="1" t="s">
        <v>166</v>
      </c>
      <c r="C289" s="1" t="s">
        <v>440</v>
      </c>
      <c r="D289" s="1" t="s">
        <v>258</v>
      </c>
      <c r="F289" s="1" t="s">
        <v>247</v>
      </c>
    </row>
    <row r="290" customFormat="false" ht="15" hidden="false" customHeight="true" outlineLevel="0" collapsed="false">
      <c r="A290" s="1" t="n">
        <v>289</v>
      </c>
      <c r="B290" s="1" t="s">
        <v>170</v>
      </c>
      <c r="C290" s="1" t="s">
        <v>438</v>
      </c>
      <c r="D290" s="1" t="s">
        <v>258</v>
      </c>
    </row>
    <row r="291" customFormat="false" ht="15" hidden="false" customHeight="true" outlineLevel="0" collapsed="false">
      <c r="A291" s="1" t="n">
        <v>290</v>
      </c>
      <c r="B291" s="1" t="s">
        <v>170</v>
      </c>
      <c r="C291" s="1" t="s">
        <v>441</v>
      </c>
      <c r="D291" s="1" t="s">
        <v>258</v>
      </c>
    </row>
    <row r="292" customFormat="false" ht="15" hidden="false" customHeight="true" outlineLevel="0" collapsed="false">
      <c r="A292" s="1" t="n">
        <v>291</v>
      </c>
      <c r="B292" s="1" t="s">
        <v>170</v>
      </c>
      <c r="C292" s="1" t="s">
        <v>280</v>
      </c>
      <c r="D292" s="1" t="s">
        <v>258</v>
      </c>
      <c r="F292" s="1" t="s">
        <v>254</v>
      </c>
    </row>
    <row r="293" customFormat="false" ht="15" hidden="false" customHeight="true" outlineLevel="0" collapsed="false">
      <c r="A293" s="1" t="n">
        <v>292</v>
      </c>
      <c r="B293" s="1" t="s">
        <v>170</v>
      </c>
      <c r="C293" s="1" t="s">
        <v>442</v>
      </c>
      <c r="D293" s="1" t="s">
        <v>443</v>
      </c>
    </row>
    <row r="294" customFormat="false" ht="15" hidden="false" customHeight="true" outlineLevel="0" collapsed="false">
      <c r="A294" s="1" t="n">
        <v>293</v>
      </c>
      <c r="B294" s="1" t="s">
        <v>173</v>
      </c>
      <c r="C294" s="1" t="s">
        <v>395</v>
      </c>
      <c r="D294" s="1" t="s">
        <v>258</v>
      </c>
      <c r="F294" s="1" t="s">
        <v>242</v>
      </c>
    </row>
    <row r="295" customFormat="false" ht="15" hidden="false" customHeight="true" outlineLevel="0" collapsed="false">
      <c r="A295" s="1" t="n">
        <v>294</v>
      </c>
      <c r="B295" s="1" t="s">
        <v>173</v>
      </c>
      <c r="C295" s="1" t="s">
        <v>444</v>
      </c>
      <c r="D295" s="1" t="s">
        <v>258</v>
      </c>
      <c r="F295" s="1" t="s">
        <v>247</v>
      </c>
    </row>
    <row r="296" customFormat="false" ht="15" hidden="false" customHeight="true" outlineLevel="0" collapsed="false">
      <c r="A296" s="1" t="n">
        <v>295</v>
      </c>
      <c r="B296" s="1" t="s">
        <v>173</v>
      </c>
      <c r="C296" s="1" t="s">
        <v>338</v>
      </c>
      <c r="D296" s="1" t="s">
        <v>258</v>
      </c>
      <c r="F296" s="1" t="s">
        <v>339</v>
      </c>
    </row>
    <row r="297" customFormat="false" ht="15" hidden="false" customHeight="true" outlineLevel="0" collapsed="false">
      <c r="A297" s="1" t="n">
        <v>296</v>
      </c>
      <c r="B297" s="1" t="s">
        <v>173</v>
      </c>
      <c r="C297" s="1" t="s">
        <v>431</v>
      </c>
      <c r="D297" s="1" t="s">
        <v>258</v>
      </c>
      <c r="F297" s="1" t="s">
        <v>247</v>
      </c>
    </row>
    <row r="298" customFormat="false" ht="15" hidden="false" customHeight="true" outlineLevel="0" collapsed="false">
      <c r="A298" s="1" t="n">
        <v>297</v>
      </c>
      <c r="B298" s="1" t="s">
        <v>173</v>
      </c>
      <c r="C298" s="1" t="s">
        <v>349</v>
      </c>
      <c r="D298" s="1" t="s">
        <v>258</v>
      </c>
      <c r="F298" s="1" t="s">
        <v>247</v>
      </c>
    </row>
    <row r="299" customFormat="false" ht="15" hidden="false" customHeight="true" outlineLevel="0" collapsed="false">
      <c r="A299" s="1" t="n">
        <v>298</v>
      </c>
      <c r="B299" s="1" t="s">
        <v>173</v>
      </c>
      <c r="C299" s="1" t="s">
        <v>445</v>
      </c>
      <c r="D299" s="1" t="s">
        <v>258</v>
      </c>
      <c r="F299" s="1" t="s">
        <v>256</v>
      </c>
    </row>
    <row r="300" customFormat="false" ht="15" hidden="false" customHeight="true" outlineLevel="0" collapsed="false">
      <c r="A300" s="1" t="n">
        <v>299</v>
      </c>
      <c r="B300" s="1" t="s">
        <v>173</v>
      </c>
      <c r="C300" s="1" t="s">
        <v>446</v>
      </c>
      <c r="D300" s="1" t="s">
        <v>258</v>
      </c>
    </row>
    <row r="301" customFormat="false" ht="15" hidden="false" customHeight="true" outlineLevel="0" collapsed="false">
      <c r="A301" s="1" t="n">
        <v>300</v>
      </c>
      <c r="B301" s="1" t="s">
        <v>173</v>
      </c>
      <c r="C301" s="1" t="s">
        <v>291</v>
      </c>
      <c r="D301" s="1" t="s">
        <v>258</v>
      </c>
      <c r="F301" s="1" t="s">
        <v>291</v>
      </c>
    </row>
    <row r="302" customFormat="false" ht="15" hidden="false" customHeight="true" outlineLevel="0" collapsed="false">
      <c r="A302" s="1" t="n">
        <v>301</v>
      </c>
      <c r="B302" s="1" t="s">
        <v>177</v>
      </c>
      <c r="C302" s="1" t="s">
        <v>269</v>
      </c>
      <c r="D302" s="1" t="s">
        <v>447</v>
      </c>
      <c r="F302" s="1" t="s">
        <v>222</v>
      </c>
    </row>
    <row r="303" customFormat="false" ht="15" hidden="false" customHeight="true" outlineLevel="0" collapsed="false">
      <c r="A303" s="1" t="n">
        <v>302</v>
      </c>
      <c r="B303" s="1" t="s">
        <v>177</v>
      </c>
      <c r="C303" s="1" t="s">
        <v>448</v>
      </c>
      <c r="D303" s="1" t="s">
        <v>449</v>
      </c>
    </row>
    <row r="304" customFormat="false" ht="15" hidden="false" customHeight="true" outlineLevel="0" collapsed="false">
      <c r="A304" s="1" t="n">
        <v>303</v>
      </c>
      <c r="B304" s="1" t="s">
        <v>177</v>
      </c>
      <c r="C304" s="1" t="s">
        <v>291</v>
      </c>
      <c r="D304" s="1" t="s">
        <v>258</v>
      </c>
      <c r="F304" s="1" t="s">
        <v>291</v>
      </c>
    </row>
    <row r="305" customFormat="false" ht="15" hidden="false" customHeight="true" outlineLevel="0" collapsed="false">
      <c r="A305" s="1" t="n">
        <v>304</v>
      </c>
      <c r="B305" s="1" t="s">
        <v>177</v>
      </c>
      <c r="C305" s="1" t="s">
        <v>286</v>
      </c>
      <c r="D305" s="1" t="s">
        <v>258</v>
      </c>
      <c r="F305" s="1" t="s">
        <v>247</v>
      </c>
    </row>
    <row r="306" customFormat="false" ht="15" hidden="false" customHeight="true" outlineLevel="0" collapsed="false">
      <c r="A306" s="1" t="n">
        <v>305</v>
      </c>
      <c r="B306" s="1" t="s">
        <v>177</v>
      </c>
      <c r="C306" s="1" t="s">
        <v>378</v>
      </c>
      <c r="D306" s="1" t="s">
        <v>258</v>
      </c>
      <c r="F306" s="1" t="s">
        <v>271</v>
      </c>
    </row>
    <row r="307" customFormat="false" ht="15" hidden="false" customHeight="true" outlineLevel="0" collapsed="false">
      <c r="A307" s="1" t="n">
        <v>306</v>
      </c>
      <c r="B307" s="1" t="s">
        <v>180</v>
      </c>
      <c r="C307" s="1" t="s">
        <v>240</v>
      </c>
      <c r="D307" s="1" t="s">
        <v>258</v>
      </c>
      <c r="F307" s="1" t="s">
        <v>242</v>
      </c>
    </row>
    <row r="308" customFormat="false" ht="15" hidden="false" customHeight="true" outlineLevel="0" collapsed="false">
      <c r="A308" s="1" t="n">
        <v>307</v>
      </c>
      <c r="B308" s="1" t="s">
        <v>180</v>
      </c>
      <c r="C308" s="1" t="s">
        <v>382</v>
      </c>
      <c r="D308" s="1" t="s">
        <v>258</v>
      </c>
      <c r="F308" s="1" t="s">
        <v>247</v>
      </c>
    </row>
    <row r="309" customFormat="false" ht="15" hidden="false" customHeight="true" outlineLevel="0" collapsed="false">
      <c r="A309" s="1" t="n">
        <v>308</v>
      </c>
      <c r="B309" s="1" t="s">
        <v>180</v>
      </c>
      <c r="C309" s="1" t="s">
        <v>222</v>
      </c>
      <c r="D309" s="1" t="s">
        <v>258</v>
      </c>
      <c r="F309" s="1" t="s">
        <v>222</v>
      </c>
    </row>
    <row r="310" customFormat="false" ht="15" hidden="false" customHeight="true" outlineLevel="0" collapsed="false">
      <c r="A310" s="1" t="n">
        <v>309</v>
      </c>
      <c r="B310" s="1" t="s">
        <v>180</v>
      </c>
      <c r="C310" s="1" t="s">
        <v>450</v>
      </c>
      <c r="D310" s="1" t="s">
        <v>258</v>
      </c>
      <c r="F310" s="1" t="s">
        <v>404</v>
      </c>
    </row>
    <row r="311" customFormat="false" ht="15" hidden="false" customHeight="true" outlineLevel="0" collapsed="false">
      <c r="A311" s="1" t="n">
        <v>310</v>
      </c>
      <c r="B311" s="1" t="s">
        <v>180</v>
      </c>
      <c r="C311" s="1" t="s">
        <v>270</v>
      </c>
      <c r="D311" s="1" t="s">
        <v>258</v>
      </c>
      <c r="F311" s="1" t="s">
        <v>271</v>
      </c>
    </row>
    <row r="312" customFormat="false" ht="15" hidden="false" customHeight="true" outlineLevel="0" collapsed="false">
      <c r="A312" s="1" t="n">
        <v>311</v>
      </c>
      <c r="B312" s="1" t="s">
        <v>180</v>
      </c>
      <c r="C312" s="1" t="s">
        <v>451</v>
      </c>
      <c r="D312" s="1" t="s">
        <v>258</v>
      </c>
      <c r="F312" s="1" t="s">
        <v>261</v>
      </c>
    </row>
    <row r="313" customFormat="false" ht="15" hidden="false" customHeight="true" outlineLevel="0" collapsed="false">
      <c r="A313" s="1" t="n">
        <v>312</v>
      </c>
      <c r="B313" s="1" t="s">
        <v>180</v>
      </c>
      <c r="C313" s="1" t="s">
        <v>452</v>
      </c>
      <c r="D313" s="1" t="s">
        <v>258</v>
      </c>
      <c r="F313" s="1" t="s">
        <v>276</v>
      </c>
    </row>
    <row r="314" customFormat="false" ht="15" hidden="false" customHeight="true" outlineLevel="0" collapsed="false">
      <c r="A314" s="1" t="n">
        <v>313</v>
      </c>
      <c r="B314" s="1" t="s">
        <v>184</v>
      </c>
      <c r="C314" s="1" t="s">
        <v>269</v>
      </c>
      <c r="D314" s="1" t="s">
        <v>258</v>
      </c>
      <c r="F314" s="1" t="s">
        <v>222</v>
      </c>
    </row>
    <row r="315" customFormat="false" ht="15" hidden="false" customHeight="true" outlineLevel="0" collapsed="false">
      <c r="A315" s="1" t="n">
        <v>314</v>
      </c>
      <c r="B315" s="1" t="s">
        <v>184</v>
      </c>
      <c r="C315" s="1" t="s">
        <v>270</v>
      </c>
      <c r="D315" s="1" t="s">
        <v>258</v>
      </c>
      <c r="F315" s="1" t="s">
        <v>271</v>
      </c>
    </row>
    <row r="316" customFormat="false" ht="15" hidden="false" customHeight="true" outlineLevel="0" collapsed="false">
      <c r="A316" s="1" t="n">
        <v>315</v>
      </c>
      <c r="B316" s="1" t="s">
        <v>184</v>
      </c>
      <c r="C316" s="1" t="s">
        <v>240</v>
      </c>
      <c r="D316" s="1" t="s">
        <v>258</v>
      </c>
      <c r="F316" s="1" t="s">
        <v>242</v>
      </c>
    </row>
    <row r="317" customFormat="false" ht="15" hidden="false" customHeight="true" outlineLevel="0" collapsed="false">
      <c r="A317" s="1" t="n">
        <v>316</v>
      </c>
      <c r="B317" s="1" t="s">
        <v>184</v>
      </c>
      <c r="C317" s="1" t="s">
        <v>246</v>
      </c>
      <c r="D317" s="1" t="s">
        <v>258</v>
      </c>
      <c r="F317" s="1" t="s">
        <v>247</v>
      </c>
    </row>
    <row r="318" customFormat="false" ht="15" hidden="false" customHeight="true" outlineLevel="0" collapsed="false">
      <c r="A318" s="1" t="n">
        <v>317</v>
      </c>
      <c r="B318" s="1" t="s">
        <v>184</v>
      </c>
      <c r="C318" s="1" t="s">
        <v>327</v>
      </c>
      <c r="D318" s="1" t="s">
        <v>258</v>
      </c>
      <c r="F318" s="1" t="s">
        <v>261</v>
      </c>
    </row>
    <row r="319" customFormat="false" ht="15" hidden="false" customHeight="true" outlineLevel="0" collapsed="false">
      <c r="A319" s="1" t="n">
        <v>318</v>
      </c>
      <c r="B319" s="1" t="s">
        <v>184</v>
      </c>
      <c r="C319" s="1" t="s">
        <v>287</v>
      </c>
      <c r="D319" s="1" t="s">
        <v>258</v>
      </c>
      <c r="F319" s="1" t="s">
        <v>287</v>
      </c>
    </row>
    <row r="320" customFormat="false" ht="15" hidden="false" customHeight="true" outlineLevel="0" collapsed="false">
      <c r="A320" s="1" t="n">
        <v>319</v>
      </c>
      <c r="B320" s="1" t="s">
        <v>184</v>
      </c>
      <c r="C320" s="1" t="s">
        <v>453</v>
      </c>
      <c r="D320" s="1" t="s">
        <v>258</v>
      </c>
    </row>
    <row r="321" customFormat="false" ht="15" hidden="false" customHeight="true" outlineLevel="0" collapsed="false">
      <c r="A321" s="1" t="n">
        <v>320</v>
      </c>
      <c r="B321" s="1" t="s">
        <v>184</v>
      </c>
      <c r="C321" s="1" t="s">
        <v>454</v>
      </c>
      <c r="D321" s="1" t="s">
        <v>258</v>
      </c>
      <c r="F321" s="1" t="s">
        <v>455</v>
      </c>
    </row>
    <row r="322" customFormat="false" ht="15" hidden="false" customHeight="true" outlineLevel="0" collapsed="false">
      <c r="A322" s="1" t="n">
        <v>321</v>
      </c>
      <c r="B322" s="1" t="s">
        <v>187</v>
      </c>
      <c r="C322" s="1" t="s">
        <v>456</v>
      </c>
      <c r="D322" s="1" t="s">
        <v>258</v>
      </c>
      <c r="F322" s="1" t="s">
        <v>242</v>
      </c>
    </row>
    <row r="323" customFormat="false" ht="15" hidden="false" customHeight="true" outlineLevel="0" collapsed="false">
      <c r="A323" s="1" t="n">
        <v>322</v>
      </c>
      <c r="B323" s="1" t="s">
        <v>187</v>
      </c>
      <c r="C323" s="1" t="s">
        <v>246</v>
      </c>
      <c r="D323" s="1" t="s">
        <v>258</v>
      </c>
      <c r="F323" s="1" t="s">
        <v>247</v>
      </c>
    </row>
    <row r="324" customFormat="false" ht="15" hidden="false" customHeight="true" outlineLevel="0" collapsed="false">
      <c r="A324" s="1" t="n">
        <v>323</v>
      </c>
      <c r="B324" s="1" t="s">
        <v>187</v>
      </c>
      <c r="C324" s="1" t="s">
        <v>457</v>
      </c>
      <c r="D324" s="1" t="s">
        <v>258</v>
      </c>
    </row>
    <row r="325" customFormat="false" ht="15" hidden="false" customHeight="true" outlineLevel="0" collapsed="false">
      <c r="A325" s="1" t="n">
        <v>324</v>
      </c>
      <c r="B325" s="1" t="s">
        <v>190</v>
      </c>
      <c r="C325" s="1" t="s">
        <v>240</v>
      </c>
      <c r="D325" s="1" t="s">
        <v>258</v>
      </c>
      <c r="F325" s="1" t="s">
        <v>242</v>
      </c>
    </row>
    <row r="326" customFormat="false" ht="15" hidden="false" customHeight="true" outlineLevel="0" collapsed="false">
      <c r="A326" s="1" t="n">
        <v>325</v>
      </c>
      <c r="B326" s="1" t="s">
        <v>190</v>
      </c>
      <c r="C326" s="1" t="s">
        <v>286</v>
      </c>
      <c r="D326" s="1" t="s">
        <v>258</v>
      </c>
      <c r="F326" s="1" t="s">
        <v>247</v>
      </c>
    </row>
    <row r="327" customFormat="false" ht="15" hidden="false" customHeight="true" outlineLevel="0" collapsed="false">
      <c r="A327" s="1" t="n">
        <v>326</v>
      </c>
      <c r="B327" s="1" t="s">
        <v>190</v>
      </c>
      <c r="C327" s="1" t="s">
        <v>281</v>
      </c>
      <c r="D327" s="1" t="s">
        <v>258</v>
      </c>
      <c r="F327" s="1" t="s">
        <v>250</v>
      </c>
    </row>
    <row r="328" customFormat="false" ht="15" hidden="false" customHeight="true" outlineLevel="0" collapsed="false">
      <c r="A328" s="1" t="n">
        <v>327</v>
      </c>
      <c r="B328" s="1" t="s">
        <v>190</v>
      </c>
      <c r="C328" s="1" t="s">
        <v>248</v>
      </c>
      <c r="D328" s="1" t="s">
        <v>258</v>
      </c>
      <c r="F328" s="1" t="s">
        <v>248</v>
      </c>
    </row>
    <row r="329" customFormat="false" ht="15" hidden="false" customHeight="true" outlineLevel="0" collapsed="false">
      <c r="A329" s="1" t="n">
        <v>328</v>
      </c>
      <c r="B329" s="1" t="s">
        <v>193</v>
      </c>
      <c r="C329" s="1" t="s">
        <v>458</v>
      </c>
      <c r="D329" s="1" t="s">
        <v>258</v>
      </c>
      <c r="F329" s="1" t="s">
        <v>242</v>
      </c>
    </row>
    <row r="330" customFormat="false" ht="15" hidden="false" customHeight="true" outlineLevel="0" collapsed="false">
      <c r="A330" s="1" t="n">
        <v>329</v>
      </c>
      <c r="B330" s="1" t="s">
        <v>193</v>
      </c>
      <c r="C330" s="1" t="s">
        <v>286</v>
      </c>
      <c r="D330" s="1" t="s">
        <v>258</v>
      </c>
      <c r="F330" s="1" t="s">
        <v>247</v>
      </c>
    </row>
    <row r="331" customFormat="false" ht="15" hidden="false" customHeight="true" outlineLevel="0" collapsed="false">
      <c r="A331" s="1" t="n">
        <v>330</v>
      </c>
      <c r="B331" s="1" t="s">
        <v>193</v>
      </c>
      <c r="C331" s="1" t="s">
        <v>459</v>
      </c>
      <c r="D331" s="1" t="s">
        <v>225</v>
      </c>
    </row>
    <row r="332" customFormat="false" ht="15" hidden="false" customHeight="true" outlineLevel="0" collapsed="false">
      <c r="A332" s="1" t="n">
        <v>331</v>
      </c>
      <c r="B332" s="1" t="s">
        <v>193</v>
      </c>
      <c r="C332" s="1" t="s">
        <v>460</v>
      </c>
      <c r="D332" s="1" t="s">
        <v>258</v>
      </c>
    </row>
    <row r="333" customFormat="false" ht="15" hidden="false" customHeight="true" outlineLevel="0" collapsed="false">
      <c r="A333" s="1" t="n">
        <v>332</v>
      </c>
      <c r="B333" s="1" t="s">
        <v>193</v>
      </c>
      <c r="C333" s="1" t="s">
        <v>275</v>
      </c>
      <c r="D333" s="1" t="s">
        <v>258</v>
      </c>
      <c r="F333" s="1" t="s">
        <v>276</v>
      </c>
    </row>
    <row r="334" customFormat="false" ht="15" hidden="false" customHeight="true" outlineLevel="0" collapsed="false">
      <c r="A334" s="1" t="n">
        <v>333</v>
      </c>
      <c r="B334" s="1" t="s">
        <v>193</v>
      </c>
      <c r="C334" s="1" t="s">
        <v>332</v>
      </c>
      <c r="D334" s="1" t="s">
        <v>258</v>
      </c>
      <c r="F334" s="1" t="s">
        <v>248</v>
      </c>
    </row>
    <row r="335" customFormat="false" ht="15" hidden="false" customHeight="true" outlineLevel="0" collapsed="false">
      <c r="A335" s="1" t="n">
        <v>334</v>
      </c>
      <c r="B335" s="1" t="s">
        <v>196</v>
      </c>
      <c r="C335" s="1" t="s">
        <v>269</v>
      </c>
      <c r="D335" s="1" t="s">
        <v>258</v>
      </c>
      <c r="F335" s="1" t="s">
        <v>222</v>
      </c>
    </row>
    <row r="336" customFormat="false" ht="15" hidden="false" customHeight="true" outlineLevel="0" collapsed="false">
      <c r="A336" s="1" t="n">
        <v>335</v>
      </c>
      <c r="B336" s="1" t="s">
        <v>196</v>
      </c>
      <c r="C336" s="1" t="s">
        <v>270</v>
      </c>
      <c r="D336" s="1" t="s">
        <v>258</v>
      </c>
      <c r="F336" s="1" t="s">
        <v>271</v>
      </c>
    </row>
    <row r="337" customFormat="false" ht="15" hidden="false" customHeight="true" outlineLevel="0" collapsed="false">
      <c r="A337" s="1" t="n">
        <v>336</v>
      </c>
      <c r="B337" s="1" t="s">
        <v>196</v>
      </c>
      <c r="C337" s="1" t="s">
        <v>240</v>
      </c>
      <c r="D337" s="1" t="s">
        <v>258</v>
      </c>
      <c r="F337" s="1" t="s">
        <v>242</v>
      </c>
    </row>
    <row r="338" customFormat="false" ht="15" hidden="false" customHeight="true" outlineLevel="0" collapsed="false">
      <c r="A338" s="1" t="n">
        <v>337</v>
      </c>
      <c r="B338" s="1" t="s">
        <v>196</v>
      </c>
      <c r="C338" s="1" t="s">
        <v>246</v>
      </c>
      <c r="D338" s="1" t="s">
        <v>258</v>
      </c>
      <c r="F338" s="1" t="s">
        <v>247</v>
      </c>
    </row>
    <row r="339" customFormat="false" ht="15" hidden="false" customHeight="true" outlineLevel="0" collapsed="false">
      <c r="A339" s="1" t="n">
        <v>338</v>
      </c>
      <c r="B339" s="1" t="s">
        <v>196</v>
      </c>
      <c r="C339" s="1" t="s">
        <v>327</v>
      </c>
      <c r="D339" s="1" t="s">
        <v>258</v>
      </c>
      <c r="F339" s="1" t="s">
        <v>261</v>
      </c>
    </row>
    <row r="340" customFormat="false" ht="15" hidden="false" customHeight="true" outlineLevel="0" collapsed="false">
      <c r="A340" s="1" t="n">
        <v>339</v>
      </c>
      <c r="B340" s="1" t="s">
        <v>196</v>
      </c>
      <c r="C340" s="1" t="s">
        <v>287</v>
      </c>
      <c r="D340" s="1" t="s">
        <v>258</v>
      </c>
      <c r="F340" s="1" t="s">
        <v>287</v>
      </c>
    </row>
    <row r="341" customFormat="false" ht="15" hidden="false" customHeight="true" outlineLevel="0" collapsed="false">
      <c r="A341" s="1" t="n">
        <v>340</v>
      </c>
      <c r="B341" s="1" t="s">
        <v>196</v>
      </c>
      <c r="C341" s="1" t="s">
        <v>454</v>
      </c>
      <c r="D341" s="1" t="s">
        <v>258</v>
      </c>
      <c r="F341" s="1" t="s">
        <v>455</v>
      </c>
    </row>
    <row r="342" customFormat="false" ht="15" hidden="false" customHeight="true" outlineLevel="0" collapsed="false">
      <c r="A342" s="1" t="n">
        <v>341</v>
      </c>
      <c r="B342" s="1" t="s">
        <v>200</v>
      </c>
      <c r="C342" s="1" t="s">
        <v>240</v>
      </c>
      <c r="D342" s="1" t="s">
        <v>258</v>
      </c>
      <c r="F342" s="1" t="s">
        <v>242</v>
      </c>
    </row>
    <row r="343" customFormat="false" ht="15" hidden="false" customHeight="true" outlineLevel="0" collapsed="false">
      <c r="A343" s="1" t="n">
        <v>342</v>
      </c>
      <c r="B343" s="1" t="s">
        <v>200</v>
      </c>
      <c r="C343" s="1" t="s">
        <v>280</v>
      </c>
      <c r="D343" s="1" t="s">
        <v>258</v>
      </c>
      <c r="F343" s="1" t="s">
        <v>254</v>
      </c>
    </row>
    <row r="344" customFormat="false" ht="15" hidden="false" customHeight="true" outlineLevel="0" collapsed="false">
      <c r="A344" s="1" t="n">
        <v>343</v>
      </c>
      <c r="B344" s="1" t="s">
        <v>200</v>
      </c>
      <c r="C344" s="1" t="s">
        <v>249</v>
      </c>
      <c r="D344" s="1" t="s">
        <v>258</v>
      </c>
      <c r="F344" s="1" t="s">
        <v>250</v>
      </c>
    </row>
    <row r="345" customFormat="false" ht="15" hidden="false" customHeight="true" outlineLevel="0" collapsed="false">
      <c r="A345" s="1" t="n">
        <v>344</v>
      </c>
      <c r="B345" s="1" t="s">
        <v>200</v>
      </c>
      <c r="C345" s="1" t="s">
        <v>461</v>
      </c>
      <c r="D345" s="1" t="s">
        <v>258</v>
      </c>
      <c r="F345" s="1" t="s">
        <v>271</v>
      </c>
    </row>
    <row r="346" customFormat="false" ht="15" hidden="false" customHeight="true" outlineLevel="0" collapsed="false">
      <c r="A346" s="1" t="n">
        <v>345</v>
      </c>
      <c r="B346" s="1" t="s">
        <v>200</v>
      </c>
      <c r="C346" s="1" t="s">
        <v>462</v>
      </c>
      <c r="D346" s="1" t="s">
        <v>258</v>
      </c>
    </row>
    <row r="347" customFormat="false" ht="15" hidden="false" customHeight="true" outlineLevel="0" collapsed="false">
      <c r="A347" s="1" t="n">
        <v>346</v>
      </c>
      <c r="B347" s="1" t="s">
        <v>200</v>
      </c>
      <c r="C347" s="1" t="s">
        <v>248</v>
      </c>
      <c r="D347" s="1" t="s">
        <v>258</v>
      </c>
      <c r="F347" s="1" t="s">
        <v>248</v>
      </c>
    </row>
    <row r="348" customFormat="false" ht="15" hidden="false" customHeight="true" outlineLevel="0" collapsed="false">
      <c r="A348" s="1" t="n">
        <v>347</v>
      </c>
      <c r="B348" s="1" t="s">
        <v>203</v>
      </c>
      <c r="C348" s="1" t="s">
        <v>240</v>
      </c>
      <c r="D348" s="1" t="s">
        <v>258</v>
      </c>
      <c r="F348" s="1" t="s">
        <v>242</v>
      </c>
    </row>
    <row r="349" customFormat="false" ht="15" hidden="false" customHeight="true" outlineLevel="0" collapsed="false">
      <c r="A349" s="1" t="n">
        <v>348</v>
      </c>
      <c r="B349" s="1" t="s">
        <v>203</v>
      </c>
      <c r="C349" s="1" t="s">
        <v>286</v>
      </c>
      <c r="D349" s="1" t="s">
        <v>258</v>
      </c>
      <c r="F349" s="1" t="s">
        <v>247</v>
      </c>
    </row>
    <row r="350" customFormat="false" ht="15" hidden="false" customHeight="true" outlineLevel="0" collapsed="false">
      <c r="A350" s="1" t="n">
        <v>349</v>
      </c>
      <c r="B350" s="1" t="s">
        <v>203</v>
      </c>
      <c r="C350" s="1" t="s">
        <v>463</v>
      </c>
      <c r="D350" s="1" t="s">
        <v>258</v>
      </c>
      <c r="F350" s="1" t="s">
        <v>250</v>
      </c>
    </row>
    <row r="351" customFormat="false" ht="15" hidden="false" customHeight="true" outlineLevel="0" collapsed="false">
      <c r="A351" s="1" t="n">
        <v>350</v>
      </c>
      <c r="B351" s="1" t="s">
        <v>203</v>
      </c>
      <c r="C351" s="1" t="s">
        <v>291</v>
      </c>
      <c r="D351" s="1" t="s">
        <v>258</v>
      </c>
      <c r="F351" s="1" t="s">
        <v>291</v>
      </c>
    </row>
    <row r="352" customFormat="false" ht="15" hidden="false" customHeight="true" outlineLevel="0" collapsed="false">
      <c r="A352" s="1" t="n">
        <v>351</v>
      </c>
      <c r="B352" s="1" t="s">
        <v>203</v>
      </c>
      <c r="C352" s="1" t="s">
        <v>464</v>
      </c>
      <c r="D352" s="1" t="s">
        <v>258</v>
      </c>
      <c r="F352" s="1" t="s">
        <v>276</v>
      </c>
    </row>
    <row r="353" customFormat="false" ht="15" hidden="false" customHeight="true" outlineLevel="0" collapsed="false">
      <c r="A353" s="1" t="n">
        <v>352</v>
      </c>
      <c r="B353" s="1" t="s">
        <v>203</v>
      </c>
      <c r="C353" s="1" t="s">
        <v>465</v>
      </c>
      <c r="D353" s="1" t="s">
        <v>466</v>
      </c>
    </row>
    <row r="354" customFormat="false" ht="15" hidden="false" customHeight="true" outlineLevel="0" collapsed="false">
      <c r="A354" s="1" t="n">
        <v>353</v>
      </c>
      <c r="B354" s="1" t="s">
        <v>203</v>
      </c>
      <c r="C354" s="1" t="s">
        <v>467</v>
      </c>
      <c r="D354" s="1" t="s">
        <v>258</v>
      </c>
      <c r="F354" s="1" t="s">
        <v>248</v>
      </c>
    </row>
    <row r="355" customFormat="false" ht="15" hidden="false" customHeight="true" outlineLevel="0" collapsed="false">
      <c r="A355" s="1" t="n">
        <v>354</v>
      </c>
      <c r="B355" s="1" t="s">
        <v>207</v>
      </c>
      <c r="C355" s="1" t="s">
        <v>468</v>
      </c>
      <c r="D355" s="1" t="s">
        <v>469</v>
      </c>
      <c r="F355" s="1" t="s">
        <v>248</v>
      </c>
    </row>
    <row r="356" customFormat="false" ht="15" hidden="false" customHeight="true" outlineLevel="0" collapsed="false">
      <c r="A356" s="1" t="n">
        <v>355</v>
      </c>
      <c r="B356" s="1" t="s">
        <v>207</v>
      </c>
      <c r="C356" s="1" t="s">
        <v>470</v>
      </c>
      <c r="D356" s="1" t="s">
        <v>471</v>
      </c>
      <c r="F356" s="1" t="s">
        <v>248</v>
      </c>
    </row>
    <row r="357" customFormat="false" ht="15" hidden="false" customHeight="true" outlineLevel="0" collapsed="false">
      <c r="A357" s="1" t="n">
        <v>356</v>
      </c>
      <c r="B357" s="1" t="s">
        <v>207</v>
      </c>
      <c r="C357" s="1" t="s">
        <v>472</v>
      </c>
      <c r="D357" s="1" t="s">
        <v>473</v>
      </c>
      <c r="F357" s="1" t="s">
        <v>248</v>
      </c>
    </row>
    <row r="358" customFormat="false" ht="15" hidden="false" customHeight="true" outlineLevel="0" collapsed="false">
      <c r="A358" s="1" t="n">
        <v>357</v>
      </c>
      <c r="B358" s="1" t="s">
        <v>207</v>
      </c>
      <c r="C358" s="1" t="s">
        <v>240</v>
      </c>
      <c r="D358" s="1" t="s">
        <v>258</v>
      </c>
      <c r="F358" s="1" t="s">
        <v>242</v>
      </c>
    </row>
    <row r="359" customFormat="false" ht="15" hidden="false" customHeight="true" outlineLevel="0" collapsed="false">
      <c r="A359" s="1" t="n">
        <v>358</v>
      </c>
      <c r="B359" s="1" t="s">
        <v>207</v>
      </c>
      <c r="C359" s="1" t="s">
        <v>275</v>
      </c>
      <c r="D359" s="1" t="s">
        <v>258</v>
      </c>
      <c r="F359" s="1" t="s">
        <v>276</v>
      </c>
    </row>
    <row r="360" customFormat="false" ht="15" hidden="false" customHeight="true" outlineLevel="0" collapsed="false">
      <c r="A360" s="1" t="n">
        <v>359</v>
      </c>
      <c r="B360" s="1" t="s">
        <v>207</v>
      </c>
      <c r="C360" s="1" t="s">
        <v>474</v>
      </c>
      <c r="D360" s="1" t="s">
        <v>258</v>
      </c>
    </row>
    <row r="361" customFormat="false" ht="15" hidden="false" customHeight="true" outlineLevel="0" collapsed="false">
      <c r="A361" s="1" t="n">
        <v>360</v>
      </c>
      <c r="B361" s="1" t="s">
        <v>210</v>
      </c>
      <c r="C361" s="1" t="s">
        <v>475</v>
      </c>
      <c r="D361" s="1" t="s">
        <v>258</v>
      </c>
    </row>
    <row r="362" customFormat="false" ht="15" hidden="false" customHeight="true" outlineLevel="0" collapsed="false">
      <c r="A362" s="1" t="n">
        <v>361</v>
      </c>
      <c r="B362" s="1" t="s">
        <v>210</v>
      </c>
      <c r="C362" s="1" t="s">
        <v>222</v>
      </c>
      <c r="D362" s="1" t="s">
        <v>258</v>
      </c>
      <c r="F362" s="1" t="s">
        <v>222</v>
      </c>
    </row>
    <row r="363" customFormat="false" ht="15" hidden="false" customHeight="true" outlineLevel="0" collapsed="false">
      <c r="A363" s="1" t="n">
        <v>362</v>
      </c>
      <c r="B363" s="1" t="s">
        <v>210</v>
      </c>
      <c r="C363" s="1" t="s">
        <v>476</v>
      </c>
      <c r="D363" s="1" t="s">
        <v>258</v>
      </c>
      <c r="F363" s="1" t="s">
        <v>254</v>
      </c>
    </row>
    <row r="364" customFormat="false" ht="15" hidden="false" customHeight="true" outlineLevel="0" collapsed="false">
      <c r="A364" s="1" t="n">
        <v>363</v>
      </c>
      <c r="B364" s="1" t="s">
        <v>210</v>
      </c>
      <c r="C364" s="1" t="s">
        <v>327</v>
      </c>
      <c r="D364" s="1" t="s">
        <v>258</v>
      </c>
      <c r="F364" s="1" t="s">
        <v>261</v>
      </c>
    </row>
    <row r="365" customFormat="false" ht="15" hidden="false" customHeight="true" outlineLevel="0" collapsed="false">
      <c r="A365" s="1" t="n">
        <v>364</v>
      </c>
      <c r="B365" s="1" t="s">
        <v>210</v>
      </c>
      <c r="C365" s="1" t="s">
        <v>291</v>
      </c>
      <c r="D365" s="1" t="s">
        <v>258</v>
      </c>
      <c r="F365" s="1" t="s">
        <v>291</v>
      </c>
    </row>
    <row r="366" customFormat="false" ht="15" hidden="false" customHeight="true" outlineLevel="0" collapsed="false">
      <c r="A366" s="1" t="n">
        <v>365</v>
      </c>
      <c r="B366" s="1" t="s">
        <v>210</v>
      </c>
      <c r="C366" s="1" t="s">
        <v>319</v>
      </c>
      <c r="D366" s="1" t="s">
        <v>258</v>
      </c>
      <c r="F366" s="1" t="s">
        <v>256</v>
      </c>
    </row>
    <row r="367" customFormat="false" ht="15" hidden="false" customHeight="true" outlineLevel="0" collapsed="false">
      <c r="A367" s="1" t="n">
        <v>366</v>
      </c>
      <c r="B367" s="1" t="s">
        <v>210</v>
      </c>
      <c r="C367" s="1" t="s">
        <v>477</v>
      </c>
      <c r="D367" s="1" t="s">
        <v>258</v>
      </c>
    </row>
    <row r="368" customFormat="false" ht="15" hidden="false" customHeight="true" outlineLevel="0" collapsed="false">
      <c r="A368" s="1" t="n">
        <v>367</v>
      </c>
      <c r="B368" s="1" t="s">
        <v>213</v>
      </c>
      <c r="C368" s="1" t="s">
        <v>478</v>
      </c>
      <c r="D368" s="1" t="s">
        <v>258</v>
      </c>
      <c r="F368" s="1" t="s">
        <v>250</v>
      </c>
    </row>
    <row r="369" customFormat="false" ht="15" hidden="false" customHeight="true" outlineLevel="0" collapsed="false">
      <c r="A369" s="1" t="n">
        <v>368</v>
      </c>
      <c r="B369" s="1" t="s">
        <v>213</v>
      </c>
      <c r="C369" s="1" t="s">
        <v>254</v>
      </c>
      <c r="D369" s="1" t="s">
        <v>258</v>
      </c>
      <c r="F369" s="1" t="s">
        <v>254</v>
      </c>
    </row>
    <row r="370" customFormat="false" ht="15" hidden="false" customHeight="true" outlineLevel="0" collapsed="false">
      <c r="A370" s="1" t="n">
        <v>369</v>
      </c>
      <c r="B370" s="1" t="s">
        <v>213</v>
      </c>
      <c r="C370" s="1" t="s">
        <v>240</v>
      </c>
      <c r="D370" s="1" t="s">
        <v>258</v>
      </c>
      <c r="F370" s="1" t="s">
        <v>242</v>
      </c>
    </row>
    <row r="371" customFormat="false" ht="15" hidden="false" customHeight="true" outlineLevel="0" collapsed="false">
      <c r="A371" s="1" t="n">
        <v>370</v>
      </c>
      <c r="B371" s="1" t="s">
        <v>213</v>
      </c>
      <c r="C371" s="1" t="s">
        <v>286</v>
      </c>
      <c r="D371" s="1" t="s">
        <v>258</v>
      </c>
      <c r="F371" s="1" t="s">
        <v>247</v>
      </c>
    </row>
    <row r="372" customFormat="false" ht="15" hidden="false" customHeight="true" outlineLevel="0" collapsed="false">
      <c r="A372" s="1" t="n">
        <v>371</v>
      </c>
      <c r="B372" s="1" t="s">
        <v>213</v>
      </c>
      <c r="C372" s="1" t="s">
        <v>329</v>
      </c>
      <c r="D372" s="1" t="s">
        <v>258</v>
      </c>
    </row>
    <row r="373" customFormat="false" ht="15" hidden="false" customHeight="true" outlineLevel="0" collapsed="false">
      <c r="A373" s="1" t="n">
        <v>372</v>
      </c>
      <c r="B373" s="1" t="s">
        <v>213</v>
      </c>
      <c r="C373" s="1" t="s">
        <v>479</v>
      </c>
      <c r="D373" s="1" t="s">
        <v>258</v>
      </c>
    </row>
    <row r="374" customFormat="false" ht="15" hidden="false" customHeight="true" outlineLevel="0" collapsed="false">
      <c r="A374" s="1" t="n">
        <v>373</v>
      </c>
      <c r="B374" s="1" t="s">
        <v>213</v>
      </c>
      <c r="C374" s="1" t="s">
        <v>323</v>
      </c>
      <c r="D374" s="1" t="s">
        <v>258</v>
      </c>
      <c r="F374" s="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3" t="s">
        <v>480</v>
      </c>
      <c r="B1" s="3"/>
      <c r="C1" s="3"/>
      <c r="D1" s="3"/>
    </row>
    <row r="3" customFormat="false" ht="15" hidden="false" customHeight="true" outlineLevel="0" collapsed="false">
      <c r="A3" s="4" t="s">
        <v>481</v>
      </c>
      <c r="B3" s="4" t="s">
        <v>482</v>
      </c>
    </row>
    <row r="4" customFormat="false" ht="15" hidden="false" customHeight="true" outlineLevel="0" collapsed="false">
      <c r="A4" s="1" t="s">
        <v>483</v>
      </c>
      <c r="B4" s="1" t="n">
        <f aca="false">COUNTA('Clinics Overview'!B2:B60)</f>
        <v>59</v>
      </c>
    </row>
    <row r="5" customFormat="false" ht="15" hidden="false" customHeight="true" outlineLevel="0" collapsed="false">
      <c r="A5" s="1" t="s">
        <v>484</v>
      </c>
      <c r="B5" s="1" t="n">
        <f aca="false">SUMPRODUCT(--((ISNUMBER(SEARCH("yes",'Clinics Overview'!G2:G60))+ISNUMBER(SEARCH("partial",'Clinics Overview'!G2:G60)))&gt;0))</f>
        <v>18</v>
      </c>
    </row>
    <row r="6" customFormat="false" ht="15" hidden="false" customHeight="true" outlineLevel="0" collapsed="false">
      <c r="A6" s="1" t="s">
        <v>485</v>
      </c>
      <c r="B6" s="1" t="n">
        <f aca="false">B4-B5</f>
        <v>41</v>
      </c>
    </row>
    <row r="7" customFormat="false" ht="15" hidden="false" customHeight="true" outlineLevel="0" collapsed="false">
      <c r="A7" s="1" t="s">
        <v>486</v>
      </c>
      <c r="B7" s="1" t="n">
        <f aca="false">COUNTA('All Procedures'!C2:C375)</f>
        <v>373</v>
      </c>
    </row>
    <row r="9" customFormat="false" ht="15" hidden="false" customHeight="true" outlineLevel="0" collapsed="false">
      <c r="A9" s="4" t="s">
        <v>487</v>
      </c>
      <c r="B9" s="4" t="s">
        <v>488</v>
      </c>
    </row>
    <row r="10" customFormat="false" ht="15" hidden="false" customHeight="true" outlineLevel="0" collapsed="false">
      <c r="A10" s="1" t="s">
        <v>242</v>
      </c>
      <c r="B10" s="1" t="n">
        <f aca="false">SUMPRODUCT(--(COUNTIFS('All Procedures'!$B$2:$B$374,'Clinics Overview'!$B$2:$B$60,'All Procedures'!$F$2:$F$374,"*"&amp;"Botox / Neuromodulators"&amp;"*")&gt;0))</f>
        <v>45</v>
      </c>
    </row>
    <row r="11" customFormat="false" ht="15" hidden="false" customHeight="true" outlineLevel="0" collapsed="false">
      <c r="A11" s="1" t="s">
        <v>247</v>
      </c>
      <c r="B11" s="1" t="n">
        <f aca="false">SUMPRODUCT(--(COUNTIFS('All Procedures'!$B$2:$B$374,'Clinics Overview'!$B$2:$B$60,'All Procedures'!$F$2:$F$374,"*"&amp;"Dermal / Lip Fillers"&amp;"*")&gt;0))</f>
        <v>39</v>
      </c>
    </row>
    <row r="12" customFormat="false" ht="15" hidden="false" customHeight="true" outlineLevel="0" collapsed="false">
      <c r="A12" s="1" t="s">
        <v>339</v>
      </c>
      <c r="B12" s="1" t="n">
        <f aca="false">SUMPRODUCT(--(COUNTIFS('All Procedures'!$B$2:$B$374,'Clinics Overview'!$B$2:$B$60,'All Procedures'!$F$2:$F$374,"*"&amp;"Sculptra / Biostimulators"&amp;"*")&gt;0))</f>
        <v>7</v>
      </c>
    </row>
    <row r="13" customFormat="false" ht="15" hidden="false" customHeight="true" outlineLevel="0" collapsed="false">
      <c r="A13" s="1" t="s">
        <v>424</v>
      </c>
      <c r="B13" s="1" t="n">
        <f aca="false">SUMPRODUCT(--(COUNTIFS('All Procedures'!$B$2:$B$374,'Clinics Overview'!$B$2:$B$60,'All Procedures'!$F$2:$F$374,"*"&amp;"Kybella"&amp;"*")&gt;0))</f>
        <v>1</v>
      </c>
    </row>
    <row r="14" customFormat="false" ht="15" hidden="false" customHeight="true" outlineLevel="0" collapsed="false">
      <c r="A14" s="1" t="s">
        <v>287</v>
      </c>
      <c r="B14" s="1" t="n">
        <f aca="false">SUMPRODUCT(--(COUNTIFS('All Procedures'!$B$2:$B$374,'Clinics Overview'!$B$2:$B$60,'All Procedures'!$F$2:$F$374,"*"&amp;"HydraFacial"&amp;"*")&gt;0))</f>
        <v>14</v>
      </c>
    </row>
    <row r="15" customFormat="false" ht="15" hidden="false" customHeight="true" outlineLevel="0" collapsed="false">
      <c r="A15" s="1" t="s">
        <v>222</v>
      </c>
      <c r="B15" s="1" t="n">
        <f aca="false">SUMPRODUCT(--(COUNTIFS('All Procedures'!$B$2:$B$374,'Clinics Overview'!$B$2:$B$60,'All Procedures'!$F$2:$F$374,"*"&amp;"Chemical Peels"&amp;"*")&gt;0))</f>
        <v>11</v>
      </c>
    </row>
    <row r="16" customFormat="false" ht="15" hidden="false" customHeight="true" outlineLevel="0" collapsed="false">
      <c r="A16" s="1" t="s">
        <v>254</v>
      </c>
      <c r="B16" s="1" t="n">
        <f aca="false">SUMPRODUCT(--(COUNTIFS('All Procedures'!$B$2:$B$374,'Clinics Overview'!$B$2:$B$60,'All Procedures'!$F$2:$F$374,"*"&amp;"Microneedling"&amp;"*")&gt;0))</f>
        <v>20</v>
      </c>
    </row>
    <row r="17" customFormat="false" ht="15" hidden="false" customHeight="true" outlineLevel="0" collapsed="false">
      <c r="A17" s="1" t="s">
        <v>291</v>
      </c>
      <c r="B17" s="1" t="n">
        <f aca="false">SUMPRODUCT(--(COUNTIFS('All Procedures'!$B$2:$B$374,'Clinics Overview'!$B$2:$B$60,'All Procedures'!$F$2:$F$374,"*"&amp;"Laser Hair Removal"&amp;"*")&gt;0))</f>
        <v>10</v>
      </c>
    </row>
    <row r="18" customFormat="false" ht="15" hidden="false" customHeight="true" outlineLevel="0" collapsed="false">
      <c r="A18" s="1" t="s">
        <v>261</v>
      </c>
      <c r="B18" s="1" t="n">
        <f aca="false">SUMPRODUCT(--(COUNTIFS('All Procedures'!$B$2:$B$374,'Clinics Overview'!$B$2:$B$60,'All Procedures'!$F$2:$F$374,"*"&amp;"Body Contouring / CoolSculpting"&amp;"*")&gt;0))</f>
        <v>25</v>
      </c>
    </row>
    <row r="19" customFormat="false" ht="15" hidden="false" customHeight="true" outlineLevel="0" collapsed="false">
      <c r="A19" s="1" t="s">
        <v>256</v>
      </c>
      <c r="B19" s="1" t="n">
        <f aca="false">SUMPRODUCT(--(COUNTIFS('All Procedures'!$B$2:$B$374,'Clinics Overview'!$B$2:$B$60,'All Procedures'!$F$2:$F$374,"*"&amp;"Skin Tightening (Morpheus8/RF)"&amp;"*")&gt;0))</f>
        <v>12</v>
      </c>
    </row>
    <row r="20" customFormat="false" ht="15" hidden="false" customHeight="true" outlineLevel="0" collapsed="false">
      <c r="A20" s="1" t="s">
        <v>248</v>
      </c>
      <c r="B20" s="1" t="n">
        <f aca="false">SUMPRODUCT(--(COUNTIFS('All Procedures'!$B$2:$B$374,'Clinics Overview'!$B$2:$B$60,'All Procedures'!$F$2:$F$374,"*"&amp;"IV Therapy"&amp;"*")&gt;0))</f>
        <v>18</v>
      </c>
    </row>
    <row r="21" customFormat="false" ht="15" hidden="false" customHeight="true" outlineLevel="0" collapsed="false">
      <c r="A21" s="1" t="s">
        <v>250</v>
      </c>
      <c r="B21" s="1" t="n">
        <f aca="false">SUMPRODUCT(--(COUNTIFS('All Procedures'!$B$2:$B$374,'Clinics Overview'!$B$2:$B$60,'All Procedures'!$F$2:$F$374,"*"&amp;"PRP / PRF"&amp;"*")&gt;0))</f>
        <v>17</v>
      </c>
    </row>
    <row r="22" customFormat="false" ht="15" hidden="false" customHeight="true" outlineLevel="0" collapsed="false">
      <c r="A22" s="1" t="s">
        <v>276</v>
      </c>
      <c r="B22" s="1" t="n">
        <f aca="false">SUMPRODUCT(--(COUNTIFS('All Procedures'!$B$2:$B$374,'Clinics Overview'!$B$2:$B$60,'All Procedures'!$F$2:$F$374,"*"&amp;"Medical Weight Loss / GLP-1"&amp;"*")&gt;0))</f>
        <v>11</v>
      </c>
    </row>
    <row r="23" customFormat="false" ht="15" hidden="false" customHeight="true" outlineLevel="0" collapsed="false">
      <c r="A23" s="1" t="s">
        <v>274</v>
      </c>
      <c r="B23" s="1" t="n">
        <f aca="false">SUMPRODUCT(--(COUNTIFS('All Procedures'!$B$2:$B$374,'Clinics Overview'!$B$2:$B$60,'All Procedures'!$F$2:$F$374,"*"&amp;"Hormone Therapy"&amp;"*")&gt;0))</f>
        <v>8</v>
      </c>
    </row>
    <row r="24" customFormat="false" ht="15" hidden="false" customHeight="true" outlineLevel="0" collapsed="false">
      <c r="A24" s="1" t="s">
        <v>271</v>
      </c>
      <c r="B24" s="1" t="n">
        <f aca="false">SUMPRODUCT(--(COUNTIFS('All Procedures'!$B$2:$B$374,'Clinics Overview'!$B$2:$B$60,'All Procedures'!$F$2:$F$374,"*"&amp;"IPL / Photofacial"&amp;"*")&gt;0))</f>
        <v>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1" t="s">
        <v>489</v>
      </c>
    </row>
    <row r="3" customFormat="false" ht="15" hidden="false" customHeight="true" outlineLevel="0" collapsed="false">
      <c r="A3" s="1" t="s">
        <v>490</v>
      </c>
    </row>
    <row r="4" customFormat="false" ht="15" hidden="false" customHeight="true" outlineLevel="0" collapsed="false">
      <c r="A4" s="1" t="s">
        <v>491</v>
      </c>
    </row>
    <row r="5" customFormat="false" ht="15" hidden="false" customHeight="true" outlineLevel="0" collapsed="false">
      <c r="A5" s="1" t="s">
        <v>492</v>
      </c>
    </row>
    <row r="6" customFormat="false" ht="15" hidden="false" customHeight="true" outlineLevel="0" collapsed="false">
      <c r="A6" s="1" t="s">
        <v>493</v>
      </c>
    </row>
    <row r="7" customFormat="false" ht="15" hidden="false" customHeight="true" outlineLevel="0" collapsed="false">
      <c r="A7" s="1" t="s">
        <v>494</v>
      </c>
    </row>
    <row r="8" customFormat="false" ht="15" hidden="false" customHeight="true" outlineLevel="0" collapsed="false">
      <c r="A8" s="1" t="s">
        <v>495</v>
      </c>
    </row>
    <row r="9" customFormat="false" ht="15" hidden="false" customHeight="true" outlineLevel="0" collapsed="false">
      <c r="A9" s="1" t="s">
        <v>496</v>
      </c>
    </row>
    <row r="10" customFormat="false" ht="15" hidden="false" customHeight="true" outlineLevel="0" collapsed="false">
      <c r="A10" s="1" t="s">
        <v>497</v>
      </c>
    </row>
    <row r="11" customFormat="false" ht="15" hidden="false" customHeight="true" outlineLevel="0" collapsed="false">
      <c r="A11" s="1" t="s">
        <v>498</v>
      </c>
    </row>
    <row r="13" customFormat="false" ht="15" hidden="false" customHeight="true" outlineLevel="0" collapsed="false">
      <c r="A13" s="1" t="s">
        <v>499</v>
      </c>
    </row>
    <row r="14" customFormat="false" ht="15" hidden="false" customHeight="true" outlineLevel="0" collapsed="false">
      <c r="A14" s="1" t="s">
        <v>500</v>
      </c>
    </row>
    <row r="15" customFormat="false" ht="15" hidden="false" customHeight="true" outlineLevel="0" collapsed="false">
      <c r="A15" s="1" t="s">
        <v>501</v>
      </c>
    </row>
    <row r="17" customFormat="false" ht="15" hidden="false" customHeight="true" outlineLevel="0" collapsed="false">
      <c r="A17" s="1" t="s">
        <v>502</v>
      </c>
    </row>
    <row r="18" customFormat="false" ht="15" hidden="false" customHeight="true" outlineLevel="0" collapsed="false">
      <c r="A18" s="1" t="s">
        <v>503</v>
      </c>
    </row>
    <row r="19" customFormat="false" ht="15" hidden="false" customHeight="true" outlineLevel="0" collapsed="false">
      <c r="A19" s="1" t="s">
        <v>504</v>
      </c>
    </row>
    <row r="21" customFormat="false" ht="15" hidden="false" customHeight="true" outlineLevel="0" collapsed="false">
      <c r="A21" s="1" t="s">
        <v>505</v>
      </c>
    </row>
    <row r="22" customFormat="false" ht="15" hidden="false" customHeight="true" outlineLevel="0" collapsed="false">
      <c r="A22" s="1" t="s">
        <v>506</v>
      </c>
    </row>
    <row r="23" customFormat="false" ht="15" hidden="false" customHeight="true" outlineLevel="0" collapsed="false">
      <c r="A23" s="1" t="s">
        <v>507</v>
      </c>
    </row>
    <row r="24" customFormat="false" ht="15" hidden="false" customHeight="true" outlineLevel="0" collapsed="false">
      <c r="A24" s="1" t="s">
        <v>508</v>
      </c>
    </row>
    <row r="25" customFormat="false" ht="15" hidden="false" customHeight="true" outlineLevel="0" collapsed="false">
      <c r="A25" s="1" t="s">
        <v>509</v>
      </c>
    </row>
    <row r="27" customFormat="false" ht="15" hidden="false" customHeight="true" outlineLevel="0" collapsed="false">
      <c r="A27" s="1" t="s">
        <v>510</v>
      </c>
    </row>
    <row r="28" customFormat="false" ht="15" hidden="false" customHeight="true" outlineLevel="0" collapsed="false">
      <c r="A28" s="1" t="s">
        <v>511</v>
      </c>
    </row>
    <row r="29" customFormat="false" ht="15" hidden="false" customHeight="true" outlineLevel="0" collapsed="false">
      <c r="A29" s="1" t="s">
        <v>512</v>
      </c>
    </row>
    <row r="30" customFormat="false" ht="15" hidden="false" customHeight="true" outlineLevel="0" collapsed="false">
      <c r="A30" s="1" t="s">
        <v>513</v>
      </c>
    </row>
    <row r="31" customFormat="false" ht="15" hidden="false" customHeight="true" outlineLevel="0" collapsed="false">
      <c r="A31" s="1" t="s">
        <v>514</v>
      </c>
    </row>
    <row r="32" customFormat="false" ht="15" hidden="false" customHeight="true" outlineLevel="0" collapsed="false">
      <c r="A32" s="1" t="s">
        <v>515</v>
      </c>
    </row>
    <row r="33" customFormat="false" ht="15" hidden="false" customHeight="true" outlineLevel="0" collapsed="false">
      <c r="A33" s="1" t="s">
        <v>516</v>
      </c>
    </row>
    <row r="34" customFormat="false" ht="15" hidden="false" customHeight="true" outlineLevel="0" collapsed="false">
      <c r="A34" s="1" t="s">
        <v>517</v>
      </c>
    </row>
    <row r="35" customFormat="false" ht="15" hidden="false" customHeight="true" outlineLevel="0" collapsed="false">
      <c r="A35" s="1" t="s">
        <v>518</v>
      </c>
    </row>
    <row r="36" customFormat="false" ht="15" hidden="false" customHeight="true" outlineLevel="0" collapsed="false">
      <c r="A36" s="1" t="s">
        <v>519</v>
      </c>
    </row>
    <row r="37" customFormat="false" ht="15" hidden="false" customHeight="true" outlineLevel="0" collapsed="false">
      <c r="A37" s="1" t="s">
        <v>520</v>
      </c>
    </row>
    <row r="39" customFormat="false" ht="15" hidden="false" customHeight="true" outlineLevel="0" collapsed="false">
      <c r="A39" s="1" t="s">
        <v>521</v>
      </c>
    </row>
    <row r="40" customFormat="false" ht="15" hidden="false" customHeight="true" outlineLevel="0" collapsed="false">
      <c r="A40" s="1" t="s">
        <v>522</v>
      </c>
    </row>
    <row r="41" customFormat="false" ht="15" hidden="false" customHeight="true" outlineLevel="0" collapsed="false">
      <c r="A41" s="1" t="s">
        <v>523</v>
      </c>
    </row>
    <row r="42" customFormat="false" ht="15" hidden="false" customHeight="true" outlineLevel="0" collapsed="false">
      <c r="A42" s="1" t="s">
        <v>524</v>
      </c>
    </row>
    <row r="43" customFormat="false" ht="15" hidden="false" customHeight="true" outlineLevel="0" collapsed="false">
      <c r="A43" s="1" t="s">
        <v>525</v>
      </c>
    </row>
    <row r="44" customFormat="false" ht="15" hidden="false" customHeight="true" outlineLevel="0" collapsed="false">
      <c r="A44" s="1" t="s">
        <v>526</v>
      </c>
    </row>
    <row r="46" customFormat="false" ht="15" hidden="false" customHeight="true" outlineLevel="0" collapsed="false">
      <c r="A46" s="1" t="s">
        <v>527</v>
      </c>
    </row>
    <row r="47" customFormat="false" ht="15" hidden="false" customHeight="true" outlineLevel="0" collapsed="false">
      <c r="A47" s="1" t="s">
        <v>528</v>
      </c>
    </row>
    <row r="48" customFormat="false" ht="15" hidden="false" customHeight="true" outlineLevel="0" collapsed="false">
      <c r="A48" s="1" t="s">
        <v>529</v>
      </c>
    </row>
    <row r="49" customFormat="false" ht="15" hidden="false" customHeight="true" outlineLevel="0" collapsed="false">
      <c r="A49" s="1" t="s">
        <v>530</v>
      </c>
    </row>
    <row r="50" customFormat="false" ht="15" hidden="false" customHeight="true" outlineLevel="0" collapsed="false">
      <c r="A50" s="1" t="s">
        <v>531</v>
      </c>
    </row>
    <row r="51" customFormat="false" ht="15" hidden="false" customHeight="true" outlineLevel="0" collapsed="false">
      <c r="A51" s="1" t="s">
        <v>532</v>
      </c>
    </row>
    <row r="52" customFormat="false" ht="15" hidden="false" customHeight="true" outlineLevel="0" collapsed="false">
      <c r="A52" s="1" t="s">
        <v>533</v>
      </c>
    </row>
    <row r="53" customFormat="false" ht="15" hidden="false" customHeight="true" outlineLevel="0" collapsed="false">
      <c r="A53" s="1" t="s">
        <v>534</v>
      </c>
    </row>
    <row r="55" customFormat="false" ht="15" hidden="false" customHeight="true" outlineLevel="0" collapsed="false">
      <c r="A55" s="1" t="s">
        <v>535</v>
      </c>
    </row>
    <row r="56" customFormat="false" ht="15" hidden="false" customHeight="true" outlineLevel="0" collapsed="false">
      <c r="A56" s="1" t="s">
        <v>536</v>
      </c>
    </row>
    <row r="57" customFormat="false" ht="15" hidden="false" customHeight="true" outlineLevel="0" collapsed="false">
      <c r="A57" s="1" t="s">
        <v>537</v>
      </c>
    </row>
    <row r="58" customFormat="false" ht="15" hidden="false" customHeight="true" outlineLevel="0" collapsed="false">
      <c r="A58" s="1" t="s">
        <v>538</v>
      </c>
    </row>
    <row r="60" customFormat="false" ht="15" hidden="false" customHeight="true" outlineLevel="0" collapsed="false">
      <c r="A60" s="1" t="s">
        <v>539</v>
      </c>
    </row>
    <row r="62" customFormat="false" ht="15" hidden="false" customHeight="true" outlineLevel="0" collapsed="false">
      <c r="A62" s="1" t="s">
        <v>540</v>
      </c>
    </row>
    <row r="63" customFormat="false" ht="15" hidden="false" customHeight="true" outlineLevel="0" collapsed="false">
      <c r="A63" s="1" t="s">
        <v>541</v>
      </c>
    </row>
    <row r="64" customFormat="false" ht="15" hidden="false" customHeight="true" outlineLevel="0" collapsed="false">
      <c r="A64" s="1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2026-08-18T23:21:58Z</dcterms:created>
  <dc:creator>openpyxl</dc:creator>
  <dc:description/>
  <dc:language>en-US</dc:language>
  <cp:lastModifiedBy/>
  <dcterms:modified xsi:type="dcterms:W3CDTF">2026-08-18T23:30:34Z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