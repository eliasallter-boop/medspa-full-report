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nics Overview" sheetId="1" state="visible" r:id="rId3"/>
    <sheet name="All Procedures" sheetId="2" state="visible" r:id="rId4"/>
    <sheet name="Dashboard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<sst xmlns="http://schemas.openxmlformats.org/spreadsheetml/2006/main" count="3053" uniqueCount="743">
  <si>
    <t xml:space="preserve">#</t>
  </si>
  <si>
    <t xml:space="preserve">Clinic Name</t>
  </si>
  <si>
    <t xml:space="preserve">Neighborhood</t>
  </si>
  <si>
    <t xml:space="preserve">Address</t>
  </si>
  <si>
    <t xml:space="preserve">Website</t>
  </si>
  <si>
    <t xml:space="preserve">Email</t>
  </si>
  <si>
    <t xml:space="preserve">Pricing on File?</t>
  </si>
  <si>
    <t xml:space="preserve"># Procedures Logged</t>
  </si>
  <si>
    <t xml:space="preserve">Notes</t>
  </si>
  <si>
    <t xml:space="preserve">SkinSpirit Austin</t>
  </si>
  <si>
    <t xml:space="preserve">Downtown</t>
  </si>
  <si>
    <t xml:space="preserve">405 N Lamar Blvd Suite 110</t>
  </si>
  <si>
    <t xml:space="preserve">skinspirit.com</t>
  </si>
  <si>
    <t xml:space="preserve">no email found (phone/booking only)</t>
  </si>
  <si>
    <t xml:space="preserve">Yes</t>
  </si>
  <si>
    <t xml:space="preserve">Austin Med Spa</t>
  </si>
  <si>
    <t xml:space="preserve">1611 W 6th St</t>
  </si>
  <si>
    <t xml:space="preserve">austinmedspa.com</t>
  </si>
  <si>
    <t xml:space="preserve">Partial</t>
  </si>
  <si>
    <t xml:space="preserve">Rejuvenate Austin</t>
  </si>
  <si>
    <t xml:space="preserve">1301 W 5th St #100</t>
  </si>
  <si>
    <t xml:space="preserve">rejuvenateaustin.com</t>
  </si>
  <si>
    <t xml:space="preserve">hello@rejuvenateaustin.com</t>
  </si>
  <si>
    <t xml:space="preserve">No</t>
  </si>
  <si>
    <t xml:space="preserve">Elevate SKN</t>
  </si>
  <si>
    <t xml:space="preserve">904 West Ave Ste 150</t>
  </si>
  <si>
    <t xml:space="preserve">elevateskn.com</t>
  </si>
  <si>
    <t xml:space="preserve">hello@elevateskn.com</t>
  </si>
  <si>
    <t xml:space="preserve">Face to Face Spa at Downtown Austin</t>
  </si>
  <si>
    <t xml:space="preserve">1717 W 6th St Ste R-120</t>
  </si>
  <si>
    <t xml:space="preserve">facetofacespa.com</t>
  </si>
  <si>
    <t xml:space="preserve">LVS La Vie Med Spas + Day Spa</t>
  </si>
  <si>
    <t xml:space="preserve">51 Rainey St #150</t>
  </si>
  <si>
    <t xml:space="preserve">lvmedspas.com</t>
  </si>
  <si>
    <t xml:space="preserve">Austin Aesthetics Club</t>
  </si>
  <si>
    <t xml:space="preserve">1107 Nueces St</t>
  </si>
  <si>
    <t xml:space="preserve">austinaestheticsclub.com</t>
  </si>
  <si>
    <t xml:space="preserve">Saving Face</t>
  </si>
  <si>
    <t xml:space="preserve">405 W 14th St</t>
  </si>
  <si>
    <t xml:space="preserve">savingfaceaustin.com</t>
  </si>
  <si>
    <t xml:space="preserve">The Injection Room</t>
  </si>
  <si>
    <t xml:space="preserve">South Congress</t>
  </si>
  <si>
    <t xml:space="preserve">3801 S Congress Ave Ste 101</t>
  </si>
  <si>
    <t xml:space="preserve">theinjectionroom.com</t>
  </si>
  <si>
    <t xml:space="preserve">Luminous</t>
  </si>
  <si>
    <t xml:space="preserve">2900 S Congress Ave Ste 208</t>
  </si>
  <si>
    <t xml:space="preserve">luminousfaceskinmind.com</t>
  </si>
  <si>
    <t xml:space="preserve">It's A Secret Med Spa - Austin South Lamar</t>
  </si>
  <si>
    <t xml:space="preserve">1100 S Lamar Blvd Ste 2120</t>
  </si>
  <si>
    <t xml:space="preserve">secretmedspa.com</t>
  </si>
  <si>
    <t xml:space="preserve">Victory Rejuvenate &amp; MedSpa</t>
  </si>
  <si>
    <t xml:space="preserve">2108 W Ben White Blvd</t>
  </si>
  <si>
    <t xml:space="preserve">victoryrejuvenate.com</t>
  </si>
  <si>
    <t xml:space="preserve">Skin Envy Austin - South</t>
  </si>
  <si>
    <t xml:space="preserve">2500 W William Cannon Dr STE 601</t>
  </si>
  <si>
    <t xml:space="preserve">skinenvyaustin.com</t>
  </si>
  <si>
    <t xml:space="preserve">Spa 7</t>
  </si>
  <si>
    <t xml:space="preserve">3401 S Lamar Blvd #3135</t>
  </si>
  <si>
    <t xml:space="preserve">spa7austin.com</t>
  </si>
  <si>
    <t xml:space="preserve">Figura Medspa</t>
  </si>
  <si>
    <t xml:space="preserve">4477 S Lamar Blvd #590</t>
  </si>
  <si>
    <t xml:space="preserve">figuramedspa.com</t>
  </si>
  <si>
    <t xml:space="preserve">Innate Beauty Medical Spa</t>
  </si>
  <si>
    <t xml:space="preserve">1611 S 1st St</t>
  </si>
  <si>
    <t xml:space="preserve">innatebeauty.com</t>
  </si>
  <si>
    <t xml:space="preserve">Texas Laser and Aesthetics Medspa</t>
  </si>
  <si>
    <t xml:space="preserve">4534 West Gate Blvd Ste 108</t>
  </si>
  <si>
    <t xml:space="preserve">texaslasermedspa.com</t>
  </si>
  <si>
    <t xml:space="preserve">Westlake Aesthetics &amp; Wellness</t>
  </si>
  <si>
    <t xml:space="preserve">Westlake</t>
  </si>
  <si>
    <t xml:space="preserve">2745 Bee Caves Rd #101</t>
  </si>
  <si>
    <t xml:space="preserve">westlakeaestheticswellness.com</t>
  </si>
  <si>
    <t xml:space="preserve">Formula Wellness</t>
  </si>
  <si>
    <t xml:space="preserve">5656 Bee Caves Rd Suite D200</t>
  </si>
  <si>
    <t xml:space="preserve">formulawellness.com</t>
  </si>
  <si>
    <t xml:space="preserve">Body Tonic RX Westlake</t>
  </si>
  <si>
    <t xml:space="preserve">300 Beardsley Ln D-102</t>
  </si>
  <si>
    <t xml:space="preserve">mybodytonic.com</t>
  </si>
  <si>
    <t xml:space="preserve">Muse Medspa</t>
  </si>
  <si>
    <t xml:space="preserve">4201 Bee Caves Rd # B200</t>
  </si>
  <si>
    <t xml:space="preserve">musemedspaaustin.com</t>
  </si>
  <si>
    <t xml:space="preserve">Fresh Aesthetics</t>
  </si>
  <si>
    <t xml:space="preserve">1101 S Capital of Texas Hwy Bldg F, Suite 150</t>
  </si>
  <si>
    <t xml:space="preserve">westlakefreshaesthetics.com</t>
  </si>
  <si>
    <t xml:space="preserve">Beauty Elite Med Spa</t>
  </si>
  <si>
    <t xml:space="preserve">Sola Salons, 2901 South Capital of TX Hwy, Space #U02A, Studio 16</t>
  </si>
  <si>
    <t xml:space="preserve">beautyelitemedspa.com</t>
  </si>
  <si>
    <t xml:space="preserve">Auveau</t>
  </si>
  <si>
    <t xml:space="preserve">4238 Bee Caves Rd</t>
  </si>
  <si>
    <t xml:space="preserve">auveau.com</t>
  </si>
  <si>
    <t xml:space="preserve">Spa Sway Day + Med Spa | Westlake</t>
  </si>
  <si>
    <t xml:space="preserve">701 S Capital of Texas Hwy Ste E-500</t>
  </si>
  <si>
    <t xml:space="preserve">spasway.com</t>
  </si>
  <si>
    <t xml:space="preserve">westlake@spasway.com</t>
  </si>
  <si>
    <t xml:space="preserve">Austin Luxury Medspa</t>
  </si>
  <si>
    <t xml:space="preserve">4407 Bee Caves Rd Bldg 1, Suite 113</t>
  </si>
  <si>
    <t xml:space="preserve">austinluxurymedspa.com</t>
  </si>
  <si>
    <t xml:space="preserve">Viva Day Spa + Med Spa | Domain Northside</t>
  </si>
  <si>
    <t xml:space="preserve">The Domain</t>
  </si>
  <si>
    <t xml:space="preserve">11601 Rock Rose Ave</t>
  </si>
  <si>
    <t xml:space="preserve">vivadayspa.com</t>
  </si>
  <si>
    <t xml:space="preserve">It's A Secret Med Spa - Austin</t>
  </si>
  <si>
    <t xml:space="preserve">3001 Palm Way Ste 146</t>
  </si>
  <si>
    <t xml:space="preserve">Spa Sway Day + Med Spa | Domain</t>
  </si>
  <si>
    <t xml:space="preserve">11011 Domain Dr #124</t>
  </si>
  <si>
    <t xml:space="preserve">hello@spasway.com</t>
  </si>
  <si>
    <t xml:space="preserve">Personique On The Spot</t>
  </si>
  <si>
    <t xml:space="preserve">3220 Feathergrass Ct #132</t>
  </si>
  <si>
    <t xml:space="preserve">personiqueonthespot.com</t>
  </si>
  <si>
    <t xml:space="preserve">Spa Luxe Austin</t>
  </si>
  <si>
    <t xml:space="preserve">2713 Perseverance Dr</t>
  </si>
  <si>
    <t xml:space="preserve">spaluxe.com</t>
  </si>
  <si>
    <t xml:space="preserve">austininfo@spaluxe.com</t>
  </si>
  <si>
    <t xml:space="preserve">Medspa of Austin</t>
  </si>
  <si>
    <t xml:space="preserve">10931 Jollyville Rd</t>
  </si>
  <si>
    <t xml:space="preserve">themedspaaustin.com</t>
  </si>
  <si>
    <t xml:space="preserve">SkinSpirit North Austin</t>
  </si>
  <si>
    <t xml:space="preserve">9607 Research Blvd Ste 110</t>
  </si>
  <si>
    <t xml:space="preserve">LaserAway Austin The Domain</t>
  </si>
  <si>
    <t xml:space="preserve">11011 Domain Dr Ste 106</t>
  </si>
  <si>
    <t xml:space="preserve">laseraway.com</t>
  </si>
  <si>
    <t xml:space="preserve">Maui MedSpa</t>
  </si>
  <si>
    <t xml:space="preserve">10526 W Parmer Ln Ste 425</t>
  </si>
  <si>
    <t xml:space="preserve">mauimedspa.com</t>
  </si>
  <si>
    <t xml:space="preserve">Viva Day Spa + Med Spa | Round Rock</t>
  </si>
  <si>
    <t xml:space="preserve">Round Rock</t>
  </si>
  <si>
    <t xml:space="preserve">603 S Mays St</t>
  </si>
  <si>
    <t xml:space="preserve">Vibrant Med Spa</t>
  </si>
  <si>
    <t xml:space="preserve">1101 Satellite View #502</t>
  </si>
  <si>
    <t xml:space="preserve">vibrantmedspa.com</t>
  </si>
  <si>
    <t xml:space="preserve">Ginger Allure MedSpa</t>
  </si>
  <si>
    <t xml:space="preserve">607 E Main St</t>
  </si>
  <si>
    <t xml:space="preserve">gingerallure.com</t>
  </si>
  <si>
    <t xml:space="preserve">Allure Laser &amp; Day Spa</t>
  </si>
  <si>
    <t xml:space="preserve">1311 Chisholm Trail Rd Ste 203</t>
  </si>
  <si>
    <t xml:space="preserve">allurelaserdayspa.com</t>
  </si>
  <si>
    <t xml:space="preserve">ABL Medical Spa &amp; Wellness Clinic MD</t>
  </si>
  <si>
    <t xml:space="preserve">500 E Palm Valley Blvd</t>
  </si>
  <si>
    <t xml:space="preserve">ablmedspa.com</t>
  </si>
  <si>
    <t xml:space="preserve">Bliss Salon &amp; Med Spa</t>
  </si>
  <si>
    <t xml:space="preserve">107 S Sheppard St</t>
  </si>
  <si>
    <t xml:space="preserve">blisssalonmedspa.com</t>
  </si>
  <si>
    <t xml:space="preserve">Chan Ramos MedSpa</t>
  </si>
  <si>
    <t xml:space="preserve">1101 Satellite View #402</t>
  </si>
  <si>
    <t xml:space="preserve">chanramos.com</t>
  </si>
  <si>
    <t xml:space="preserve">Organica Aesthetics</t>
  </si>
  <si>
    <t xml:space="preserve">109 E Main St</t>
  </si>
  <si>
    <t xml:space="preserve">organicaaesthetics.com</t>
  </si>
  <si>
    <t xml:space="preserve">NeoSkin Spa</t>
  </si>
  <si>
    <t xml:space="preserve">Cedar Park</t>
  </si>
  <si>
    <t xml:space="preserve">11066 Pecan Park Blvd Ste 303 LOFT 305</t>
  </si>
  <si>
    <t xml:space="preserve">neoskinaustin.com</t>
  </si>
  <si>
    <t xml:space="preserve">Skin by Deep Roots</t>
  </si>
  <si>
    <t xml:space="preserve">1310 E Whitestone Blvd #560</t>
  </si>
  <si>
    <t xml:space="preserve">skinbydeeproots.com</t>
  </si>
  <si>
    <t xml:space="preserve">Perfect Aesthetics &amp; Spa</t>
  </si>
  <si>
    <t xml:space="preserve">1464 E Whitestone Blvd Bldg 2</t>
  </si>
  <si>
    <t xml:space="preserve">perfectaestheticsspa.com</t>
  </si>
  <si>
    <t xml:space="preserve">L-Aesthetics &amp; Longevity</t>
  </si>
  <si>
    <t xml:space="preserve">1120 Cottonwood Creek Trail Ste 180b</t>
  </si>
  <si>
    <t xml:space="preserve">lalongevity.com</t>
  </si>
  <si>
    <t xml:space="preserve">Luxe Laser and Wellness Spa</t>
  </si>
  <si>
    <t xml:space="preserve">601 E Whitestone Blvd</t>
  </si>
  <si>
    <t xml:space="preserve">luxelaserwellness.com</t>
  </si>
  <si>
    <t xml:space="preserve">Youthful Solutions</t>
  </si>
  <si>
    <t xml:space="preserve">2901 Caballo Ranch Blvd #12b</t>
  </si>
  <si>
    <t xml:space="preserve">ysmedispa.com</t>
  </si>
  <si>
    <t xml:space="preserve">Self Aesthetics &amp; Wellness</t>
  </si>
  <si>
    <t xml:space="preserve">1130 Cottonwood Creek Trail C-2</t>
  </si>
  <si>
    <t xml:space="preserve">selfatx.com</t>
  </si>
  <si>
    <t xml:space="preserve">Beautiful Solutions</t>
  </si>
  <si>
    <t xml:space="preserve">2500 S Lakeline Blvd Ste 201</t>
  </si>
  <si>
    <t xml:space="preserve">beautifulsolutionstx.com</t>
  </si>
  <si>
    <t xml:space="preserve">Aurora Medical Spa</t>
  </si>
  <si>
    <t xml:space="preserve">Georgetown</t>
  </si>
  <si>
    <t xml:space="preserve">1013 W University Ave #193</t>
  </si>
  <si>
    <t xml:space="preserve">auroramedicalspa.com</t>
  </si>
  <si>
    <t xml:space="preserve">Renew Med Spa</t>
  </si>
  <si>
    <t xml:space="preserve">4859 Williams Dr #111</t>
  </si>
  <si>
    <t xml:space="preserve">renewmedspatx.com</t>
  </si>
  <si>
    <t xml:space="preserve">Laser Lounge Med Spa Georgetown</t>
  </si>
  <si>
    <t xml:space="preserve">2002 Williams Dr</t>
  </si>
  <si>
    <t xml:space="preserve">laserloungemedspa.com</t>
  </si>
  <si>
    <t xml:space="preserve">Joslin Medical Spa By Thompson Plastic Surgery</t>
  </si>
  <si>
    <t xml:space="preserve">100 River Hills Dr #100</t>
  </si>
  <si>
    <t xml:space="preserve">thompsonplasticsurgery.com</t>
  </si>
  <si>
    <t xml:space="preserve">Spa Luxe (Georgetown)</t>
  </si>
  <si>
    <t xml:space="preserve">1500 Rivery Blvd Ste 300</t>
  </si>
  <si>
    <t xml:space="preserve">Truly Lifted MedSpa</t>
  </si>
  <si>
    <t xml:space="preserve">2951 FM1460 #204</t>
  </si>
  <si>
    <t xml:space="preserve">trulyliftedmedspa.com</t>
  </si>
  <si>
    <t xml:space="preserve">M Aesthetics Of Georgetown</t>
  </si>
  <si>
    <t xml:space="preserve">940 W University Ave #105</t>
  </si>
  <si>
    <t xml:space="preserve">no site found</t>
  </si>
  <si>
    <t xml:space="preserve">maestheticspa061@gmail.com</t>
  </si>
  <si>
    <t xml:space="preserve">Contour &amp; Sculpt Aesthetics</t>
  </si>
  <si>
    <t xml:space="preserve">402 W University Ave</t>
  </si>
  <si>
    <t xml:space="preserve">contourandsculptaesthetics.com</t>
  </si>
  <si>
    <t xml:space="preserve">Elite Med Spa</t>
  </si>
  <si>
    <t xml:space="preserve">Pflugerville</t>
  </si>
  <si>
    <t xml:space="preserve">1616 FM 685</t>
  </si>
  <si>
    <t xml:space="preserve">elitemedspaoftexas.com</t>
  </si>
  <si>
    <t xml:space="preserve">B. Sweet Lash Wax &amp; Medspa</t>
  </si>
  <si>
    <t xml:space="preserve">1713 FM 685 #120</t>
  </si>
  <si>
    <t xml:space="preserve">bsweet.shop</t>
  </si>
  <si>
    <t xml:space="preserve">Instant Beauty Skin Studio</t>
  </si>
  <si>
    <t xml:space="preserve">1513 Stone Hill Dr #14</t>
  </si>
  <si>
    <t xml:space="preserve">AUSTEX Wellness and Medical Spa</t>
  </si>
  <si>
    <t xml:space="preserve">Lakeway</t>
  </si>
  <si>
    <t xml:space="preserve">2009 Main St #200</t>
  </si>
  <si>
    <t xml:space="preserve">austexwellness.com</t>
  </si>
  <si>
    <t xml:space="preserve">MiraBelle Aesthetics &amp; Wellness</t>
  </si>
  <si>
    <t xml:space="preserve">1411 Ranch Rd 620 S</t>
  </si>
  <si>
    <t xml:space="preserve">mirabellespa.com</t>
  </si>
  <si>
    <t xml:space="preserve">welcome@mirabellespa.com</t>
  </si>
  <si>
    <t xml:space="preserve">THAT Med Spa</t>
  </si>
  <si>
    <t xml:space="preserve">102 Yacht Club Cove</t>
  </si>
  <si>
    <t xml:space="preserve">thatmedspa.com</t>
  </si>
  <si>
    <t xml:space="preserve">Radiant Complexions Skin Lounge</t>
  </si>
  <si>
    <t xml:space="preserve">2951 Ranch Rd 620 S #102</t>
  </si>
  <si>
    <t xml:space="preserve">radiantskinlounge.com</t>
  </si>
  <si>
    <t xml:space="preserve">Jacquelyn's Spa</t>
  </si>
  <si>
    <t xml:space="preserve">1310 Ranch Rd 620 S Suite B-199</t>
  </si>
  <si>
    <t xml:space="preserve">jacquelynsspa.com</t>
  </si>
  <si>
    <t xml:space="preserve">Wink Medical Aesthetics</t>
  </si>
  <si>
    <t xml:space="preserve">2127 Lohmans Crossing Rd #302</t>
  </si>
  <si>
    <t xml:space="preserve">winkmed.com</t>
  </si>
  <si>
    <t xml:space="preserve">RM Aesthetics</t>
  </si>
  <si>
    <t xml:space="preserve">1310 Ranch Rd 620 S Suite B-4</t>
  </si>
  <si>
    <t xml:space="preserve">Lake Travis Laser Skincare &amp; Aesthetics</t>
  </si>
  <si>
    <t xml:space="preserve">107 Ranch Rd 620 S Unit 201</t>
  </si>
  <si>
    <t xml:space="preserve">austinlaserskincare.com</t>
  </si>
  <si>
    <t xml:space="preserve">Skinology by Sophie Champmartin</t>
  </si>
  <si>
    <t xml:space="preserve">Yacht Club area, Lakeway (exact suite not confirmed)</t>
  </si>
  <si>
    <t xml:space="preserve">skinology-by-sophie-champmartin.com</t>
  </si>
  <si>
    <t xml:space="preserve">Face to Face Spa at Bee Cave</t>
  </si>
  <si>
    <t xml:space="preserve">Bee Cave</t>
  </si>
  <si>
    <t xml:space="preserve">12815 Shops Pkwy #150</t>
  </si>
  <si>
    <t xml:space="preserve">Beverly Hills Rejuvenation Ctr Medspa</t>
  </si>
  <si>
    <t xml:space="preserve">3944 Ranch Rd 620 S Ste 1-100</t>
  </si>
  <si>
    <t xml:space="preserve">bhrcenter.com</t>
  </si>
  <si>
    <t xml:space="preserve">11813 Bee Caves Rd Ste b</t>
  </si>
  <si>
    <t xml:space="preserve">Beautiful Day Med Spa</t>
  </si>
  <si>
    <t xml:space="preserve">13001 State Hwy 71 #103</t>
  </si>
  <si>
    <t xml:space="preserve">beautifuldaymedspa.com</t>
  </si>
  <si>
    <t xml:space="preserve">Beaute Paris Medical Spa and Integrative Wellness</t>
  </si>
  <si>
    <t xml:space="preserve">11701 Bee Caves Rd #130</t>
  </si>
  <si>
    <t xml:space="preserve">beauteparismedspa.com</t>
  </si>
  <si>
    <t xml:space="preserve">Body Tonic RX Bee Cave</t>
  </si>
  <si>
    <t xml:space="preserve">15500 State Hwy 71 A-350</t>
  </si>
  <si>
    <t xml:space="preserve">Beaux MedSpa</t>
  </si>
  <si>
    <t xml:space="preserve">6317 Bee Caves Rd #260</t>
  </si>
  <si>
    <t xml:space="preserve">beauxmedspa.com</t>
  </si>
  <si>
    <t xml:space="preserve">Face to Face Spa at Circle C Ranch</t>
  </si>
  <si>
    <t xml:space="preserve">Circle C</t>
  </si>
  <si>
    <t xml:space="preserve">5701 W Slaughter Ln B140</t>
  </si>
  <si>
    <t xml:space="preserve">Cabana Medical Spa</t>
  </si>
  <si>
    <t xml:space="preserve">5700 S MoPac Expy B 220 Room 6</t>
  </si>
  <si>
    <t xml:space="preserve">cabanamedspa.com</t>
  </si>
  <si>
    <t xml:space="preserve">Glo Med Spa Austin</t>
  </si>
  <si>
    <t xml:space="preserve">9801 Anderson Mill Rd #120</t>
  </si>
  <si>
    <t xml:space="preserve">glomedspaaustin.com</t>
  </si>
  <si>
    <t xml:space="preserve">Simple Radiance Medspa</t>
  </si>
  <si>
    <t xml:space="preserve">3301 Northland Dr Unit 217</t>
  </si>
  <si>
    <t xml:space="preserve">simpleradianceaustin.com</t>
  </si>
  <si>
    <t xml:space="preserve">NakedMD Med Spa Austin</t>
  </si>
  <si>
    <t xml:space="preserve">1600 W 38th St #312</t>
  </si>
  <si>
    <t xml:space="preserve">nakedmd.com</t>
  </si>
  <si>
    <t xml:space="preserve">Curate Medspa</t>
  </si>
  <si>
    <t xml:space="preserve">East Austin</t>
  </si>
  <si>
    <t xml:space="preserve">2709 E 5th St #110b</t>
  </si>
  <si>
    <t xml:space="preserve">curatemedspaatx.com</t>
  </si>
  <si>
    <t xml:space="preserve">Coco Aesthetics Medspa</t>
  </si>
  <si>
    <t xml:space="preserve">1600 East Riverside Drive Suite 110</t>
  </si>
  <si>
    <t xml:space="preserve">Peachy East Austin</t>
  </si>
  <si>
    <t xml:space="preserve">1401 E 5th St Suite 103</t>
  </si>
  <si>
    <t xml:space="preserve">peachystudio.com</t>
  </si>
  <si>
    <t xml:space="preserve">VIO Med Spa | Mueller</t>
  </si>
  <si>
    <t xml:space="preserve">Mueller</t>
  </si>
  <si>
    <t xml:space="preserve">1900 Aldrich St #120</t>
  </si>
  <si>
    <t xml:space="preserve">viomedspa.com</t>
  </si>
  <si>
    <t xml:space="preserve">RejuvaWell</t>
  </si>
  <si>
    <t xml:space="preserve">1802 Westmoor Dr</t>
  </si>
  <si>
    <t xml:space="preserve">rejuvawell.com</t>
  </si>
  <si>
    <t xml:space="preserve">Alchemy Wellness Med Spa</t>
  </si>
  <si>
    <t xml:space="preserve">3405 Glenview Ave</t>
  </si>
  <si>
    <t xml:space="preserve">alchemywellnessatx.com</t>
  </si>
  <si>
    <t xml:space="preserve">ULALA Med Spa</t>
  </si>
  <si>
    <t xml:space="preserve">1722 W Anderson Ln</t>
  </si>
  <si>
    <t xml:space="preserve">ulalamedspa.com</t>
  </si>
  <si>
    <t xml:space="preserve">Wild and Beautiful Natural Aesthetics</t>
  </si>
  <si>
    <t xml:space="preserve">Hyde Park</t>
  </si>
  <si>
    <t xml:space="preserve">500 W 38th St</t>
  </si>
  <si>
    <t xml:space="preserve">wildandbeautifulaustin.com</t>
  </si>
  <si>
    <t xml:space="preserve">Aesthetica Med Spa</t>
  </si>
  <si>
    <t xml:space="preserve">500 N Capital of Texas Hwy Bldg 6, Suite 100</t>
  </si>
  <si>
    <t xml:space="preserve">amedspa.com</t>
  </si>
  <si>
    <t xml:space="preserve">Results Weight Loss &amp; Med Spa</t>
  </si>
  <si>
    <t xml:space="preserve">Buda</t>
  </si>
  <si>
    <t xml:space="preserve">825 Main St Ste 150</t>
  </si>
  <si>
    <t xml:space="preserve">resultsweightlossandmedspa.com</t>
  </si>
  <si>
    <t xml:space="preserve">SIREN Beauty + Wellness Aesthetic Boutique</t>
  </si>
  <si>
    <t xml:space="preserve">569 Main St</t>
  </si>
  <si>
    <t xml:space="preserve">sirenbeautyandwellness.com</t>
  </si>
  <si>
    <t xml:space="preserve">Nativa Medical Aesthetics</t>
  </si>
  <si>
    <t xml:space="preserve">800 Farm to Market 1626 Ste 210</t>
  </si>
  <si>
    <t xml:space="preserve">nativamedaesthetics.com</t>
  </si>
  <si>
    <t xml:space="preserve">Glow Laser and Beauty</t>
  </si>
  <si>
    <t xml:space="preserve">251 Farm to Market 1626 #1a</t>
  </si>
  <si>
    <t xml:space="preserve">glowlaserandbeauty.com</t>
  </si>
  <si>
    <t xml:space="preserve">Fresh Face Aesthetics</t>
  </si>
  <si>
    <t xml:space="preserve">668 Main St Suite A</t>
  </si>
  <si>
    <t xml:space="preserve">freshfacebuda.com</t>
  </si>
  <si>
    <t xml:space="preserve">info@freshfacebuda.com</t>
  </si>
  <si>
    <t xml:space="preserve">Sunrise Wellness and Aesthetics</t>
  </si>
  <si>
    <t xml:space="preserve">800 Farm to Market 1626 Ste 601</t>
  </si>
  <si>
    <t xml:space="preserve">sunrisewellnessclinic.com</t>
  </si>
  <si>
    <t xml:space="preserve">Procedure/Treatment</t>
  </si>
  <si>
    <t xml:space="preserve">Price</t>
  </si>
  <si>
    <t xml:space="preserve">Duration</t>
  </si>
  <si>
    <t xml:space="preserve">Category</t>
  </si>
  <si>
    <t xml:space="preserve">Botox</t>
  </si>
  <si>
    <t xml:space="preserve">$10-$20/unit</t>
  </si>
  <si>
    <t xml:space="preserve">Botox / Neuromodulators</t>
  </si>
  <si>
    <t xml:space="preserve">Lip Filler</t>
  </si>
  <si>
    <t xml:space="preserve">$500-$700/syringe</t>
  </si>
  <si>
    <t xml:space="preserve">Dermal / Lip Fillers</t>
  </si>
  <si>
    <t xml:space="preserve">Cheek Filler</t>
  </si>
  <si>
    <t xml:space="preserve">$600-$800/syringe</t>
  </si>
  <si>
    <t xml:space="preserve">Laser Hair Removal</t>
  </si>
  <si>
    <t xml:space="preserve">not published</t>
  </si>
  <si>
    <t xml:space="preserve">Photo Rejuvenation / IPL</t>
  </si>
  <si>
    <t xml:space="preserve">IPL / Photofacial</t>
  </si>
  <si>
    <t xml:space="preserve">Microdermabrasion</t>
  </si>
  <si>
    <t xml:space="preserve">Chemical Peels</t>
  </si>
  <si>
    <t xml:space="preserve">Bellafill</t>
  </si>
  <si>
    <t xml:space="preserve">Restylane</t>
  </si>
  <si>
    <t xml:space="preserve">Radiesse</t>
  </si>
  <si>
    <t xml:space="preserve">Sclerotherapy</t>
  </si>
  <si>
    <t xml:space="preserve">Ultherapy / Skin Tightening</t>
  </si>
  <si>
    <t xml:space="preserve">Skin Tightening (Morpheus8/RF)</t>
  </si>
  <si>
    <t xml:space="preserve">HydraFacial</t>
  </si>
  <si>
    <t xml:space="preserve">Microneedling</t>
  </si>
  <si>
    <t xml:space="preserve">PicoSure Laser</t>
  </si>
  <si>
    <t xml:space="preserve">$600/session or 3 for $1,700 (incl. Epionce Recovery Kit)</t>
  </si>
  <si>
    <t xml:space="preserve">Dysport</t>
  </si>
  <si>
    <t xml:space="preserve">Juvederm Family Fillers</t>
  </si>
  <si>
    <t xml:space="preserve">Voluma</t>
  </si>
  <si>
    <t xml:space="preserve">Sculptra</t>
  </si>
  <si>
    <t xml:space="preserve">Sculptra / Biostimulators</t>
  </si>
  <si>
    <t xml:space="preserve">Restylane Family Fillers</t>
  </si>
  <si>
    <t xml:space="preserve">Kybella</t>
  </si>
  <si>
    <t xml:space="preserve">Laser Spider Vein Removal</t>
  </si>
  <si>
    <t xml:space="preserve">Laser Skin Rejuvenation</t>
  </si>
  <si>
    <t xml:space="preserve">Vampire Facial / Facelift (PRP)</t>
  </si>
  <si>
    <t xml:space="preserve">PRP / PRF</t>
  </si>
  <si>
    <t xml:space="preserve">IPL Photofacial</t>
  </si>
  <si>
    <t xml:space="preserve">SkinPen Microneedling</t>
  </si>
  <si>
    <t xml:space="preserve">RF Microneedling / Secret RF</t>
  </si>
  <si>
    <t xml:space="preserve">Microneedling; Skin Tightening (Morpheus8/RF)</t>
  </si>
  <si>
    <t xml:space="preserve">Laser Genesis</t>
  </si>
  <si>
    <t xml:space="preserve">Laser Resurfacing</t>
  </si>
  <si>
    <t xml:space="preserve">CoolSculpting</t>
  </si>
  <si>
    <t xml:space="preserve">Body Contouring / CoolSculpting</t>
  </si>
  <si>
    <t xml:space="preserve">Neuromodulators (Botox/Dysport)</t>
  </si>
  <si>
    <t xml:space="preserve">Dermal Fillers</t>
  </si>
  <si>
    <t xml:space="preserve">Biostimulators</t>
  </si>
  <si>
    <t xml:space="preserve">PRP/PRF</t>
  </si>
  <si>
    <t xml:space="preserve">Wellness Injections</t>
  </si>
  <si>
    <t xml:space="preserve">IV Therapy</t>
  </si>
  <si>
    <t xml:space="preserve">$12-$15/unit (generic rate shown across multiple unrelated clinics; excluded from genuine pricing analysis)</t>
  </si>
  <si>
    <t xml:space="preserve">Facials / Chemical Peels / Microdermabrasion</t>
  </si>
  <si>
    <t xml:space="preserve">Dermaplaning</t>
  </si>
  <si>
    <t xml:space="preserve">Cosmetic Injectables</t>
  </si>
  <si>
    <t xml:space="preserve">Body Contouring</t>
  </si>
  <si>
    <t xml:space="preserve">New Client Premium Medi-Facial (60 min, w/ peel or microdermabrasion)</t>
  </si>
  <si>
    <t xml:space="preserve">$149 (50% off new-client special)</t>
  </si>
  <si>
    <t xml:space="preserve">60 min</t>
  </si>
  <si>
    <t xml:space="preserve">Botox / Neurotoxins</t>
  </si>
  <si>
    <t xml:space="preserve">$200-$900/session (aggregator figure; excluded from genuine pricing analysis)</t>
  </si>
  <si>
    <t xml:space="preserve">$600-$2,000/syringe (aggregator figure; excluded from genuine pricing analysis)</t>
  </si>
  <si>
    <t xml:space="preserve">$100-$800/treatment (aggregator figure; excluded from genuine pricing analysis)</t>
  </si>
  <si>
    <t xml:space="preserve">$200-$700/session (aggregator figure; excluded from genuine pricing analysis)</t>
  </si>
  <si>
    <t xml:space="preserve">Laser Treatments</t>
  </si>
  <si>
    <t xml:space="preserve">Peptide Therapy</t>
  </si>
  <si>
    <t xml:space="preserve">Semaglutide Weight Loss Treatment</t>
  </si>
  <si>
    <t xml:space="preserve">Medical Weight Loss / GLP-1</t>
  </si>
  <si>
    <t xml:space="preserve">Fillers</t>
  </si>
  <si>
    <t xml:space="preserve">$600-$1,200/syringe (generic rate shown across multiple unrelated clinics; excluded from genuine pricing analysis)</t>
  </si>
  <si>
    <t xml:space="preserve">Hair Restoration</t>
  </si>
  <si>
    <t xml:space="preserve">Medical Weight Loss</t>
  </si>
  <si>
    <t xml:space="preserve">DiamondGlow</t>
  </si>
  <si>
    <t xml:space="preserve">Hormone Therapy</t>
  </si>
  <si>
    <t xml:space="preserve">Vitamin Injections</t>
  </si>
  <si>
    <t xml:space="preserve">Ultherapy</t>
  </si>
  <si>
    <t xml:space="preserve">IPL</t>
  </si>
  <si>
    <t xml:space="preserve">$9-$16/unit</t>
  </si>
  <si>
    <t xml:space="preserve">Hyaluronic Acid Filler (2 syringes)</t>
  </si>
  <si>
    <t xml:space="preserve">$1,100 ($550/syringe)</t>
  </si>
  <si>
    <t xml:space="preserve">Versa/Kysse/RHA Lip Fillers</t>
  </si>
  <si>
    <t xml:space="preserve">$575-$800/syringe</t>
  </si>
  <si>
    <t xml:space="preserve">Emsculpt / Skin Tightening</t>
  </si>
  <si>
    <t xml:space="preserve">$1,500/session</t>
  </si>
  <si>
    <t xml:space="preserve">Body Contouring / CoolSculpting; Skin Tightening (Morpheus8/RF)</t>
  </si>
  <si>
    <t xml:space="preserve">PDO Threads</t>
  </si>
  <si>
    <t xml:space="preserve">Fat Dissolve</t>
  </si>
  <si>
    <t xml:space="preserve">VI Peel</t>
  </si>
  <si>
    <t xml:space="preserve">Tetra CO2 Laser / Cool Peel</t>
  </si>
  <si>
    <t xml:space="preserve">Chemical Peels; IPL / Photofacial</t>
  </si>
  <si>
    <t xml:space="preserve">Rejuran / AnteAGE Exosome Growth Factors</t>
  </si>
  <si>
    <t xml:space="preserve">Injectable Filler</t>
  </si>
  <si>
    <t xml:space="preserve">Botox / Dysport</t>
  </si>
  <si>
    <t xml:space="preserve">Cosmelan MD</t>
  </si>
  <si>
    <t xml:space="preserve">not published (market avg cited $12-$16/unit, not clinic-specific)</t>
  </si>
  <si>
    <t xml:space="preserve">Filler</t>
  </si>
  <si>
    <t xml:space="preserve">Facials</t>
  </si>
  <si>
    <t xml:space="preserve">Laser Hair Removal (unlimited areas, 30 min session promo)</t>
  </si>
  <si>
    <t xml:space="preserve">$149</t>
  </si>
  <si>
    <t xml:space="preserve">30 min</t>
  </si>
  <si>
    <t xml:space="preserve">Scarlet RF / Fractional Laser / BBL</t>
  </si>
  <si>
    <t xml:space="preserve">Hormone Replacement Therapy / Peptide Therapy</t>
  </si>
  <si>
    <t xml:space="preserve">$9.99/unit</t>
  </si>
  <si>
    <t xml:space="preserve">UltraShape Fat Reduction</t>
  </si>
  <si>
    <t xml:space="preserve">VelaShape Cellulite Reduction</t>
  </si>
  <si>
    <t xml:space="preserve">Fraxel Laser Treatment</t>
  </si>
  <si>
    <t xml:space="preserve">Profound Non-Surgical Facelift</t>
  </si>
  <si>
    <t xml:space="preserve">VIP Membership (1 treatment/mo: microneedling w/ HA, HydraFacial, or DiamondGlow)</t>
  </si>
  <si>
    <t xml:space="preserve">$139.99/mo</t>
  </si>
  <si>
    <t xml:space="preserve">HydraFacial; Microneedling</t>
  </si>
  <si>
    <t xml:space="preserve">Laser</t>
  </si>
  <si>
    <t xml:space="preserve">Fat Reduction</t>
  </si>
  <si>
    <t xml:space="preserve">Facial</t>
  </si>
  <si>
    <t xml:space="preserve">$300-$600</t>
  </si>
  <si>
    <t xml:space="preserve">Juvederm Voluma</t>
  </si>
  <si>
    <t xml:space="preserve">$600-$1,200</t>
  </si>
  <si>
    <t xml:space="preserve">Filler for Jawline</t>
  </si>
  <si>
    <t xml:space="preserve">$600-$1,200/syringe</t>
  </si>
  <si>
    <t xml:space="preserve">DiamondGlow Facial</t>
  </si>
  <si>
    <t xml:space="preserve">$150-$250</t>
  </si>
  <si>
    <t xml:space="preserve">CoolSculpting Session</t>
  </si>
  <si>
    <t xml:space="preserve">$750-$1,500</t>
  </si>
  <si>
    <t xml:space="preserve">EmSculpt Session</t>
  </si>
  <si>
    <t xml:space="preserve">IV Drips</t>
  </si>
  <si>
    <t xml:space="preserve">GLP-1 Weight Loss Programs</t>
  </si>
  <si>
    <t xml:space="preserve">Secret RF / CO2 Fractional Laser</t>
  </si>
  <si>
    <t xml:space="preserve">PRP</t>
  </si>
  <si>
    <t xml:space="preserve">Dermal Fillers (Juvederm/Voluma/Sculptra/Radiesse/Restylane/Belotero/RHA/Skinvive)</t>
  </si>
  <si>
    <t xml:space="preserve">Dermal / Lip Fillers; Sculptra / Biostimulators</t>
  </si>
  <si>
    <t xml:space="preserve">Picogenesis Laser (pigmentation/melasma)</t>
  </si>
  <si>
    <t xml:space="preserve">Enlighten Laser Tattoo Removal</t>
  </si>
  <si>
    <t xml:space="preserve">IPL Photofacial / Skin Tightening</t>
  </si>
  <si>
    <t xml:space="preserve">Skin Tightening (Morpheus8/RF); IPL / Photofacial</t>
  </si>
  <si>
    <t xml:space="preserve">Excel HR / LaserGenesis</t>
  </si>
  <si>
    <t xml:space="preserve">Mesotherapy Fat Dissolving</t>
  </si>
  <si>
    <t xml:space="preserve">Body Contouring (TruSculpt/TruFlex/Contourlight)</t>
  </si>
  <si>
    <t xml:space="preserve">Unlimited Laser Hair Removal (18-month package)</t>
  </si>
  <si>
    <t xml:space="preserve">$3,750</t>
  </si>
  <si>
    <t xml:space="preserve">Unlimited Laser Hair Removal (12-month package)</t>
  </si>
  <si>
    <t xml:space="preserve">$2,999</t>
  </si>
  <si>
    <t xml:space="preserve">Unlimited Laser Hair Removal (6-month package)</t>
  </si>
  <si>
    <t xml:space="preserve">$1,750</t>
  </si>
  <si>
    <t xml:space="preserve">Unlimited Laser Hair Removal (month-to-month, 3-mo min)</t>
  </si>
  <si>
    <t xml:space="preserve">$325/mo</t>
  </si>
  <si>
    <t xml:space="preserve">Juvederm</t>
  </si>
  <si>
    <t xml:space="preserve">Injectables</t>
  </si>
  <si>
    <t xml:space="preserve">Skin Care Treatments</t>
  </si>
  <si>
    <t xml:space="preserve">IV Vitamin Therapy</t>
  </si>
  <si>
    <t xml:space="preserve">Bioidentical Hormones</t>
  </si>
  <si>
    <t xml:space="preserve">Wrinkle Relaxers (Botox/Dysport)</t>
  </si>
  <si>
    <t xml:space="preserve">PDO Thread Lifts</t>
  </si>
  <si>
    <t xml:space="preserve">GLP-1 Weight Loss Peptides</t>
  </si>
  <si>
    <t xml:space="preserve">Botox / Neuromodulators (Dysport/Xeomin/Daxxify)</t>
  </si>
  <si>
    <t xml:space="preserve">$13-$16/unit</t>
  </si>
  <si>
    <t xml:space="preserve">Dermal Filler / Sculptra</t>
  </si>
  <si>
    <t xml:space="preserve">HALO / MOXI / BBL HERO / CO2 Laser Resurfacing</t>
  </si>
  <si>
    <t xml:space="preserve">PRF</t>
  </si>
  <si>
    <t xml:space="preserve">GLP-1 Weight Loss (Semaglutide/Tirzepatide)</t>
  </si>
  <si>
    <t xml:space="preserve">from $99/mo</t>
  </si>
  <si>
    <t xml:space="preserve">Hyaluronic Acid Lip Filler</t>
  </si>
  <si>
    <t xml:space="preserve">Profound RF Treatment</t>
  </si>
  <si>
    <t xml:space="preserve">HydraFacial MD</t>
  </si>
  <si>
    <t xml:space="preserve">IPL Photofacial / Acne / Vascular Treatment</t>
  </si>
  <si>
    <t xml:space="preserve">Fractional Resurfacing</t>
  </si>
  <si>
    <t xml:space="preserve">Bio-stimulators (Sculptra)</t>
  </si>
  <si>
    <t xml:space="preserve">RHA Collection Fillers</t>
  </si>
  <si>
    <t xml:space="preserve">Neuromodulators</t>
  </si>
  <si>
    <t xml:space="preserve">Dermal Fillers (Restylane/Juvederm)</t>
  </si>
  <si>
    <t xml:space="preserve">Ablative Treatments / Peels</t>
  </si>
  <si>
    <t xml:space="preserve">Dermal Filler</t>
  </si>
  <si>
    <t xml:space="preserve">Fraxel</t>
  </si>
  <si>
    <t xml:space="preserve">Morpheus8 Microneedling</t>
  </si>
  <si>
    <t xml:space="preserve">Evolve Body Contouring</t>
  </si>
  <si>
    <t xml:space="preserve">Botox / Wrinkle Relaxers</t>
  </si>
  <si>
    <t xml:space="preserve">Body Sculpting</t>
  </si>
  <si>
    <t xml:space="preserve">Lip Fillers</t>
  </si>
  <si>
    <t xml:space="preserve">Versa Filler</t>
  </si>
  <si>
    <t xml:space="preserve">$450/1.2ml</t>
  </si>
  <si>
    <t xml:space="preserve">Fillers + Injectables</t>
  </si>
  <si>
    <t xml:space="preserve">Botox - Forehead Lines</t>
  </si>
  <si>
    <t xml:space="preserve">$10-$20</t>
  </si>
  <si>
    <t xml:space="preserve">Botox - Crow's Feet</t>
  </si>
  <si>
    <t xml:space="preserve">Botox - Masseter Injections</t>
  </si>
  <si>
    <t xml:space="preserve">$15-$25</t>
  </si>
  <si>
    <t xml:space="preserve">Lip Augmentation Filler</t>
  </si>
  <si>
    <t xml:space="preserve">$300-$500</t>
  </si>
  <si>
    <t xml:space="preserve">Lip Flip</t>
  </si>
  <si>
    <t xml:space="preserve">$250-$400</t>
  </si>
  <si>
    <t xml:space="preserve">Xeomin</t>
  </si>
  <si>
    <t xml:space="preserve">Revanesse Versa Filler</t>
  </si>
  <si>
    <t xml:space="preserve">not published (location-specific)</t>
  </si>
  <si>
    <t xml:space="preserve">Laser Tattoo Removal</t>
  </si>
  <si>
    <t xml:space="preserve">Body Contouring / Skin Tightening</t>
  </si>
  <si>
    <t xml:space="preserve">$11/unit ($10/unit for members)</t>
  </si>
  <si>
    <t xml:space="preserve">Lip and Facial Fillers</t>
  </si>
  <si>
    <t xml:space="preserve">Liquid Rhinoplasty</t>
  </si>
  <si>
    <t xml:space="preserve">not published (market avg cited $11-$14/unit, not clinic-specific)</t>
  </si>
  <si>
    <t xml:space="preserve">Dermal Fillers (Restylane/Revance)</t>
  </si>
  <si>
    <t xml:space="preserve">Morpheus8</t>
  </si>
  <si>
    <t xml:space="preserve">miraDRY</t>
  </si>
  <si>
    <t xml:space="preserve">Evolve by InMode</t>
  </si>
  <si>
    <t xml:space="preserve">from $5/unit</t>
  </si>
  <si>
    <t xml:space="preserve">Neurotoxins (Botox/Dysport)</t>
  </si>
  <si>
    <t xml:space="preserve">Laser Skin Resurfacing</t>
  </si>
  <si>
    <t xml:space="preserve">FaceTite/AccuTite (Skin Tightening)</t>
  </si>
  <si>
    <t xml:space="preserve">RF Microneedling</t>
  </si>
  <si>
    <t xml:space="preserve">Filler/Injectable</t>
  </si>
  <si>
    <t xml:space="preserve">Emsculpt</t>
  </si>
  <si>
    <t xml:space="preserve">from $40/session</t>
  </si>
  <si>
    <t xml:space="preserve">starting at $12/unit; $480 package special</t>
  </si>
  <si>
    <t xml:space="preserve">Semaglutide/Tirzepatide Weight Loss</t>
  </si>
  <si>
    <t xml:space="preserve">Facials/Peels</t>
  </si>
  <si>
    <t xml:space="preserve">Thread Lifts</t>
  </si>
  <si>
    <t xml:space="preserve">B12/MIC Injections</t>
  </si>
  <si>
    <t xml:space="preserve">Medical Aesthetics (general)</t>
  </si>
  <si>
    <t xml:space="preserve">Neurotoxins (Botox)</t>
  </si>
  <si>
    <t xml:space="preserve">Fraxel Laser</t>
  </si>
  <si>
    <t xml:space="preserve">Botox (medical/therapeutic)</t>
  </si>
  <si>
    <t xml:space="preserve">starting at $9/unit ($25 new-client consult fee)</t>
  </si>
  <si>
    <t xml:space="preserve">Scalp Micropigmentation</t>
  </si>
  <si>
    <t xml:space="preserve">$260 regular / $179 promo (Groupon-sourced pricing)</t>
  </si>
  <si>
    <t xml:space="preserve">Juvederm Collection Fillers</t>
  </si>
  <si>
    <t xml:space="preserve">CoolSculpting / CoolTone</t>
  </si>
  <si>
    <t xml:space="preserve">Skinvive</t>
  </si>
  <si>
    <t xml:space="preserve">RF Skin Rejuvenation</t>
  </si>
  <si>
    <t xml:space="preserve">Facial Laser Procedures</t>
  </si>
  <si>
    <t xml:space="preserve">Hormone Optimization (BHRT)</t>
  </si>
  <si>
    <t xml:space="preserve">Medical Weight Management</t>
  </si>
  <si>
    <t xml:space="preserve">Dermal Fillers / Radiesse</t>
  </si>
  <si>
    <t xml:space="preserve">EZGel</t>
  </si>
  <si>
    <t xml:space="preserve">GLP-1 Weight Loss</t>
  </si>
  <si>
    <t xml:space="preserve">not published (Groupon deals from $206.99, procedure unclear)</t>
  </si>
  <si>
    <t xml:space="preserve">Dermal Fillers (Juvederm/Radiesse/Voluma/Vollure)</t>
  </si>
  <si>
    <t xml:space="preserve">Spider Vein Removal</t>
  </si>
  <si>
    <t xml:space="preserve">Botox / Daxxify / Dysport</t>
  </si>
  <si>
    <t xml:space="preserve">Lip Filler / Dermal Fillers / Skinvive</t>
  </si>
  <si>
    <t xml:space="preserve">Dermaplaning / Facials / Peels</t>
  </si>
  <si>
    <t xml:space="preserve">Microneedling / RF Microneedling</t>
  </si>
  <si>
    <t xml:space="preserve">LaseMD / IPL Laser Hair Removal</t>
  </si>
  <si>
    <t xml:space="preserve">Laser Hair Removal; IPL / Photofacial</t>
  </si>
  <si>
    <t xml:space="preserve">Weight Loss Injections / Peptides</t>
  </si>
  <si>
    <t xml:space="preserve">Hormone Replacement Therapy</t>
  </si>
  <si>
    <t xml:space="preserve">$13/unit ($11/unit for members)</t>
  </si>
  <si>
    <t xml:space="preserve">$6/unit ($4.50/unit for members)</t>
  </si>
  <si>
    <t xml:space="preserve">Plasma Pen</t>
  </si>
  <si>
    <t xml:space="preserve">Photofacials</t>
  </si>
  <si>
    <t xml:space="preserve">MotusAZ Laser Hair Removal</t>
  </si>
  <si>
    <t xml:space="preserve">Skin Rejuvenation</t>
  </si>
  <si>
    <t xml:space="preserve">Botox / Dysport / Jeuveau</t>
  </si>
  <si>
    <t xml:space="preserve">Facial Treatments</t>
  </si>
  <si>
    <t xml:space="preserve">Weight Loss Treatments</t>
  </si>
  <si>
    <t xml:space="preserve">not published (area market rate cited $10.75/unit, not confirmed clinic-specific)</t>
  </si>
  <si>
    <t xml:space="preserve">Skin Tightening</t>
  </si>
  <si>
    <t xml:space="preserve">IPL Laser</t>
  </si>
  <si>
    <t xml:space="preserve">Medical Grade Skincare Treatments</t>
  </si>
  <si>
    <t xml:space="preserve">Dermal Fillers / Sculptra / Lip Fillers</t>
  </si>
  <si>
    <t xml:space="preserve">Hormone Optimization</t>
  </si>
  <si>
    <t xml:space="preserve">not published (market avg cited $10-$18/unit, not clinic-specific)</t>
  </si>
  <si>
    <t xml:space="preserve">SkinPen PRP Microneedling</t>
  </si>
  <si>
    <t xml:space="preserve">Microneedling; PRP / PRF</t>
  </si>
  <si>
    <t xml:space="preserve">Botox / Dysport / Jeuveau / Fillers (via Contoured Beauty, in-suite)</t>
  </si>
  <si>
    <t xml:space="preserve">Botox / Neuromodulators; Dermal / Lip Fillers</t>
  </si>
  <si>
    <t xml:space="preserve">Facials / Acne Programs</t>
  </si>
  <si>
    <t xml:space="preserve">Massage</t>
  </si>
  <si>
    <t xml:space="preserve">Botox / Dysport / Juvederm Fillers</t>
  </si>
  <si>
    <t xml:space="preserve">Halo Laser Resurfacing</t>
  </si>
  <si>
    <t xml:space="preserve">PiQo4 Laser Tattoo Removal</t>
  </si>
  <si>
    <t xml:space="preserve">Juvederm / Restylane Fillers</t>
  </si>
  <si>
    <t xml:space="preserve">Hair Restoration (Exosomes)</t>
  </si>
  <si>
    <t xml:space="preserve">Medical-Grade Chemical Peels</t>
  </si>
  <si>
    <t xml:space="preserve">Clinic and Care Treatments</t>
  </si>
  <si>
    <t xml:space="preserve">not published (members save $2/unit, base price not published)</t>
  </si>
  <si>
    <t xml:space="preserve">Juvederm Fillers</t>
  </si>
  <si>
    <t xml:space="preserve">Semaglutide</t>
  </si>
  <si>
    <t xml:space="preserve">Bio-identical Hormone Therapy</t>
  </si>
  <si>
    <t xml:space="preserve">CoolSculpting Elite</t>
  </si>
  <si>
    <t xml:space="preserve">SkinPen</t>
  </si>
  <si>
    <t xml:space="preserve">HALO / BBL / IPL / Sofwave Laser</t>
  </si>
  <si>
    <t xml:space="preserve">Botox / Jeuveau / Dysport</t>
  </si>
  <si>
    <t xml:space="preserve">Dermal Fillers (Revanesse/Restylane/Juvederm)</t>
  </si>
  <si>
    <t xml:space="preserve">Medicated Weight Loss</t>
  </si>
  <si>
    <t xml:space="preserve">Sciton BBL Hero / Moxi / UltraClear Laser</t>
  </si>
  <si>
    <t xml:space="preserve">GLP-1 Weight Management</t>
  </si>
  <si>
    <t xml:space="preserve">Peptide Therapy / BHRT</t>
  </si>
  <si>
    <t xml:space="preserve">HALO / MOXI / Helix CoolPeel</t>
  </si>
  <si>
    <t xml:space="preserve">Weight Management</t>
  </si>
  <si>
    <t xml:space="preserve">Botox / Daxxify (100 units)</t>
  </si>
  <si>
    <t xml:space="preserve">$1,100 (~$11/unit)</t>
  </si>
  <si>
    <t xml:space="preserve">Dysport (100 units)</t>
  </si>
  <si>
    <t xml:space="preserve">$950 (~$9.50/unit)</t>
  </si>
  <si>
    <t xml:space="preserve">Dermal Filler (1st syringe)</t>
  </si>
  <si>
    <t xml:space="preserve">$650/syringe</t>
  </si>
  <si>
    <t xml:space="preserve">Dermal Filler (2nd syringe, same visit)</t>
  </si>
  <si>
    <t xml:space="preserve">$500/syringe</t>
  </si>
  <si>
    <t xml:space="preserve">$235</t>
  </si>
  <si>
    <t xml:space="preserve">Ultimate Facial</t>
  </si>
  <si>
    <t xml:space="preserve">$195</t>
  </si>
  <si>
    <t xml:space="preserve">$110</t>
  </si>
  <si>
    <t xml:space="preserve">$299</t>
  </si>
  <si>
    <t xml:space="preserve">Derma Facial</t>
  </si>
  <si>
    <t xml:space="preserve">$210</t>
  </si>
  <si>
    <t xml:space="preserve">Chemical Peel</t>
  </si>
  <si>
    <t xml:space="preserve">$165</t>
  </si>
  <si>
    <t xml:space="preserve">$300</t>
  </si>
  <si>
    <t xml:space="preserve">Milia Removal</t>
  </si>
  <si>
    <t xml:space="preserve">Anti-Wrinkle Injections (Botox)</t>
  </si>
  <si>
    <t xml:space="preserve">starting at $12/unit</t>
  </si>
  <si>
    <t xml:space="preserve">starting at $275</t>
  </si>
  <si>
    <t xml:space="preserve">Vitamin/B12 Shots</t>
  </si>
  <si>
    <t xml:space="preserve">starting at $22</t>
  </si>
  <si>
    <t xml:space="preserve">Tattoo Removal</t>
  </si>
  <si>
    <t xml:space="preserve">Semaglutide/GLP-1 Weight Loss</t>
  </si>
  <si>
    <t xml:space="preserve">IPL / Microneedling / PicoLaser / Skin Tightening / Chemical Peel promo (1 treatment)</t>
  </si>
  <si>
    <t xml:space="preserve">Chemical Peels; Microneedling; Skin Tightening (Morpheus8/RF); IPL / Photofacial</t>
  </si>
  <si>
    <t xml:space="preserve">Same promo (2 treatments)</t>
  </si>
  <si>
    <t xml:space="preserve">$279</t>
  </si>
  <si>
    <t xml:space="preserve">Same promo (3 treatments)</t>
  </si>
  <si>
    <t xml:space="preserve">$389</t>
  </si>
  <si>
    <t xml:space="preserve">Injectables / Dermal Fillers</t>
  </si>
  <si>
    <t xml:space="preserve">Photofacial</t>
  </si>
  <si>
    <t xml:space="preserve">Botox / Dysport / Xeomin</t>
  </si>
  <si>
    <t xml:space="preserve">Juvederm / Restylane / Prollenium Fillers</t>
  </si>
  <si>
    <t xml:space="preserve">Botox (flat fee, unlimited units, 3 areas, Xeomin/Jeuveau)</t>
  </si>
  <si>
    <t xml:space="preserve">$425</t>
  </si>
  <si>
    <t xml:space="preserve">Masseter Botox</t>
  </si>
  <si>
    <t xml:space="preserve">CoolSculpting Elite (60 min, promo)</t>
  </si>
  <si>
    <t xml:space="preserve">$850</t>
  </si>
  <si>
    <t xml:space="preserve">EmSculpt NEO (45 min, promo)</t>
  </si>
  <si>
    <t xml:space="preserve">45 min</t>
  </si>
  <si>
    <t xml:space="preserve">Regenerative Therapies</t>
  </si>
  <si>
    <t xml:space="preserve">Dermal Fillers / Lip Fillers</t>
  </si>
  <si>
    <t xml:space="preserve">HydraFacial / Microneedling</t>
  </si>
  <si>
    <t xml:space="preserve">PRP Therapy</t>
  </si>
  <si>
    <t xml:space="preserve">Facial Peels / IPL / Microdermabrasion</t>
  </si>
  <si>
    <t xml:space="preserve">$12.50 per 3 units (~$4.17/unit)</t>
  </si>
  <si>
    <t xml:space="preserve">IV Hydration Therapy</t>
  </si>
  <si>
    <t xml:space="preserve">MIC B-12 Injections</t>
  </si>
  <si>
    <t xml:space="preserve">Body Composition Scans</t>
  </si>
  <si>
    <t xml:space="preserve">Skin Treatments</t>
  </si>
  <si>
    <t xml:space="preserve">Fillers / Radiesse</t>
  </si>
  <si>
    <t xml:space="preserve">Skin Rejuvenation / Resurfacing</t>
  </si>
  <si>
    <t xml:space="preserve">Weight Loss Services</t>
  </si>
  <si>
    <t xml:space="preserve">Aesthetic Treatments (unspecified)</t>
  </si>
  <si>
    <t xml:space="preserve">Bio-identical Hormone Replacement Therapy / TRT</t>
  </si>
  <si>
    <t xml:space="preserve">PRP Joint Injections</t>
  </si>
  <si>
    <t xml:space="preserve">Vitamin Injections / IV Hydration</t>
  </si>
  <si>
    <t xml:space="preserve">Austin Med Spa Market — Dashboard</t>
  </si>
  <si>
    <t xml:space="preserve">Metric</t>
  </si>
  <si>
    <t xml:space="preserve">Value</t>
  </si>
  <si>
    <t xml:space="preserve">Total Clinics Tracked</t>
  </si>
  <si>
    <t xml:space="preserve">Clinics with Pricing on File (Yes or Partial)</t>
  </si>
  <si>
    <t xml:space="preserve">Clinics with No Pricing on File</t>
  </si>
  <si>
    <t xml:space="preserve">Total Procedure/Treatment Line Items</t>
  </si>
  <si>
    <t xml:space="preserve">Procedure Category</t>
  </si>
  <si>
    <t xml:space="preserve"># Clinics Offering (of tracked)</t>
  </si>
  <si>
    <t xml:space="preserve">AUSTIN MED SPA MARKET RESEARCH — NOTES</t>
  </si>
  <si>
    <t xml:space="preserve">METHODOLOGY</t>
  </si>
  <si>
    <t xml:space="preserve">Google Maps sweep: 15 neighborhood/suburb-scoped searches across the Austin metro (Downtown,</t>
  </si>
  <si>
    <t xml:space="preserve">South Congress, Westlake, The Domain, Round Rock, Cedar Park, Georgetown, Pflugerville, Lakeway,</t>
  </si>
  <si>
    <t xml:space="preserve">Bee Cave, Circle C, East Austin, Mueller, Hyde Park, Buda), run 3-at-a-time across parallel browser</t>
  </si>
  <si>
    <t xml:space="preserve">tabs, since a single citywide 'med spa Austin TX' search caps at 6 visible results in this</t>
  </si>
  <si>
    <t xml:space="preserve">environment (same limitation hit in every prior city in this project). Two neighborhoods (Circle C,</t>
  </si>
  <si>
    <t xml:space="preserve">Mueller) initially auto-redirected Google Maps to a single-result page on the plain query -- fixed</t>
  </si>
  <si>
    <t xml:space="preserve">by rephrasing to 'med spas near &lt;Neighborhood&gt; TX', consistent with the same fix used for Orlando's</t>
  </si>
  <si>
    <t xml:space="preserve">Kissimmee and Dallas's Preston Hollow.</t>
  </si>
  <si>
    <t xml:space="preserve">Address extraction via a per-card JS parser scoped to each div.Nv2PK result card.</t>
  </si>
  <si>
    <t xml:space="preserve">107 raw results found across the 15 searches; after de-duplication (several multi-location chains</t>
  </si>
  <si>
    <t xml:space="preserve">and individual businesses appeared in more than one neighborhood's search radius) and 4</t>
  </si>
  <si>
    <t xml:space="preserve">pre-exclusions made at collection time for businesses clearly out of scope (a head-spa, a</t>
  </si>
  <si>
    <t xml:space="preserve">microblading/PMU-only studio, an IV/cryotherapy-only wellness chain, and a halotherapy salt spa),</t>
  </si>
  <si>
    <t xml:space="preserve">103 candidates were logged as trackable.</t>
  </si>
  <si>
    <t xml:space="preserve">Procedures/pricing research pass was run via WebSearch across all 103 candidates in one</t>
  </si>
  <si>
    <t xml:space="preserve">uninterrupted pass (no tooling outages this city).</t>
  </si>
  <si>
    <t xml:space="preserve">EXCLUDED (non-medspa: no injectables/laser/medical treatments, found during research)</t>
  </si>
  <si>
    <t xml:space="preserve">Wildflower Wellness Med Spa, LLC (Round Rock -- IV infusion therapy only; Botox/fillers listed as</t>
  </si>
  <si>
    <t xml:space="preserve">'coming soon,' not yet offered), MedFusion Wellness (Cedar Park -- GLP-1 weight loss, massage, cold</t>
  </si>
  <si>
    <t xml:space="preserve">plunge, sauna, compression and red-light therapy; no injectables or lasers confirmed), and</t>
  </si>
  <si>
    <t xml:space="preserve">Organically Whole Health &amp; Wellness (Buda -- hyperbaric oxygen, red/infrared light, vibration, and</t>
  </si>
  <si>
    <t xml:space="preserve">halotherapy only; explicitly markets itself as a non-pharmaceutical/non-invasive alternative to</t>
  </si>
  <si>
    <t xml:space="preserve">medical care). Same wellness-only exclusion pattern as Houston's 'Drip Spa' chain.</t>
  </si>
  <si>
    <t xml:space="preserve">UNVERIFIABLE (left as open exceptions, not counted in the confirmed total)</t>
  </si>
  <si>
    <t xml:space="preserve">Beauty Bar MedSpa (Pflugerville -- Google Maps listed this as a distinct business with no address</t>
  </si>
  <si>
    <t xml:space="preserve">captured; the only address WebSearch surfaced for it exactly matched a different, already-logged</t>
  </si>
  <si>
    <t xml:space="preserve">business (B. Sweet Lash Wax &amp; Medspa), suggesting a data mix-up or stale listing) and M Skin Beauty</t>
  </si>
  <si>
    <t xml:space="preserve">(Buda -- listed by Google Maps at a shared-suite address where only two other, already-logged</t>
  </si>
  <si>
    <t xml:space="preserve">businesses could be confirmed to actually operate). Same precedent as Charlotte's unverifiable</t>
  </si>
  <si>
    <t xml:space="preserve">Bella Aesthetics &amp; Wellness.</t>
  </si>
  <si>
    <t xml:space="preserve">Net: 103 logged candidates - 3 excluded during research - 2 unverifiable = 98 confirmed medical spas.</t>
  </si>
  <si>
    <t xml:space="preserve">MULTI-LOCATION CHAINS KEPT AS SEPARATE ROWS (distinct addresses)</t>
  </si>
  <si>
    <t xml:space="preserve">L-Aesthetics &amp; Longevity (Cedar Park, Bee Cave -- 2 locations, same lalongevity.com ownership</t>
  </si>
  <si>
    <t xml:space="preserve">group), Spa Luxe (The Domain, Georgetown -- 2 locations, same spaluxe.com brand), It's A Secret Med</t>
  </si>
  <si>
    <t xml:space="preserve">Spa (South Lamar, The Domain -- 2 Austin-area locations), Face to Face Spa (Downtown, Bee Cave,</t>
  </si>
  <si>
    <t xml:space="preserve">Circle C Ranch -- 3 locations, same facetofacespa.com chain), Body Tonic RX (Westlake, Bee Cave --</t>
  </si>
  <si>
    <t xml:space="preserve">2 locations, same mybodytonic.com brand, both publish matching $13-$16/unit Botox pricing), Beaux</t>
  </si>
  <si>
    <t xml:space="preserve">MedSpa and Muse Medspa each appeared in multiple neighborhood search radii but resolved to a single</t>
  </si>
  <si>
    <t xml:space="preserve">physical location (kept as one row).</t>
  </si>
  <si>
    <t xml:space="preserve">NOTE ON NAME CORRECTIONS</t>
  </si>
  <si>
    <t xml:space="preserve">Google Maps labeled one Lakeway listing simply as 'LC' with no further detail; WebSearch confirmed</t>
  </si>
  <si>
    <t xml:space="preserve">the actual operating business at that suite is 'RM Aesthetics' (PiQo4 laser tattoo removal, Botox,</t>
  </si>
  <si>
    <t xml:space="preserve">Dysport, Juvederm, Restylane, Sculptra, hair restoration) -- corrected in this dataset. Fresh Face</t>
  </si>
  <si>
    <t xml:space="preserve">Aesthetics (Buda) was Maps-collected with no address; WebSearch located it at a different address</t>
  </si>
  <si>
    <t xml:space="preserve">(668 Main St Suite A) than the Farm-to-Market complex where nearby candidates clustered -- corrected.</t>
  </si>
  <si>
    <t xml:space="preserve">DATA QUALITY</t>
  </si>
  <si>
    <t xml:space="preserve">Boilerplate-pricing contamination pattern (identical '$12-$15/unit Botox' / '$600-$1,200/syringe</t>
  </si>
  <si>
    <t xml:space="preserve">filler' phrasing repeated verbatim across unrelated clinics, seen in every prior city of this</t>
  </si>
  <si>
    <t xml:space="preserve">project) reappeared here across Face to Face Spa at Downtown Austin, Austin Aesthetics Club, Alchemy</t>
  </si>
  <si>
    <t xml:space="preserve">Wellness Med Spa, and ULALA Med Spa. A second, related aggregator pattern ('$200-$900/session'</t>
  </si>
  <si>
    <t xml:space="preserve">Botox, '$600-$2,000/syringe' filler, '$100-$800/treatment' peels, '$200-$700/session' microneedling)</t>
  </si>
  <si>
    <t xml:space="preserve">-- matching figures seen for Elite Med Spa of Texas in Dallas and several Houston clinics -- appeared</t>
  </si>
  <si>
    <t xml:space="preserve">at LVS La Vie Med Spas + Day Spa, Spa Sway Day + Med Spa | Domain, and Glo Med Spa Austin. Both</t>
  </si>
  <si>
    <t xml:space="preserve">patterns are treated as generic third-party estimate text, not real clinic-specific data, and those</t>
  </si>
  <si>
    <t xml:space="preserve">clinics are marked 'Partial' rather than 'Yes.'</t>
  </si>
  <si>
    <t xml:space="preserve">Strongest genuine pricing anchors found: Renew Med Spa and Beaux MedSpa (full member/non-member</t>
  </si>
  <si>
    <t xml:space="preserve">Botox and Dysport per-unit rates), Body Tonic RX (both locations, $13-$16/unit transparent Botox</t>
  </si>
  <si>
    <t xml:space="preserve">pricing quoted before treatment), Perfect Aesthetics &amp; Spa (detailed per-area medical/therapeutic</t>
  </si>
  <si>
    <t xml:space="preserve">Botox menu from $9/unit), Peachy East Austin (flat-fee $425 unlimited-unit Botox model), Results</t>
  </si>
  <si>
    <t xml:space="preserve">Weight Loss &amp; Med Spa ($12.50 per 3 units Botox/Dysport), and Face to Face Spa at Circle C Ranch</t>
  </si>
  <si>
    <t xml:space="preserve">(full itemized facial/microneedling/peel price list).</t>
  </si>
  <si>
    <t xml:space="preserve">Procedure/treatment line items logged across all confirmed clinics; category counts computed live</t>
  </si>
  <si>
    <t xml:space="preserve">via Dashboard formulas.</t>
  </si>
  <si>
    <t xml:space="preserve">NEXT STEPS</t>
  </si>
  <si>
    <t xml:space="preserve">Dashboard tab built with live COUNTA/SUMPRODUCT/COUNTIFS formulas (same structure as every prior</t>
  </si>
  <si>
    <t xml:space="preserve">city). Google Trends research (DMA code to be confirmed) and the HTML market report are the next</t>
  </si>
  <si>
    <t xml:space="preserve">phases. This is the 8th and final city in this multi-city project.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</si>
</sst>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6" min="5" style="0" width="3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40"/>
  </cols>
  <sheetData>
    <row r="1" customFormat="false" ht="39.5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n">
        <v>3</v>
      </c>
    </row>
    <row r="3" customFormat="false" ht="15" hidden="false" customHeight="false" outlineLevel="0" collapsed="false">
      <c r="A3" s="0" t="n">
        <v>2</v>
      </c>
      <c r="B3" s="0" t="s">
        <v>15</v>
      </c>
      <c r="C3" s="0" t="s">
        <v>10</v>
      </c>
      <c r="D3" s="0" t="s">
        <v>16</v>
      </c>
      <c r="E3" s="0" t="s">
        <v>17</v>
      </c>
      <c r="F3" s="0" t="s">
        <v>13</v>
      </c>
      <c r="G3" s="0" t="s">
        <v>18</v>
      </c>
      <c r="H3" s="0" t="n">
        <v>13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s">
        <v>10</v>
      </c>
      <c r="D4" s="0" t="s">
        <v>20</v>
      </c>
      <c r="E4" s="0" t="s">
        <v>21</v>
      </c>
      <c r="F4" s="0" t="s">
        <v>22</v>
      </c>
      <c r="G4" s="0" t="s">
        <v>23</v>
      </c>
      <c r="H4" s="0" t="n">
        <v>18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s">
        <v>10</v>
      </c>
      <c r="D5" s="0" t="s">
        <v>25</v>
      </c>
      <c r="E5" s="0" t="s">
        <v>26</v>
      </c>
      <c r="F5" s="0" t="s">
        <v>27</v>
      </c>
      <c r="G5" s="0" t="s">
        <v>23</v>
      </c>
      <c r="H5" s="0" t="n">
        <v>8</v>
      </c>
    </row>
    <row r="6" customFormat="false" ht="15" hidden="false" customHeight="false" outlineLevel="0" collapsed="false">
      <c r="A6" s="0" t="n">
        <v>5</v>
      </c>
      <c r="B6" s="0" t="s">
        <v>28</v>
      </c>
      <c r="C6" s="0" t="s">
        <v>10</v>
      </c>
      <c r="D6" s="0" t="s">
        <v>29</v>
      </c>
      <c r="E6" s="0" t="s">
        <v>30</v>
      </c>
      <c r="F6" s="0" t="s">
        <v>13</v>
      </c>
      <c r="G6" s="0" t="s">
        <v>18</v>
      </c>
      <c r="H6" s="0" t="n">
        <v>7</v>
      </c>
    </row>
    <row r="7" customFormat="false" ht="15" hidden="false" customHeight="false" outlineLevel="0" collapsed="false">
      <c r="A7" s="0" t="n">
        <v>6</v>
      </c>
      <c r="B7" s="0" t="s">
        <v>31</v>
      </c>
      <c r="C7" s="0" t="s">
        <v>10</v>
      </c>
      <c r="D7" s="0" t="s">
        <v>32</v>
      </c>
      <c r="E7" s="0" t="s">
        <v>33</v>
      </c>
      <c r="F7" s="0" t="s">
        <v>13</v>
      </c>
      <c r="G7" s="0" t="s">
        <v>18</v>
      </c>
      <c r="H7" s="0" t="n">
        <v>9</v>
      </c>
    </row>
    <row r="8" customFormat="false" ht="15" hidden="false" customHeight="false" outlineLevel="0" collapsed="false">
      <c r="A8" s="0" t="n">
        <v>7</v>
      </c>
      <c r="B8" s="0" t="s">
        <v>34</v>
      </c>
      <c r="C8" s="0" t="s">
        <v>10</v>
      </c>
      <c r="D8" s="0" t="s">
        <v>35</v>
      </c>
      <c r="E8" s="0" t="s">
        <v>36</v>
      </c>
      <c r="F8" s="0" t="s">
        <v>13</v>
      </c>
      <c r="G8" s="0" t="s">
        <v>18</v>
      </c>
      <c r="H8" s="0" t="n">
        <v>11</v>
      </c>
    </row>
    <row r="9" customFormat="false" ht="15" hidden="false" customHeight="false" outlineLevel="0" collapsed="false">
      <c r="A9" s="0" t="n">
        <v>8</v>
      </c>
      <c r="B9" s="0" t="s">
        <v>37</v>
      </c>
      <c r="C9" s="0" t="s">
        <v>10</v>
      </c>
      <c r="D9" s="0" t="s">
        <v>38</v>
      </c>
      <c r="E9" s="0" t="s">
        <v>39</v>
      </c>
      <c r="F9" s="0" t="s">
        <v>13</v>
      </c>
      <c r="G9" s="0" t="s">
        <v>23</v>
      </c>
      <c r="H9" s="0" t="n">
        <v>6</v>
      </c>
    </row>
    <row r="10" customFormat="false" ht="15" hidden="false" customHeight="false" outlineLevel="0" collapsed="false">
      <c r="A10" s="0" t="n">
        <v>9</v>
      </c>
      <c r="B10" s="0" t="s">
        <v>40</v>
      </c>
      <c r="C10" s="0" t="s">
        <v>41</v>
      </c>
      <c r="D10" s="0" t="s">
        <v>42</v>
      </c>
      <c r="E10" s="0" t="s">
        <v>43</v>
      </c>
      <c r="F10" s="0" t="s">
        <v>13</v>
      </c>
      <c r="G10" s="0" t="s">
        <v>14</v>
      </c>
      <c r="H10" s="0" t="n">
        <v>10</v>
      </c>
    </row>
    <row r="11" customFormat="false" ht="15" hidden="false" customHeight="false" outlineLevel="0" collapsed="false">
      <c r="A11" s="0" t="n">
        <v>10</v>
      </c>
      <c r="B11" s="0" t="s">
        <v>44</v>
      </c>
      <c r="C11" s="0" t="s">
        <v>41</v>
      </c>
      <c r="D11" s="0" t="s">
        <v>45</v>
      </c>
      <c r="E11" s="0" t="s">
        <v>46</v>
      </c>
      <c r="F11" s="0" t="s">
        <v>13</v>
      </c>
      <c r="G11" s="0" t="s">
        <v>23</v>
      </c>
      <c r="H11" s="0" t="n">
        <v>8</v>
      </c>
    </row>
    <row r="12" customFormat="false" ht="15" hidden="false" customHeight="false" outlineLevel="0" collapsed="false">
      <c r="A12" s="0" t="n">
        <v>11</v>
      </c>
      <c r="B12" s="0" t="s">
        <v>47</v>
      </c>
      <c r="C12" s="0" t="s">
        <v>41</v>
      </c>
      <c r="D12" s="0" t="s">
        <v>48</v>
      </c>
      <c r="E12" s="0" t="s">
        <v>49</v>
      </c>
      <c r="F12" s="0" t="s">
        <v>13</v>
      </c>
      <c r="G12" s="0" t="s">
        <v>23</v>
      </c>
      <c r="H12" s="0" t="n">
        <v>4</v>
      </c>
    </row>
    <row r="13" customFormat="false" ht="15" hidden="false" customHeight="false" outlineLevel="0" collapsed="false">
      <c r="A13" s="0" t="n">
        <v>12</v>
      </c>
      <c r="B13" s="0" t="s">
        <v>50</v>
      </c>
      <c r="C13" s="0" t="s">
        <v>41</v>
      </c>
      <c r="D13" s="0" t="s">
        <v>51</v>
      </c>
      <c r="E13" s="0" t="s">
        <v>52</v>
      </c>
      <c r="F13" s="0" t="s">
        <v>13</v>
      </c>
      <c r="G13" s="0" t="s">
        <v>18</v>
      </c>
      <c r="H13" s="0" t="n">
        <v>8</v>
      </c>
    </row>
    <row r="14" customFormat="false" ht="15" hidden="false" customHeight="false" outlineLevel="0" collapsed="false">
      <c r="A14" s="0" t="n">
        <v>13</v>
      </c>
      <c r="B14" s="0" t="s">
        <v>53</v>
      </c>
      <c r="C14" s="0" t="s">
        <v>41</v>
      </c>
      <c r="D14" s="0" t="s">
        <v>54</v>
      </c>
      <c r="E14" s="0" t="s">
        <v>55</v>
      </c>
      <c r="F14" s="0" t="s">
        <v>13</v>
      </c>
      <c r="G14" s="0" t="s">
        <v>14</v>
      </c>
      <c r="H14" s="0" t="n">
        <v>9</v>
      </c>
    </row>
    <row r="15" customFormat="false" ht="15" hidden="false" customHeight="false" outlineLevel="0" collapsed="false">
      <c r="A15" s="0" t="n">
        <v>14</v>
      </c>
      <c r="B15" s="0" t="s">
        <v>56</v>
      </c>
      <c r="C15" s="0" t="s">
        <v>41</v>
      </c>
      <c r="D15" s="0" t="s">
        <v>57</v>
      </c>
      <c r="E15" s="0" t="s">
        <v>58</v>
      </c>
      <c r="F15" s="0" t="s">
        <v>13</v>
      </c>
      <c r="G15" s="0" t="s">
        <v>23</v>
      </c>
      <c r="H15" s="0" t="n">
        <v>5</v>
      </c>
    </row>
    <row r="16" customFormat="false" ht="15" hidden="false" customHeight="false" outlineLevel="0" collapsed="false">
      <c r="A16" s="0" t="n">
        <v>15</v>
      </c>
      <c r="B16" s="0" t="s">
        <v>59</v>
      </c>
      <c r="C16" s="0" t="s">
        <v>41</v>
      </c>
      <c r="D16" s="0" t="s">
        <v>60</v>
      </c>
      <c r="E16" s="0" t="s">
        <v>61</v>
      </c>
      <c r="F16" s="0" t="s">
        <v>13</v>
      </c>
      <c r="G16" s="0" t="s">
        <v>14</v>
      </c>
      <c r="H16" s="0" t="n">
        <v>8</v>
      </c>
    </row>
    <row r="17" customFormat="false" ht="15" hidden="false" customHeight="false" outlineLevel="0" collapsed="false">
      <c r="A17" s="0" t="n">
        <v>16</v>
      </c>
      <c r="B17" s="0" t="s">
        <v>62</v>
      </c>
      <c r="C17" s="0" t="s">
        <v>41</v>
      </c>
      <c r="D17" s="0" t="s">
        <v>63</v>
      </c>
      <c r="E17" s="0" t="s">
        <v>64</v>
      </c>
      <c r="F17" s="0" t="s">
        <v>13</v>
      </c>
      <c r="G17" s="0" t="s">
        <v>23</v>
      </c>
      <c r="H17" s="0" t="n">
        <v>13</v>
      </c>
    </row>
    <row r="18" customFormat="false" ht="15" hidden="false" customHeight="false" outlineLevel="0" collapsed="false">
      <c r="A18" s="0" t="n">
        <v>17</v>
      </c>
      <c r="B18" s="0" t="s">
        <v>65</v>
      </c>
      <c r="C18" s="0" t="s">
        <v>41</v>
      </c>
      <c r="D18" s="0" t="s">
        <v>66</v>
      </c>
      <c r="E18" s="0" t="s">
        <v>67</v>
      </c>
      <c r="F18" s="0" t="s">
        <v>13</v>
      </c>
      <c r="G18" s="0" t="s">
        <v>14</v>
      </c>
      <c r="H18" s="0" t="n">
        <v>9</v>
      </c>
    </row>
    <row r="19" customFormat="false" ht="15" hidden="false" customHeight="false" outlineLevel="0" collapsed="false">
      <c r="A19" s="0" t="n">
        <v>18</v>
      </c>
      <c r="B19" s="0" t="s">
        <v>68</v>
      </c>
      <c r="C19" s="0" t="s">
        <v>69</v>
      </c>
      <c r="D19" s="0" t="s">
        <v>70</v>
      </c>
      <c r="E19" s="0" t="s">
        <v>71</v>
      </c>
      <c r="F19" s="0" t="s">
        <v>13</v>
      </c>
      <c r="G19" s="0" t="s">
        <v>23</v>
      </c>
      <c r="H19" s="0" t="n">
        <v>6</v>
      </c>
    </row>
    <row r="20" customFormat="false" ht="15" hidden="false" customHeight="false" outlineLevel="0" collapsed="false">
      <c r="A20" s="0" t="n">
        <v>19</v>
      </c>
      <c r="B20" s="0" t="s">
        <v>72</v>
      </c>
      <c r="C20" s="0" t="s">
        <v>69</v>
      </c>
      <c r="D20" s="0" t="s">
        <v>73</v>
      </c>
      <c r="E20" s="0" t="s">
        <v>74</v>
      </c>
      <c r="F20" s="0" t="s">
        <v>13</v>
      </c>
      <c r="G20" s="0" t="s">
        <v>23</v>
      </c>
      <c r="H20" s="0" t="n">
        <v>9</v>
      </c>
    </row>
    <row r="21" customFormat="false" ht="15" hidden="false" customHeight="false" outlineLevel="0" collapsed="false">
      <c r="A21" s="0" t="n">
        <v>20</v>
      </c>
      <c r="B21" s="0" t="s">
        <v>75</v>
      </c>
      <c r="C21" s="0" t="s">
        <v>69</v>
      </c>
      <c r="D21" s="0" t="s">
        <v>76</v>
      </c>
      <c r="E21" s="0" t="s">
        <v>77</v>
      </c>
      <c r="F21" s="0" t="s">
        <v>13</v>
      </c>
      <c r="G21" s="0" t="s">
        <v>14</v>
      </c>
      <c r="H21" s="0" t="n">
        <v>7</v>
      </c>
    </row>
    <row r="22" customFormat="false" ht="15" hidden="false" customHeight="false" outlineLevel="0" collapsed="false">
      <c r="A22" s="0" t="n">
        <v>21</v>
      </c>
      <c r="B22" s="0" t="s">
        <v>78</v>
      </c>
      <c r="C22" s="0" t="s">
        <v>69</v>
      </c>
      <c r="D22" s="0" t="s">
        <v>79</v>
      </c>
      <c r="E22" s="0" t="s">
        <v>80</v>
      </c>
      <c r="F22" s="0" t="s">
        <v>13</v>
      </c>
      <c r="G22" s="0" t="s">
        <v>23</v>
      </c>
      <c r="H22" s="0" t="n">
        <v>10</v>
      </c>
    </row>
    <row r="23" customFormat="false" ht="15" hidden="false" customHeight="false" outlineLevel="0" collapsed="false">
      <c r="A23" s="0" t="n">
        <v>22</v>
      </c>
      <c r="B23" s="0" t="s">
        <v>81</v>
      </c>
      <c r="C23" s="0" t="s">
        <v>69</v>
      </c>
      <c r="D23" s="0" t="s">
        <v>82</v>
      </c>
      <c r="E23" s="0" t="s">
        <v>83</v>
      </c>
      <c r="F23" s="0" t="s">
        <v>13</v>
      </c>
      <c r="G23" s="0" t="s">
        <v>23</v>
      </c>
      <c r="H23" s="0" t="n">
        <v>8</v>
      </c>
    </row>
    <row r="24" customFormat="false" ht="15" hidden="false" customHeight="false" outlineLevel="0" collapsed="false">
      <c r="A24" s="0" t="n">
        <v>23</v>
      </c>
      <c r="B24" s="0" t="s">
        <v>84</v>
      </c>
      <c r="C24" s="0" t="s">
        <v>69</v>
      </c>
      <c r="D24" s="0" t="s">
        <v>85</v>
      </c>
      <c r="E24" s="0" t="s">
        <v>86</v>
      </c>
      <c r="F24" s="0" t="s">
        <v>13</v>
      </c>
      <c r="G24" s="0" t="s">
        <v>23</v>
      </c>
      <c r="H24" s="0" t="n">
        <v>3</v>
      </c>
    </row>
    <row r="25" customFormat="false" ht="15" hidden="false" customHeight="false" outlineLevel="0" collapsed="false">
      <c r="A25" s="0" t="n">
        <v>24</v>
      </c>
      <c r="B25" s="0" t="s">
        <v>87</v>
      </c>
      <c r="C25" s="0" t="s">
        <v>69</v>
      </c>
      <c r="D25" s="0" t="s">
        <v>88</v>
      </c>
      <c r="E25" s="0" t="s">
        <v>89</v>
      </c>
      <c r="F25" s="0" t="s">
        <v>13</v>
      </c>
      <c r="G25" s="0" t="s">
        <v>23</v>
      </c>
      <c r="H25" s="0" t="n">
        <v>5</v>
      </c>
    </row>
    <row r="26" customFormat="false" ht="15" hidden="false" customHeight="false" outlineLevel="0" collapsed="false">
      <c r="A26" s="0" t="n">
        <v>25</v>
      </c>
      <c r="B26" s="0" t="s">
        <v>90</v>
      </c>
      <c r="C26" s="0" t="s">
        <v>69</v>
      </c>
      <c r="D26" s="0" t="s">
        <v>91</v>
      </c>
      <c r="E26" s="0" t="s">
        <v>92</v>
      </c>
      <c r="F26" s="0" t="s">
        <v>93</v>
      </c>
      <c r="G26" s="0" t="s">
        <v>23</v>
      </c>
      <c r="H26" s="0" t="n">
        <v>3</v>
      </c>
    </row>
    <row r="27" customFormat="false" ht="15" hidden="false" customHeight="false" outlineLevel="0" collapsed="false">
      <c r="A27" s="0" t="n">
        <v>26</v>
      </c>
      <c r="B27" s="0" t="s">
        <v>94</v>
      </c>
      <c r="C27" s="0" t="s">
        <v>69</v>
      </c>
      <c r="D27" s="0" t="s">
        <v>95</v>
      </c>
      <c r="E27" s="0" t="s">
        <v>96</v>
      </c>
      <c r="F27" s="0" t="s">
        <v>13</v>
      </c>
      <c r="G27" s="0" t="s">
        <v>23</v>
      </c>
      <c r="H27" s="0" t="n">
        <v>2</v>
      </c>
    </row>
    <row r="28" customFormat="false" ht="15" hidden="false" customHeight="false" outlineLevel="0" collapsed="false">
      <c r="A28" s="0" t="n">
        <v>27</v>
      </c>
      <c r="B28" s="0" t="s">
        <v>97</v>
      </c>
      <c r="C28" s="0" t="s">
        <v>98</v>
      </c>
      <c r="D28" s="0" t="s">
        <v>99</v>
      </c>
      <c r="E28" s="0" t="s">
        <v>100</v>
      </c>
      <c r="F28" s="0" t="s">
        <v>13</v>
      </c>
      <c r="G28" s="0" t="s">
        <v>23</v>
      </c>
      <c r="H28" s="0" t="n">
        <v>8</v>
      </c>
    </row>
    <row r="29" customFormat="false" ht="15" hidden="false" customHeight="false" outlineLevel="0" collapsed="false">
      <c r="A29" s="0" t="n">
        <v>28</v>
      </c>
      <c r="B29" s="0" t="s">
        <v>101</v>
      </c>
      <c r="C29" s="0" t="s">
        <v>98</v>
      </c>
      <c r="D29" s="0" t="s">
        <v>102</v>
      </c>
      <c r="E29" s="0" t="s">
        <v>49</v>
      </c>
      <c r="F29" s="0" t="s">
        <v>13</v>
      </c>
      <c r="G29" s="0" t="s">
        <v>23</v>
      </c>
      <c r="H29" s="0" t="n">
        <v>4</v>
      </c>
    </row>
    <row r="30" customFormat="false" ht="15" hidden="false" customHeight="false" outlineLevel="0" collapsed="false">
      <c r="A30" s="0" t="n">
        <v>29</v>
      </c>
      <c r="B30" s="0" t="s">
        <v>103</v>
      </c>
      <c r="C30" s="0" t="s">
        <v>98</v>
      </c>
      <c r="D30" s="0" t="s">
        <v>104</v>
      </c>
      <c r="E30" s="0" t="s">
        <v>92</v>
      </c>
      <c r="F30" s="0" t="s">
        <v>105</v>
      </c>
      <c r="G30" s="0" t="s">
        <v>18</v>
      </c>
      <c r="H30" s="0" t="n">
        <v>6</v>
      </c>
    </row>
    <row r="31" customFormat="false" ht="15" hidden="false" customHeight="false" outlineLevel="0" collapsed="false">
      <c r="A31" s="0" t="n">
        <v>30</v>
      </c>
      <c r="B31" s="0" t="s">
        <v>106</v>
      </c>
      <c r="C31" s="0" t="s">
        <v>98</v>
      </c>
      <c r="D31" s="0" t="s">
        <v>107</v>
      </c>
      <c r="E31" s="0" t="s">
        <v>108</v>
      </c>
      <c r="F31" s="0" t="s">
        <v>13</v>
      </c>
      <c r="G31" s="0" t="s">
        <v>23</v>
      </c>
      <c r="H31" s="0" t="n">
        <v>5</v>
      </c>
    </row>
    <row r="32" customFormat="false" ht="15" hidden="false" customHeight="false" outlineLevel="0" collapsed="false">
      <c r="A32" s="0" t="n">
        <v>31</v>
      </c>
      <c r="B32" s="0" t="s">
        <v>109</v>
      </c>
      <c r="C32" s="0" t="s">
        <v>98</v>
      </c>
      <c r="D32" s="0" t="s">
        <v>110</v>
      </c>
      <c r="E32" s="0" t="s">
        <v>111</v>
      </c>
      <c r="F32" s="0" t="s">
        <v>112</v>
      </c>
      <c r="G32" s="0" t="s">
        <v>14</v>
      </c>
      <c r="H32" s="0" t="n">
        <v>4</v>
      </c>
    </row>
    <row r="33" customFormat="false" ht="15" hidden="false" customHeight="false" outlineLevel="0" collapsed="false">
      <c r="A33" s="0" t="n">
        <v>32</v>
      </c>
      <c r="B33" s="0" t="s">
        <v>113</v>
      </c>
      <c r="C33" s="0" t="s">
        <v>98</v>
      </c>
      <c r="D33" s="0" t="s">
        <v>114</v>
      </c>
      <c r="E33" s="0" t="s">
        <v>115</v>
      </c>
      <c r="F33" s="0" t="s">
        <v>13</v>
      </c>
      <c r="G33" s="0" t="s">
        <v>14</v>
      </c>
      <c r="H33" s="0" t="n">
        <v>8</v>
      </c>
    </row>
    <row r="34" customFormat="false" ht="15" hidden="false" customHeight="false" outlineLevel="0" collapsed="false">
      <c r="A34" s="0" t="n">
        <v>33</v>
      </c>
      <c r="B34" s="0" t="s">
        <v>116</v>
      </c>
      <c r="C34" s="0" t="s">
        <v>98</v>
      </c>
      <c r="D34" s="0" t="s">
        <v>117</v>
      </c>
      <c r="E34" s="0" t="s">
        <v>12</v>
      </c>
      <c r="F34" s="0" t="s">
        <v>13</v>
      </c>
      <c r="G34" s="0" t="s">
        <v>23</v>
      </c>
      <c r="H34" s="0" t="n">
        <v>4</v>
      </c>
    </row>
    <row r="35" customFormat="false" ht="15" hidden="false" customHeight="false" outlineLevel="0" collapsed="false">
      <c r="A35" s="0" t="n">
        <v>34</v>
      </c>
      <c r="B35" s="0" t="s">
        <v>118</v>
      </c>
      <c r="C35" s="0" t="s">
        <v>98</v>
      </c>
      <c r="D35" s="0" t="s">
        <v>119</v>
      </c>
      <c r="E35" s="0" t="s">
        <v>120</v>
      </c>
      <c r="F35" s="0" t="s">
        <v>13</v>
      </c>
      <c r="G35" s="0" t="s">
        <v>23</v>
      </c>
      <c r="H35" s="0" t="n">
        <v>5</v>
      </c>
    </row>
    <row r="36" customFormat="false" ht="15" hidden="false" customHeight="false" outlineLevel="0" collapsed="false">
      <c r="A36" s="0" t="n">
        <v>35</v>
      </c>
      <c r="B36" s="0" t="s">
        <v>121</v>
      </c>
      <c r="C36" s="0" t="s">
        <v>98</v>
      </c>
      <c r="D36" s="0" t="s">
        <v>122</v>
      </c>
      <c r="E36" s="0" t="s">
        <v>123</v>
      </c>
      <c r="F36" s="0" t="s">
        <v>13</v>
      </c>
      <c r="G36" s="0" t="s">
        <v>14</v>
      </c>
      <c r="H36" s="0" t="n">
        <v>9</v>
      </c>
    </row>
    <row r="37" customFormat="false" ht="15" hidden="false" customHeight="false" outlineLevel="0" collapsed="false">
      <c r="A37" s="0" t="n">
        <v>36</v>
      </c>
      <c r="B37" s="0" t="s">
        <v>124</v>
      </c>
      <c r="C37" s="0" t="s">
        <v>125</v>
      </c>
      <c r="D37" s="0" t="s">
        <v>126</v>
      </c>
      <c r="E37" s="0" t="s">
        <v>100</v>
      </c>
      <c r="F37" s="0" t="s">
        <v>13</v>
      </c>
      <c r="G37" s="0" t="s">
        <v>23</v>
      </c>
      <c r="H37" s="0" t="n">
        <v>5</v>
      </c>
    </row>
    <row r="38" customFormat="false" ht="15" hidden="false" customHeight="false" outlineLevel="0" collapsed="false">
      <c r="A38" s="0" t="n">
        <v>37</v>
      </c>
      <c r="B38" s="0" t="s">
        <v>127</v>
      </c>
      <c r="C38" s="0" t="s">
        <v>125</v>
      </c>
      <c r="D38" s="0" t="s">
        <v>128</v>
      </c>
      <c r="E38" s="0" t="s">
        <v>129</v>
      </c>
      <c r="F38" s="0" t="s">
        <v>13</v>
      </c>
      <c r="G38" s="0" t="s">
        <v>23</v>
      </c>
      <c r="H38" s="0" t="n">
        <v>10</v>
      </c>
    </row>
    <row r="39" customFormat="false" ht="15" hidden="false" customHeight="false" outlineLevel="0" collapsed="false">
      <c r="A39" s="0" t="n">
        <v>38</v>
      </c>
      <c r="B39" s="0" t="s">
        <v>130</v>
      </c>
      <c r="C39" s="0" t="s">
        <v>125</v>
      </c>
      <c r="D39" s="0" t="s">
        <v>131</v>
      </c>
      <c r="E39" s="0" t="s">
        <v>132</v>
      </c>
      <c r="F39" s="0" t="s">
        <v>13</v>
      </c>
      <c r="G39" s="0" t="s">
        <v>14</v>
      </c>
      <c r="H39" s="0" t="n">
        <v>11</v>
      </c>
    </row>
    <row r="40" customFormat="false" ht="15" hidden="false" customHeight="false" outlineLevel="0" collapsed="false">
      <c r="A40" s="0" t="n">
        <v>39</v>
      </c>
      <c r="B40" s="0" t="s">
        <v>133</v>
      </c>
      <c r="C40" s="0" t="s">
        <v>125</v>
      </c>
      <c r="D40" s="0" t="s">
        <v>134</v>
      </c>
      <c r="E40" s="0" t="s">
        <v>135</v>
      </c>
      <c r="F40" s="0" t="s">
        <v>13</v>
      </c>
      <c r="G40" s="0" t="s">
        <v>23</v>
      </c>
      <c r="H40" s="0" t="n">
        <v>9</v>
      </c>
    </row>
    <row r="41" customFormat="false" ht="15" hidden="false" customHeight="false" outlineLevel="0" collapsed="false">
      <c r="A41" s="0" t="n">
        <v>40</v>
      </c>
      <c r="B41" s="0" t="s">
        <v>136</v>
      </c>
      <c r="C41" s="0" t="s">
        <v>125</v>
      </c>
      <c r="D41" s="0" t="s">
        <v>137</v>
      </c>
      <c r="E41" s="0" t="s">
        <v>138</v>
      </c>
      <c r="F41" s="0" t="s">
        <v>13</v>
      </c>
      <c r="G41" s="0" t="s">
        <v>14</v>
      </c>
      <c r="H41" s="0" t="n">
        <v>3</v>
      </c>
    </row>
    <row r="42" customFormat="false" ht="15" hidden="false" customHeight="false" outlineLevel="0" collapsed="false">
      <c r="A42" s="0" t="n">
        <v>41</v>
      </c>
      <c r="B42" s="0" t="s">
        <v>139</v>
      </c>
      <c r="C42" s="0" t="s">
        <v>125</v>
      </c>
      <c r="D42" s="0" t="s">
        <v>140</v>
      </c>
      <c r="E42" s="0" t="s">
        <v>141</v>
      </c>
      <c r="F42" s="0" t="s">
        <v>13</v>
      </c>
      <c r="G42" s="0" t="s">
        <v>23</v>
      </c>
      <c r="H42" s="0" t="n">
        <v>7</v>
      </c>
    </row>
    <row r="43" customFormat="false" ht="15" hidden="false" customHeight="false" outlineLevel="0" collapsed="false">
      <c r="A43" s="0" t="n">
        <v>42</v>
      </c>
      <c r="B43" s="0" t="s">
        <v>142</v>
      </c>
      <c r="C43" s="0" t="s">
        <v>125</v>
      </c>
      <c r="D43" s="0" t="s">
        <v>143</v>
      </c>
      <c r="E43" s="0" t="s">
        <v>144</v>
      </c>
      <c r="F43" s="0" t="s">
        <v>13</v>
      </c>
      <c r="G43" s="0" t="s">
        <v>14</v>
      </c>
      <c r="H43" s="0" t="n">
        <v>10</v>
      </c>
    </row>
    <row r="44" customFormat="false" ht="15" hidden="false" customHeight="false" outlineLevel="0" collapsed="false">
      <c r="A44" s="0" t="n">
        <v>43</v>
      </c>
      <c r="B44" s="0" t="s">
        <v>145</v>
      </c>
      <c r="C44" s="0" t="s">
        <v>125</v>
      </c>
      <c r="D44" s="0" t="s">
        <v>146</v>
      </c>
      <c r="E44" s="0" t="s">
        <v>147</v>
      </c>
      <c r="F44" s="0" t="s">
        <v>13</v>
      </c>
      <c r="G44" s="0" t="s">
        <v>23</v>
      </c>
      <c r="H44" s="0" t="n">
        <v>7</v>
      </c>
    </row>
    <row r="45" customFormat="false" ht="15" hidden="false" customHeight="false" outlineLevel="0" collapsed="false">
      <c r="A45" s="0" t="n">
        <v>44</v>
      </c>
      <c r="B45" s="0" t="s">
        <v>148</v>
      </c>
      <c r="C45" s="0" t="s">
        <v>149</v>
      </c>
      <c r="D45" s="0" t="s">
        <v>150</v>
      </c>
      <c r="E45" s="0" t="s">
        <v>151</v>
      </c>
      <c r="F45" s="0" t="s">
        <v>13</v>
      </c>
      <c r="G45" s="0" t="s">
        <v>23</v>
      </c>
      <c r="H45" s="0" t="n">
        <v>2</v>
      </c>
    </row>
    <row r="46" customFormat="false" ht="15" hidden="false" customHeight="false" outlineLevel="0" collapsed="false">
      <c r="A46" s="0" t="n">
        <v>45</v>
      </c>
      <c r="B46" s="0" t="s">
        <v>152</v>
      </c>
      <c r="C46" s="0" t="s">
        <v>149</v>
      </c>
      <c r="D46" s="0" t="s">
        <v>153</v>
      </c>
      <c r="E46" s="0" t="s">
        <v>154</v>
      </c>
      <c r="F46" s="0" t="s">
        <v>13</v>
      </c>
      <c r="G46" s="0" t="s">
        <v>23</v>
      </c>
      <c r="H46" s="0" t="n">
        <v>4</v>
      </c>
    </row>
    <row r="47" customFormat="false" ht="15" hidden="false" customHeight="false" outlineLevel="0" collapsed="false">
      <c r="A47" s="0" t="n">
        <v>46</v>
      </c>
      <c r="B47" s="0" t="s">
        <v>155</v>
      </c>
      <c r="C47" s="0" t="s">
        <v>149</v>
      </c>
      <c r="D47" s="0" t="s">
        <v>156</v>
      </c>
      <c r="E47" s="0" t="s">
        <v>157</v>
      </c>
      <c r="F47" s="0" t="s">
        <v>13</v>
      </c>
      <c r="G47" s="0" t="s">
        <v>14</v>
      </c>
      <c r="H47" s="0" t="n">
        <v>4</v>
      </c>
    </row>
    <row r="48" customFormat="false" ht="15" hidden="false" customHeight="false" outlineLevel="0" collapsed="false">
      <c r="A48" s="0" t="n">
        <v>47</v>
      </c>
      <c r="B48" s="0" t="s">
        <v>158</v>
      </c>
      <c r="C48" s="0" t="s">
        <v>149</v>
      </c>
      <c r="D48" s="0" t="s">
        <v>159</v>
      </c>
      <c r="E48" s="0" t="s">
        <v>160</v>
      </c>
      <c r="F48" s="0" t="s">
        <v>13</v>
      </c>
      <c r="G48" s="0" t="s">
        <v>14</v>
      </c>
      <c r="H48" s="0" t="n">
        <v>6</v>
      </c>
    </row>
    <row r="49" customFormat="false" ht="15" hidden="false" customHeight="false" outlineLevel="0" collapsed="false">
      <c r="A49" s="0" t="n">
        <v>48</v>
      </c>
      <c r="B49" s="0" t="s">
        <v>161</v>
      </c>
      <c r="C49" s="0" t="s">
        <v>149</v>
      </c>
      <c r="D49" s="0" t="s">
        <v>162</v>
      </c>
      <c r="E49" s="0" t="s">
        <v>163</v>
      </c>
      <c r="F49" s="0" t="s">
        <v>13</v>
      </c>
      <c r="G49" s="0" t="s">
        <v>23</v>
      </c>
      <c r="H49" s="0" t="n">
        <v>2</v>
      </c>
    </row>
    <row r="50" customFormat="false" ht="15" hidden="false" customHeight="false" outlineLevel="0" collapsed="false">
      <c r="A50" s="0" t="n">
        <v>49</v>
      </c>
      <c r="B50" s="0" t="s">
        <v>164</v>
      </c>
      <c r="C50" s="0" t="s">
        <v>149</v>
      </c>
      <c r="D50" s="0" t="s">
        <v>165</v>
      </c>
      <c r="E50" s="0" t="s">
        <v>166</v>
      </c>
      <c r="F50" s="0" t="s">
        <v>13</v>
      </c>
      <c r="G50" s="0" t="s">
        <v>23</v>
      </c>
      <c r="H50" s="0" t="n">
        <v>5</v>
      </c>
    </row>
    <row r="51" customFormat="false" ht="15" hidden="false" customHeight="false" outlineLevel="0" collapsed="false">
      <c r="A51" s="0" t="n">
        <v>50</v>
      </c>
      <c r="B51" s="0" t="s">
        <v>167</v>
      </c>
      <c r="C51" s="0" t="s">
        <v>149</v>
      </c>
      <c r="D51" s="0" t="s">
        <v>168</v>
      </c>
      <c r="E51" s="0" t="s">
        <v>169</v>
      </c>
      <c r="F51" s="0" t="s">
        <v>13</v>
      </c>
      <c r="G51" s="0" t="s">
        <v>23</v>
      </c>
      <c r="H51" s="0" t="n">
        <v>7</v>
      </c>
    </row>
    <row r="52" customFormat="false" ht="15" hidden="false" customHeight="false" outlineLevel="0" collapsed="false">
      <c r="A52" s="0" t="n">
        <v>51</v>
      </c>
      <c r="B52" s="0" t="s">
        <v>170</v>
      </c>
      <c r="C52" s="0" t="s">
        <v>149</v>
      </c>
      <c r="D52" s="0" t="s">
        <v>171</v>
      </c>
      <c r="E52" s="0" t="s">
        <v>172</v>
      </c>
      <c r="F52" s="0" t="s">
        <v>13</v>
      </c>
      <c r="G52" s="0" t="s">
        <v>23</v>
      </c>
      <c r="H52" s="0" t="n">
        <v>10</v>
      </c>
    </row>
    <row r="53" customFormat="false" ht="15" hidden="false" customHeight="false" outlineLevel="0" collapsed="false">
      <c r="A53" s="0" t="n">
        <v>52</v>
      </c>
      <c r="B53" s="0" t="s">
        <v>173</v>
      </c>
      <c r="C53" s="0" t="s">
        <v>174</v>
      </c>
      <c r="D53" s="0" t="s">
        <v>175</v>
      </c>
      <c r="E53" s="0" t="s">
        <v>176</v>
      </c>
      <c r="F53" s="0" t="s">
        <v>13</v>
      </c>
      <c r="G53" s="0" t="s">
        <v>23</v>
      </c>
      <c r="H53" s="0" t="n">
        <v>8</v>
      </c>
    </row>
    <row r="54" customFormat="false" ht="15" hidden="false" customHeight="false" outlineLevel="0" collapsed="false">
      <c r="A54" s="0" t="n">
        <v>53</v>
      </c>
      <c r="B54" s="0" t="s">
        <v>177</v>
      </c>
      <c r="C54" s="0" t="s">
        <v>174</v>
      </c>
      <c r="D54" s="0" t="s">
        <v>178</v>
      </c>
      <c r="E54" s="0" t="s">
        <v>179</v>
      </c>
      <c r="F54" s="0" t="s">
        <v>13</v>
      </c>
      <c r="G54" s="0" t="s">
        <v>14</v>
      </c>
      <c r="H54" s="0" t="n">
        <v>5</v>
      </c>
    </row>
    <row r="55" customFormat="false" ht="15" hidden="false" customHeight="false" outlineLevel="0" collapsed="false">
      <c r="A55" s="0" t="n">
        <v>54</v>
      </c>
      <c r="B55" s="0" t="s">
        <v>180</v>
      </c>
      <c r="C55" s="0" t="s">
        <v>174</v>
      </c>
      <c r="D55" s="0" t="s">
        <v>181</v>
      </c>
      <c r="E55" s="0" t="s">
        <v>182</v>
      </c>
      <c r="F55" s="0" t="s">
        <v>13</v>
      </c>
      <c r="G55" s="0" t="s">
        <v>23</v>
      </c>
      <c r="H55" s="0" t="n">
        <v>5</v>
      </c>
    </row>
    <row r="56" customFormat="false" ht="15" hidden="false" customHeight="false" outlineLevel="0" collapsed="false">
      <c r="A56" s="0" t="n">
        <v>55</v>
      </c>
      <c r="B56" s="0" t="s">
        <v>183</v>
      </c>
      <c r="C56" s="0" t="s">
        <v>174</v>
      </c>
      <c r="D56" s="0" t="s">
        <v>184</v>
      </c>
      <c r="E56" s="0" t="s">
        <v>185</v>
      </c>
      <c r="F56" s="0" t="s">
        <v>13</v>
      </c>
      <c r="G56" s="0" t="s">
        <v>23</v>
      </c>
      <c r="H56" s="0" t="n">
        <v>9</v>
      </c>
    </row>
    <row r="57" customFormat="false" ht="15" hidden="false" customHeight="false" outlineLevel="0" collapsed="false">
      <c r="A57" s="0" t="n">
        <v>56</v>
      </c>
      <c r="B57" s="0" t="s">
        <v>186</v>
      </c>
      <c r="C57" s="0" t="s">
        <v>174</v>
      </c>
      <c r="D57" s="0" t="s">
        <v>187</v>
      </c>
      <c r="E57" s="0" t="s">
        <v>111</v>
      </c>
      <c r="F57" s="0" t="s">
        <v>13</v>
      </c>
      <c r="G57" s="0" t="s">
        <v>23</v>
      </c>
      <c r="H57" s="0" t="n">
        <v>3</v>
      </c>
    </row>
    <row r="58" customFormat="false" ht="15" hidden="false" customHeight="false" outlineLevel="0" collapsed="false">
      <c r="A58" s="0" t="n">
        <v>57</v>
      </c>
      <c r="B58" s="0" t="s">
        <v>188</v>
      </c>
      <c r="C58" s="0" t="s">
        <v>174</v>
      </c>
      <c r="D58" s="0" t="s">
        <v>189</v>
      </c>
      <c r="E58" s="0" t="s">
        <v>190</v>
      </c>
      <c r="F58" s="0" t="s">
        <v>13</v>
      </c>
      <c r="G58" s="0" t="s">
        <v>23</v>
      </c>
      <c r="H58" s="0" t="n">
        <v>3</v>
      </c>
    </row>
    <row r="59" customFormat="false" ht="15" hidden="false" customHeight="false" outlineLevel="0" collapsed="false">
      <c r="A59" s="0" t="n">
        <v>58</v>
      </c>
      <c r="B59" s="0" t="s">
        <v>191</v>
      </c>
      <c r="C59" s="0" t="s">
        <v>174</v>
      </c>
      <c r="D59" s="0" t="s">
        <v>192</v>
      </c>
      <c r="E59" s="0" t="s">
        <v>193</v>
      </c>
      <c r="F59" s="0" t="s">
        <v>194</v>
      </c>
      <c r="G59" s="0" t="s">
        <v>23</v>
      </c>
      <c r="H59" s="0" t="n">
        <v>4</v>
      </c>
    </row>
    <row r="60" customFormat="false" ht="15" hidden="false" customHeight="false" outlineLevel="0" collapsed="false">
      <c r="A60" s="0" t="n">
        <v>59</v>
      </c>
      <c r="B60" s="0" t="s">
        <v>195</v>
      </c>
      <c r="C60" s="0" t="s">
        <v>174</v>
      </c>
      <c r="D60" s="0" t="s">
        <v>196</v>
      </c>
      <c r="E60" s="0" t="s">
        <v>197</v>
      </c>
      <c r="F60" s="0" t="s">
        <v>13</v>
      </c>
      <c r="G60" s="0" t="s">
        <v>23</v>
      </c>
      <c r="H60" s="0" t="n">
        <v>3</v>
      </c>
    </row>
    <row r="61" customFormat="false" ht="15" hidden="false" customHeight="false" outlineLevel="0" collapsed="false">
      <c r="A61" s="0" t="n">
        <v>60</v>
      </c>
      <c r="B61" s="0" t="s">
        <v>198</v>
      </c>
      <c r="C61" s="0" t="s">
        <v>199</v>
      </c>
      <c r="D61" s="0" t="s">
        <v>200</v>
      </c>
      <c r="E61" s="0" t="s">
        <v>201</v>
      </c>
      <c r="F61" s="0" t="s">
        <v>13</v>
      </c>
      <c r="G61" s="0" t="s">
        <v>23</v>
      </c>
      <c r="H61" s="0" t="n">
        <v>2</v>
      </c>
    </row>
    <row r="62" customFormat="false" ht="15" hidden="false" customHeight="false" outlineLevel="0" collapsed="false">
      <c r="A62" s="0" t="n">
        <v>61</v>
      </c>
      <c r="B62" s="0" t="s">
        <v>202</v>
      </c>
      <c r="C62" s="0" t="s">
        <v>199</v>
      </c>
      <c r="D62" s="0" t="s">
        <v>203</v>
      </c>
      <c r="E62" s="0" t="s">
        <v>204</v>
      </c>
      <c r="F62" s="0" t="s">
        <v>13</v>
      </c>
      <c r="G62" s="0" t="s">
        <v>23</v>
      </c>
      <c r="H62" s="0" t="n">
        <v>4</v>
      </c>
    </row>
    <row r="63" customFormat="false" ht="15" hidden="false" customHeight="false" outlineLevel="0" collapsed="false">
      <c r="A63" s="0" t="n">
        <v>62</v>
      </c>
      <c r="B63" s="0" t="s">
        <v>205</v>
      </c>
      <c r="C63" s="0" t="s">
        <v>199</v>
      </c>
      <c r="D63" s="0" t="s">
        <v>206</v>
      </c>
      <c r="E63" s="0" t="s">
        <v>193</v>
      </c>
      <c r="F63" s="0" t="s">
        <v>13</v>
      </c>
      <c r="G63" s="0" t="s">
        <v>23</v>
      </c>
      <c r="H63" s="0" t="n">
        <v>5</v>
      </c>
    </row>
    <row r="64" customFormat="false" ht="15" hidden="false" customHeight="false" outlineLevel="0" collapsed="false">
      <c r="A64" s="0" t="n">
        <v>63</v>
      </c>
      <c r="B64" s="0" t="s">
        <v>207</v>
      </c>
      <c r="C64" s="0" t="s">
        <v>208</v>
      </c>
      <c r="D64" s="0" t="s">
        <v>209</v>
      </c>
      <c r="E64" s="0" t="s">
        <v>210</v>
      </c>
      <c r="F64" s="0" t="s">
        <v>13</v>
      </c>
      <c r="G64" s="0" t="s">
        <v>23</v>
      </c>
      <c r="H64" s="0" t="n">
        <v>6</v>
      </c>
    </row>
    <row r="65" customFormat="false" ht="15" hidden="false" customHeight="false" outlineLevel="0" collapsed="false">
      <c r="A65" s="0" t="n">
        <v>64</v>
      </c>
      <c r="B65" s="0" t="s">
        <v>211</v>
      </c>
      <c r="C65" s="0" t="s">
        <v>208</v>
      </c>
      <c r="D65" s="0" t="s">
        <v>212</v>
      </c>
      <c r="E65" s="0" t="s">
        <v>213</v>
      </c>
      <c r="F65" s="0" t="s">
        <v>214</v>
      </c>
      <c r="G65" s="0" t="s">
        <v>23</v>
      </c>
      <c r="H65" s="0" t="n">
        <v>5</v>
      </c>
    </row>
    <row r="66" customFormat="false" ht="15" hidden="false" customHeight="false" outlineLevel="0" collapsed="false">
      <c r="A66" s="0" t="n">
        <v>65</v>
      </c>
      <c r="B66" s="0" t="s">
        <v>215</v>
      </c>
      <c r="C66" s="0" t="s">
        <v>208</v>
      </c>
      <c r="D66" s="0" t="s">
        <v>216</v>
      </c>
      <c r="E66" s="0" t="s">
        <v>217</v>
      </c>
      <c r="F66" s="0" t="s">
        <v>13</v>
      </c>
      <c r="G66" s="0" t="s">
        <v>23</v>
      </c>
      <c r="H66" s="0" t="n">
        <v>6</v>
      </c>
    </row>
    <row r="67" customFormat="false" ht="15" hidden="false" customHeight="false" outlineLevel="0" collapsed="false">
      <c r="A67" s="0" t="n">
        <v>66</v>
      </c>
      <c r="B67" s="0" t="s">
        <v>218</v>
      </c>
      <c r="C67" s="0" t="s">
        <v>208</v>
      </c>
      <c r="D67" s="0" t="s">
        <v>219</v>
      </c>
      <c r="E67" s="0" t="s">
        <v>220</v>
      </c>
      <c r="F67" s="0" t="s">
        <v>13</v>
      </c>
      <c r="G67" s="0" t="s">
        <v>23</v>
      </c>
      <c r="H67" s="0" t="n">
        <v>4</v>
      </c>
    </row>
    <row r="68" customFormat="false" ht="15" hidden="false" customHeight="false" outlineLevel="0" collapsed="false">
      <c r="A68" s="0" t="n">
        <v>67</v>
      </c>
      <c r="B68" s="0" t="s">
        <v>221</v>
      </c>
      <c r="C68" s="0" t="s">
        <v>208</v>
      </c>
      <c r="D68" s="0" t="s">
        <v>222</v>
      </c>
      <c r="E68" s="0" t="s">
        <v>223</v>
      </c>
      <c r="F68" s="0" t="s">
        <v>13</v>
      </c>
      <c r="G68" s="0" t="s">
        <v>23</v>
      </c>
      <c r="H68" s="0" t="n">
        <v>4</v>
      </c>
    </row>
    <row r="69" customFormat="false" ht="15" hidden="false" customHeight="false" outlineLevel="0" collapsed="false">
      <c r="A69" s="0" t="n">
        <v>68</v>
      </c>
      <c r="B69" s="0" t="s">
        <v>224</v>
      </c>
      <c r="C69" s="0" t="s">
        <v>208</v>
      </c>
      <c r="D69" s="0" t="s">
        <v>225</v>
      </c>
      <c r="E69" s="0" t="s">
        <v>226</v>
      </c>
      <c r="F69" s="0" t="s">
        <v>13</v>
      </c>
      <c r="G69" s="0" t="s">
        <v>23</v>
      </c>
      <c r="H69" s="0" t="n">
        <v>6</v>
      </c>
    </row>
    <row r="70" customFormat="false" ht="15" hidden="false" customHeight="false" outlineLevel="0" collapsed="false">
      <c r="A70" s="0" t="n">
        <v>69</v>
      </c>
      <c r="B70" s="0" t="s">
        <v>227</v>
      </c>
      <c r="C70" s="0" t="s">
        <v>208</v>
      </c>
      <c r="D70" s="0" t="s">
        <v>228</v>
      </c>
      <c r="E70" s="0" t="s">
        <v>193</v>
      </c>
      <c r="F70" s="0" t="s">
        <v>13</v>
      </c>
      <c r="G70" s="0" t="s">
        <v>23</v>
      </c>
      <c r="H70" s="0" t="n">
        <v>5</v>
      </c>
    </row>
    <row r="71" customFormat="false" ht="15" hidden="false" customHeight="false" outlineLevel="0" collapsed="false">
      <c r="A71" s="0" t="n">
        <v>70</v>
      </c>
      <c r="B71" s="0" t="s">
        <v>229</v>
      </c>
      <c r="C71" s="0" t="s">
        <v>208</v>
      </c>
      <c r="D71" s="0" t="s">
        <v>230</v>
      </c>
      <c r="E71" s="0" t="s">
        <v>231</v>
      </c>
      <c r="F71" s="0" t="s">
        <v>13</v>
      </c>
      <c r="G71" s="0" t="s">
        <v>23</v>
      </c>
      <c r="H71" s="0" t="n">
        <v>5</v>
      </c>
    </row>
    <row r="72" customFormat="false" ht="15" hidden="false" customHeight="false" outlineLevel="0" collapsed="false">
      <c r="A72" s="0" t="n">
        <v>71</v>
      </c>
      <c r="B72" s="0" t="s">
        <v>232</v>
      </c>
      <c r="C72" s="0" t="s">
        <v>208</v>
      </c>
      <c r="D72" s="0" t="s">
        <v>233</v>
      </c>
      <c r="E72" s="0" t="s">
        <v>234</v>
      </c>
      <c r="F72" s="0" t="s">
        <v>13</v>
      </c>
      <c r="G72" s="0" t="s">
        <v>23</v>
      </c>
      <c r="H72" s="0" t="n">
        <v>2</v>
      </c>
    </row>
    <row r="73" customFormat="false" ht="15" hidden="false" customHeight="false" outlineLevel="0" collapsed="false">
      <c r="A73" s="0" t="n">
        <v>72</v>
      </c>
      <c r="B73" s="0" t="s">
        <v>235</v>
      </c>
      <c r="C73" s="0" t="s">
        <v>236</v>
      </c>
      <c r="D73" s="0" t="s">
        <v>237</v>
      </c>
      <c r="E73" s="0" t="s">
        <v>30</v>
      </c>
      <c r="F73" s="0" t="s">
        <v>13</v>
      </c>
      <c r="G73" s="0" t="s">
        <v>23</v>
      </c>
      <c r="H73" s="0" t="n">
        <v>5</v>
      </c>
    </row>
    <row r="74" customFormat="false" ht="15" hidden="false" customHeight="false" outlineLevel="0" collapsed="false">
      <c r="A74" s="0" t="n">
        <v>73</v>
      </c>
      <c r="B74" s="0" t="s">
        <v>238</v>
      </c>
      <c r="C74" s="0" t="s">
        <v>236</v>
      </c>
      <c r="D74" s="0" t="s">
        <v>239</v>
      </c>
      <c r="E74" s="0" t="s">
        <v>240</v>
      </c>
      <c r="F74" s="0" t="s">
        <v>13</v>
      </c>
      <c r="G74" s="0" t="s">
        <v>23</v>
      </c>
      <c r="H74" s="0" t="n">
        <v>5</v>
      </c>
    </row>
    <row r="75" customFormat="false" ht="15" hidden="false" customHeight="false" outlineLevel="0" collapsed="false">
      <c r="A75" s="0" t="n">
        <v>74</v>
      </c>
      <c r="B75" s="0" t="s">
        <v>158</v>
      </c>
      <c r="C75" s="0" t="s">
        <v>236</v>
      </c>
      <c r="D75" s="0" t="s">
        <v>241</v>
      </c>
      <c r="E75" s="0" t="s">
        <v>160</v>
      </c>
      <c r="F75" s="0" t="s">
        <v>13</v>
      </c>
      <c r="G75" s="0" t="s">
        <v>23</v>
      </c>
      <c r="H75" s="0" t="n">
        <v>8</v>
      </c>
    </row>
    <row r="76" customFormat="false" ht="15" hidden="false" customHeight="false" outlineLevel="0" collapsed="false">
      <c r="A76" s="0" t="n">
        <v>75</v>
      </c>
      <c r="B76" s="0" t="s">
        <v>242</v>
      </c>
      <c r="C76" s="0" t="s">
        <v>236</v>
      </c>
      <c r="D76" s="0" t="s">
        <v>243</v>
      </c>
      <c r="E76" s="0" t="s">
        <v>244</v>
      </c>
      <c r="F76" s="0" t="s">
        <v>13</v>
      </c>
      <c r="G76" s="0" t="s">
        <v>23</v>
      </c>
      <c r="H76" s="0" t="n">
        <v>9</v>
      </c>
    </row>
    <row r="77" customFormat="false" ht="15" hidden="false" customHeight="false" outlineLevel="0" collapsed="false">
      <c r="A77" s="0" t="n">
        <v>76</v>
      </c>
      <c r="B77" s="0" t="s">
        <v>245</v>
      </c>
      <c r="C77" s="0" t="s">
        <v>236</v>
      </c>
      <c r="D77" s="0" t="s">
        <v>246</v>
      </c>
      <c r="E77" s="0" t="s">
        <v>247</v>
      </c>
      <c r="F77" s="0" t="s">
        <v>13</v>
      </c>
      <c r="G77" s="0" t="s">
        <v>23</v>
      </c>
      <c r="H77" s="0" t="n">
        <v>9</v>
      </c>
    </row>
    <row r="78" customFormat="false" ht="15" hidden="false" customHeight="false" outlineLevel="0" collapsed="false">
      <c r="A78" s="0" t="n">
        <v>77</v>
      </c>
      <c r="B78" s="0" t="s">
        <v>248</v>
      </c>
      <c r="C78" s="0" t="s">
        <v>236</v>
      </c>
      <c r="D78" s="0" t="s">
        <v>249</v>
      </c>
      <c r="E78" s="0" t="s">
        <v>77</v>
      </c>
      <c r="F78" s="0" t="s">
        <v>13</v>
      </c>
      <c r="G78" s="0" t="s">
        <v>14</v>
      </c>
      <c r="H78" s="0" t="n">
        <v>7</v>
      </c>
    </row>
    <row r="79" customFormat="false" ht="15" hidden="false" customHeight="false" outlineLevel="0" collapsed="false">
      <c r="A79" s="0" t="n">
        <v>78</v>
      </c>
      <c r="B79" s="0" t="s">
        <v>250</v>
      </c>
      <c r="C79" s="0" t="s">
        <v>236</v>
      </c>
      <c r="D79" s="0" t="s">
        <v>251</v>
      </c>
      <c r="E79" s="0" t="s">
        <v>252</v>
      </c>
      <c r="F79" s="0" t="s">
        <v>13</v>
      </c>
      <c r="G79" s="0" t="s">
        <v>14</v>
      </c>
      <c r="H79" s="0" t="n">
        <v>8</v>
      </c>
    </row>
    <row r="80" customFormat="false" ht="15" hidden="false" customHeight="false" outlineLevel="0" collapsed="false">
      <c r="A80" s="0" t="n">
        <v>79</v>
      </c>
      <c r="B80" s="0" t="s">
        <v>253</v>
      </c>
      <c r="C80" s="0" t="s">
        <v>254</v>
      </c>
      <c r="D80" s="0" t="s">
        <v>255</v>
      </c>
      <c r="E80" s="0" t="s">
        <v>30</v>
      </c>
      <c r="F80" s="0" t="s">
        <v>13</v>
      </c>
      <c r="G80" s="0" t="s">
        <v>14</v>
      </c>
      <c r="H80" s="0" t="n">
        <v>9</v>
      </c>
    </row>
    <row r="81" customFormat="false" ht="15" hidden="false" customHeight="false" outlineLevel="0" collapsed="false">
      <c r="A81" s="0" t="n">
        <v>80</v>
      </c>
      <c r="B81" s="0" t="s">
        <v>256</v>
      </c>
      <c r="C81" s="0" t="s">
        <v>254</v>
      </c>
      <c r="D81" s="0" t="s">
        <v>257</v>
      </c>
      <c r="E81" s="0" t="s">
        <v>258</v>
      </c>
      <c r="F81" s="0" t="s">
        <v>13</v>
      </c>
      <c r="G81" s="0" t="s">
        <v>14</v>
      </c>
      <c r="H81" s="0" t="n">
        <v>6</v>
      </c>
    </row>
    <row r="82" customFormat="false" ht="15" hidden="false" customHeight="false" outlineLevel="0" collapsed="false">
      <c r="A82" s="0" t="n">
        <v>81</v>
      </c>
      <c r="B82" s="0" t="s">
        <v>259</v>
      </c>
      <c r="C82" s="0" t="s">
        <v>254</v>
      </c>
      <c r="D82" s="0" t="s">
        <v>260</v>
      </c>
      <c r="E82" s="0" t="s">
        <v>261</v>
      </c>
      <c r="F82" s="0" t="s">
        <v>13</v>
      </c>
      <c r="G82" s="0" t="s">
        <v>18</v>
      </c>
      <c r="H82" s="0" t="n">
        <v>9</v>
      </c>
    </row>
    <row r="83" customFormat="false" ht="15" hidden="false" customHeight="false" outlineLevel="0" collapsed="false">
      <c r="A83" s="0" t="n">
        <v>82</v>
      </c>
      <c r="B83" s="0" t="s">
        <v>262</v>
      </c>
      <c r="C83" s="0" t="s">
        <v>254</v>
      </c>
      <c r="D83" s="0" t="s">
        <v>263</v>
      </c>
      <c r="E83" s="0" t="s">
        <v>264</v>
      </c>
      <c r="F83" s="0" t="s">
        <v>13</v>
      </c>
      <c r="G83" s="0" t="s">
        <v>23</v>
      </c>
      <c r="H83" s="0" t="n">
        <v>5</v>
      </c>
    </row>
    <row r="84" customFormat="false" ht="15" hidden="false" customHeight="false" outlineLevel="0" collapsed="false">
      <c r="A84" s="0" t="n">
        <v>83</v>
      </c>
      <c r="B84" s="0" t="s">
        <v>265</v>
      </c>
      <c r="C84" s="0" t="s">
        <v>254</v>
      </c>
      <c r="D84" s="0" t="s">
        <v>266</v>
      </c>
      <c r="E84" s="0" t="s">
        <v>267</v>
      </c>
      <c r="F84" s="0" t="s">
        <v>13</v>
      </c>
      <c r="G84" s="0" t="s">
        <v>23</v>
      </c>
      <c r="H84" s="0" t="n">
        <v>3</v>
      </c>
    </row>
    <row r="85" customFormat="false" ht="15" hidden="false" customHeight="false" outlineLevel="0" collapsed="false">
      <c r="A85" s="0" t="n">
        <v>84</v>
      </c>
      <c r="B85" s="0" t="s">
        <v>268</v>
      </c>
      <c r="C85" s="0" t="s">
        <v>269</v>
      </c>
      <c r="D85" s="0" t="s">
        <v>270</v>
      </c>
      <c r="E85" s="0" t="s">
        <v>271</v>
      </c>
      <c r="F85" s="0" t="s">
        <v>13</v>
      </c>
      <c r="G85" s="0" t="s">
        <v>23</v>
      </c>
      <c r="H85" s="0" t="n">
        <v>5</v>
      </c>
    </row>
    <row r="86" customFormat="false" ht="15" hidden="false" customHeight="false" outlineLevel="0" collapsed="false">
      <c r="A86" s="0" t="n">
        <v>85</v>
      </c>
      <c r="B86" s="0" t="s">
        <v>272</v>
      </c>
      <c r="C86" s="0" t="s">
        <v>269</v>
      </c>
      <c r="D86" s="0" t="s">
        <v>273</v>
      </c>
      <c r="E86" s="0" t="s">
        <v>193</v>
      </c>
      <c r="F86" s="0" t="s">
        <v>13</v>
      </c>
      <c r="G86" s="0" t="s">
        <v>23</v>
      </c>
      <c r="H86" s="0" t="n">
        <v>6</v>
      </c>
    </row>
    <row r="87" customFormat="false" ht="15" hidden="false" customHeight="false" outlineLevel="0" collapsed="false">
      <c r="A87" s="0" t="n">
        <v>86</v>
      </c>
      <c r="B87" s="0" t="s">
        <v>274</v>
      </c>
      <c r="C87" s="0" t="s">
        <v>269</v>
      </c>
      <c r="D87" s="0" t="s">
        <v>275</v>
      </c>
      <c r="E87" s="0" t="s">
        <v>276</v>
      </c>
      <c r="F87" s="0" t="s">
        <v>13</v>
      </c>
      <c r="G87" s="0" t="s">
        <v>14</v>
      </c>
      <c r="H87" s="0" t="n">
        <v>4</v>
      </c>
    </row>
    <row r="88" customFormat="false" ht="15" hidden="false" customHeight="false" outlineLevel="0" collapsed="false">
      <c r="A88" s="0" t="n">
        <v>87</v>
      </c>
      <c r="B88" s="0" t="s">
        <v>277</v>
      </c>
      <c r="C88" s="0" t="s">
        <v>278</v>
      </c>
      <c r="D88" s="0" t="s">
        <v>279</v>
      </c>
      <c r="E88" s="0" t="s">
        <v>280</v>
      </c>
      <c r="F88" s="0" t="s">
        <v>13</v>
      </c>
      <c r="G88" s="0" t="s">
        <v>14</v>
      </c>
      <c r="H88" s="0" t="n">
        <v>5</v>
      </c>
    </row>
    <row r="89" customFormat="false" ht="15" hidden="false" customHeight="false" outlineLevel="0" collapsed="false">
      <c r="A89" s="0" t="n">
        <v>88</v>
      </c>
      <c r="B89" s="0" t="s">
        <v>281</v>
      </c>
      <c r="C89" s="0" t="s">
        <v>278</v>
      </c>
      <c r="D89" s="0" t="s">
        <v>282</v>
      </c>
      <c r="E89" s="0" t="s">
        <v>283</v>
      </c>
      <c r="F89" s="0" t="s">
        <v>13</v>
      </c>
      <c r="G89" s="0" t="s">
        <v>23</v>
      </c>
      <c r="H89" s="0" t="n">
        <v>4</v>
      </c>
    </row>
    <row r="90" customFormat="false" ht="15" hidden="false" customHeight="false" outlineLevel="0" collapsed="false">
      <c r="A90" s="0" t="n">
        <v>89</v>
      </c>
      <c r="B90" s="0" t="s">
        <v>284</v>
      </c>
      <c r="C90" s="0" t="s">
        <v>278</v>
      </c>
      <c r="D90" s="0" t="s">
        <v>285</v>
      </c>
      <c r="E90" s="0" t="s">
        <v>286</v>
      </c>
      <c r="F90" s="0" t="s">
        <v>13</v>
      </c>
      <c r="G90" s="0" t="s">
        <v>18</v>
      </c>
      <c r="H90" s="0" t="n">
        <v>5</v>
      </c>
    </row>
    <row r="91" customFormat="false" ht="15" hidden="false" customHeight="false" outlineLevel="0" collapsed="false">
      <c r="A91" s="0" t="n">
        <v>90</v>
      </c>
      <c r="B91" s="0" t="s">
        <v>287</v>
      </c>
      <c r="C91" s="0" t="s">
        <v>278</v>
      </c>
      <c r="D91" s="0" t="s">
        <v>288</v>
      </c>
      <c r="E91" s="0" t="s">
        <v>289</v>
      </c>
      <c r="F91" s="0" t="s">
        <v>13</v>
      </c>
      <c r="G91" s="0" t="s">
        <v>18</v>
      </c>
      <c r="H91" s="0" t="n">
        <v>6</v>
      </c>
    </row>
    <row r="92" customFormat="false" ht="15" hidden="false" customHeight="false" outlineLevel="0" collapsed="false">
      <c r="A92" s="0" t="n">
        <v>91</v>
      </c>
      <c r="B92" s="0" t="s">
        <v>290</v>
      </c>
      <c r="C92" s="0" t="s">
        <v>291</v>
      </c>
      <c r="D92" s="0" t="s">
        <v>292</v>
      </c>
      <c r="E92" s="0" t="s">
        <v>293</v>
      </c>
      <c r="F92" s="0" t="s">
        <v>13</v>
      </c>
      <c r="G92" s="0" t="s">
        <v>23</v>
      </c>
      <c r="H92" s="0" t="n">
        <v>6</v>
      </c>
    </row>
    <row r="93" customFormat="false" ht="15" hidden="false" customHeight="false" outlineLevel="0" collapsed="false">
      <c r="A93" s="0" t="n">
        <v>92</v>
      </c>
      <c r="B93" s="0" t="s">
        <v>294</v>
      </c>
      <c r="C93" s="0" t="s">
        <v>291</v>
      </c>
      <c r="D93" s="0" t="s">
        <v>295</v>
      </c>
      <c r="E93" s="0" t="s">
        <v>296</v>
      </c>
      <c r="F93" s="0" t="s">
        <v>13</v>
      </c>
      <c r="G93" s="0" t="s">
        <v>23</v>
      </c>
      <c r="H93" s="0" t="n">
        <v>7</v>
      </c>
    </row>
    <row r="94" customFormat="false" ht="15" hidden="false" customHeight="false" outlineLevel="0" collapsed="false">
      <c r="A94" s="0" t="n">
        <v>93</v>
      </c>
      <c r="B94" s="0" t="s">
        <v>297</v>
      </c>
      <c r="C94" s="0" t="s">
        <v>298</v>
      </c>
      <c r="D94" s="0" t="s">
        <v>299</v>
      </c>
      <c r="E94" s="0" t="s">
        <v>300</v>
      </c>
      <c r="F94" s="0" t="s">
        <v>13</v>
      </c>
      <c r="G94" s="0" t="s">
        <v>14</v>
      </c>
      <c r="H94" s="0" t="n">
        <v>9</v>
      </c>
    </row>
    <row r="95" customFormat="false" ht="15" hidden="false" customHeight="false" outlineLevel="0" collapsed="false">
      <c r="A95" s="0" t="n">
        <v>94</v>
      </c>
      <c r="B95" s="0" t="s">
        <v>301</v>
      </c>
      <c r="C95" s="0" t="s">
        <v>298</v>
      </c>
      <c r="D95" s="0" t="s">
        <v>302</v>
      </c>
      <c r="E95" s="0" t="s">
        <v>303</v>
      </c>
      <c r="F95" s="0" t="s">
        <v>13</v>
      </c>
      <c r="G95" s="0" t="s">
        <v>23</v>
      </c>
      <c r="H95" s="0" t="n">
        <v>3</v>
      </c>
    </row>
    <row r="96" customFormat="false" ht="15" hidden="false" customHeight="false" outlineLevel="0" collapsed="false">
      <c r="A96" s="0" t="n">
        <v>95</v>
      </c>
      <c r="B96" s="0" t="s">
        <v>304</v>
      </c>
      <c r="C96" s="0" t="s">
        <v>298</v>
      </c>
      <c r="D96" s="0" t="s">
        <v>305</v>
      </c>
      <c r="E96" s="0" t="s">
        <v>306</v>
      </c>
      <c r="F96" s="0" t="s">
        <v>13</v>
      </c>
      <c r="G96" s="0" t="s">
        <v>23</v>
      </c>
      <c r="H96" s="0" t="n">
        <v>3</v>
      </c>
    </row>
    <row r="97" customFormat="false" ht="15" hidden="false" customHeight="false" outlineLevel="0" collapsed="false">
      <c r="A97" s="0" t="n">
        <v>96</v>
      </c>
      <c r="B97" s="0" t="s">
        <v>307</v>
      </c>
      <c r="C97" s="0" t="s">
        <v>298</v>
      </c>
      <c r="D97" s="0" t="s">
        <v>308</v>
      </c>
      <c r="E97" s="0" t="s">
        <v>309</v>
      </c>
      <c r="F97" s="0" t="s">
        <v>13</v>
      </c>
      <c r="G97" s="0" t="s">
        <v>23</v>
      </c>
      <c r="H97" s="0" t="n">
        <v>6</v>
      </c>
    </row>
    <row r="98" customFormat="false" ht="15" hidden="false" customHeight="false" outlineLevel="0" collapsed="false">
      <c r="A98" s="0" t="n">
        <v>97</v>
      </c>
      <c r="B98" s="0" t="s">
        <v>310</v>
      </c>
      <c r="C98" s="0" t="s">
        <v>298</v>
      </c>
      <c r="D98" s="0" t="s">
        <v>311</v>
      </c>
      <c r="E98" s="0" t="s">
        <v>312</v>
      </c>
      <c r="F98" s="0" t="s">
        <v>313</v>
      </c>
      <c r="G98" s="0" t="s">
        <v>23</v>
      </c>
      <c r="H98" s="0" t="n">
        <v>6</v>
      </c>
    </row>
    <row r="99" customFormat="false" ht="15" hidden="false" customHeight="false" outlineLevel="0" collapsed="false">
      <c r="A99" s="0" t="n">
        <v>98</v>
      </c>
      <c r="B99" s="0" t="s">
        <v>314</v>
      </c>
      <c r="C99" s="0" t="s">
        <v>298</v>
      </c>
      <c r="D99" s="0" t="s">
        <v>315</v>
      </c>
      <c r="E99" s="0" t="s">
        <v>316</v>
      </c>
      <c r="F99" s="0" t="s">
        <v>13</v>
      </c>
      <c r="G99" s="0" t="s">
        <v>23</v>
      </c>
      <c r="H99" s="0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317</v>
      </c>
      <c r="D1" s="1" t="s">
        <v>318</v>
      </c>
      <c r="E1" s="1" t="s">
        <v>319</v>
      </c>
      <c r="F1" s="1" t="s">
        <v>320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321</v>
      </c>
      <c r="D2" s="0" t="s">
        <v>322</v>
      </c>
      <c r="F2" s="0" t="s">
        <v>323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s">
        <v>324</v>
      </c>
      <c r="D3" s="0" t="s">
        <v>325</v>
      </c>
      <c r="F3" s="0" t="s">
        <v>326</v>
      </c>
    </row>
    <row r="4" customFormat="false" ht="15" hidden="false" customHeight="false" outlineLevel="0" collapsed="false">
      <c r="A4" s="0" t="n">
        <v>3</v>
      </c>
      <c r="B4" s="0" t="s">
        <v>9</v>
      </c>
      <c r="C4" s="0" t="s">
        <v>327</v>
      </c>
      <c r="D4" s="0" t="s">
        <v>328</v>
      </c>
      <c r="F4" s="0" t="s">
        <v>326</v>
      </c>
    </row>
    <row r="5" customFormat="false" ht="15" hidden="false" customHeight="false" outlineLevel="0" collapsed="false">
      <c r="A5" s="0" t="n">
        <v>4</v>
      </c>
      <c r="B5" s="0" t="s">
        <v>15</v>
      </c>
      <c r="C5" s="0" t="s">
        <v>329</v>
      </c>
      <c r="D5" s="0" t="s">
        <v>330</v>
      </c>
      <c r="F5" s="0" t="s">
        <v>329</v>
      </c>
    </row>
    <row r="6" customFormat="false" ht="15" hidden="false" customHeight="false" outlineLevel="0" collapsed="false">
      <c r="A6" s="0" t="n">
        <v>5</v>
      </c>
      <c r="B6" s="0" t="s">
        <v>15</v>
      </c>
      <c r="C6" s="0" t="s">
        <v>331</v>
      </c>
      <c r="D6" s="0" t="s">
        <v>330</v>
      </c>
      <c r="F6" s="0" t="s">
        <v>332</v>
      </c>
    </row>
    <row r="7" customFormat="false" ht="15" hidden="false" customHeight="false" outlineLevel="0" collapsed="false">
      <c r="A7" s="0" t="n">
        <v>6</v>
      </c>
      <c r="B7" s="0" t="s">
        <v>15</v>
      </c>
      <c r="C7" s="0" t="s">
        <v>333</v>
      </c>
      <c r="D7" s="0" t="s">
        <v>330</v>
      </c>
    </row>
    <row r="8" customFormat="false" ht="15" hidden="false" customHeight="false" outlineLevel="0" collapsed="false">
      <c r="A8" s="0" t="n">
        <v>7</v>
      </c>
      <c r="B8" s="0" t="s">
        <v>15</v>
      </c>
      <c r="C8" s="0" t="s">
        <v>334</v>
      </c>
      <c r="D8" s="0" t="s">
        <v>330</v>
      </c>
      <c r="F8" s="0" t="s">
        <v>334</v>
      </c>
    </row>
    <row r="9" customFormat="false" ht="15" hidden="false" customHeight="false" outlineLevel="0" collapsed="false">
      <c r="A9" s="0" t="n">
        <v>8</v>
      </c>
      <c r="B9" s="0" t="s">
        <v>15</v>
      </c>
      <c r="C9" s="0" t="s">
        <v>335</v>
      </c>
      <c r="D9" s="0" t="s">
        <v>330</v>
      </c>
      <c r="F9" s="0" t="s">
        <v>326</v>
      </c>
    </row>
    <row r="10" customFormat="false" ht="15" hidden="false" customHeight="false" outlineLevel="0" collapsed="false">
      <c r="A10" s="0" t="n">
        <v>9</v>
      </c>
      <c r="B10" s="0" t="s">
        <v>15</v>
      </c>
      <c r="C10" s="0" t="s">
        <v>321</v>
      </c>
      <c r="D10" s="0" t="s">
        <v>330</v>
      </c>
      <c r="F10" s="0" t="s">
        <v>323</v>
      </c>
    </row>
    <row r="11" customFormat="false" ht="15" hidden="false" customHeight="false" outlineLevel="0" collapsed="false">
      <c r="A11" s="0" t="n">
        <v>10</v>
      </c>
      <c r="B11" s="0" t="s">
        <v>15</v>
      </c>
      <c r="C11" s="0" t="s">
        <v>336</v>
      </c>
      <c r="D11" s="0" t="s">
        <v>330</v>
      </c>
      <c r="F11" s="0" t="s">
        <v>326</v>
      </c>
    </row>
    <row r="12" customFormat="false" ht="15" hidden="false" customHeight="false" outlineLevel="0" collapsed="false">
      <c r="A12" s="0" t="n">
        <v>11</v>
      </c>
      <c r="B12" s="0" t="s">
        <v>15</v>
      </c>
      <c r="C12" s="0" t="s">
        <v>337</v>
      </c>
      <c r="D12" s="0" t="s">
        <v>330</v>
      </c>
      <c r="F12" s="0" t="s">
        <v>326</v>
      </c>
    </row>
    <row r="13" customFormat="false" ht="15" hidden="false" customHeight="false" outlineLevel="0" collapsed="false">
      <c r="A13" s="0" t="n">
        <v>12</v>
      </c>
      <c r="B13" s="0" t="s">
        <v>15</v>
      </c>
      <c r="C13" s="0" t="s">
        <v>338</v>
      </c>
      <c r="D13" s="0" t="s">
        <v>330</v>
      </c>
    </row>
    <row r="14" customFormat="false" ht="15" hidden="false" customHeight="false" outlineLevel="0" collapsed="false">
      <c r="A14" s="0" t="n">
        <v>13</v>
      </c>
      <c r="B14" s="0" t="s">
        <v>15</v>
      </c>
      <c r="C14" s="0" t="s">
        <v>339</v>
      </c>
      <c r="D14" s="0" t="s">
        <v>330</v>
      </c>
      <c r="F14" s="0" t="s">
        <v>340</v>
      </c>
    </row>
    <row r="15" customFormat="false" ht="15" hidden="false" customHeight="false" outlineLevel="0" collapsed="false">
      <c r="A15" s="0" t="n">
        <v>14</v>
      </c>
      <c r="B15" s="0" t="s">
        <v>15</v>
      </c>
      <c r="C15" s="0" t="s">
        <v>341</v>
      </c>
      <c r="D15" s="0" t="s">
        <v>330</v>
      </c>
      <c r="F15" s="0" t="s">
        <v>341</v>
      </c>
    </row>
    <row r="16" customFormat="false" ht="15" hidden="false" customHeight="false" outlineLevel="0" collapsed="false">
      <c r="A16" s="0" t="n">
        <v>15</v>
      </c>
      <c r="B16" s="0" t="s">
        <v>15</v>
      </c>
      <c r="C16" s="0" t="s">
        <v>342</v>
      </c>
      <c r="D16" s="0" t="s">
        <v>330</v>
      </c>
      <c r="F16" s="0" t="s">
        <v>342</v>
      </c>
    </row>
    <row r="17" customFormat="false" ht="15" hidden="false" customHeight="false" outlineLevel="0" collapsed="false">
      <c r="A17" s="0" t="n">
        <v>16</v>
      </c>
      <c r="B17" s="0" t="s">
        <v>15</v>
      </c>
      <c r="C17" s="0" t="s">
        <v>343</v>
      </c>
      <c r="D17" s="0" t="s">
        <v>344</v>
      </c>
      <c r="F17" s="0" t="s">
        <v>332</v>
      </c>
    </row>
    <row r="18" customFormat="false" ht="15" hidden="false" customHeight="false" outlineLevel="0" collapsed="false">
      <c r="A18" s="0" t="n">
        <v>17</v>
      </c>
      <c r="B18" s="0" t="s">
        <v>19</v>
      </c>
      <c r="C18" s="0" t="s">
        <v>321</v>
      </c>
      <c r="D18" s="0" t="s">
        <v>330</v>
      </c>
      <c r="F18" s="0" t="s">
        <v>323</v>
      </c>
    </row>
    <row r="19" customFormat="false" ht="15" hidden="false" customHeight="false" outlineLevel="0" collapsed="false">
      <c r="A19" s="0" t="n">
        <v>18</v>
      </c>
      <c r="B19" s="0" t="s">
        <v>19</v>
      </c>
      <c r="C19" s="0" t="s">
        <v>345</v>
      </c>
      <c r="D19" s="0" t="s">
        <v>330</v>
      </c>
      <c r="F19" s="0" t="s">
        <v>323</v>
      </c>
    </row>
    <row r="20" customFormat="false" ht="15" hidden="false" customHeight="false" outlineLevel="0" collapsed="false">
      <c r="A20" s="0" t="n">
        <v>19</v>
      </c>
      <c r="B20" s="0" t="s">
        <v>19</v>
      </c>
      <c r="C20" s="0" t="s">
        <v>346</v>
      </c>
      <c r="D20" s="0" t="s">
        <v>330</v>
      </c>
      <c r="F20" s="0" t="s">
        <v>326</v>
      </c>
    </row>
    <row r="21" customFormat="false" ht="15" hidden="false" customHeight="false" outlineLevel="0" collapsed="false">
      <c r="A21" s="0" t="n">
        <v>20</v>
      </c>
      <c r="B21" s="0" t="s">
        <v>19</v>
      </c>
      <c r="C21" s="0" t="s">
        <v>347</v>
      </c>
      <c r="D21" s="0" t="s">
        <v>330</v>
      </c>
    </row>
    <row r="22" customFormat="false" ht="15" hidden="false" customHeight="false" outlineLevel="0" collapsed="false">
      <c r="A22" s="0" t="n">
        <v>21</v>
      </c>
      <c r="B22" s="0" t="s">
        <v>19</v>
      </c>
      <c r="C22" s="0" t="s">
        <v>348</v>
      </c>
      <c r="D22" s="0" t="s">
        <v>330</v>
      </c>
      <c r="F22" s="0" t="s">
        <v>349</v>
      </c>
    </row>
    <row r="23" customFormat="false" ht="15" hidden="false" customHeight="false" outlineLevel="0" collapsed="false">
      <c r="A23" s="0" t="n">
        <v>22</v>
      </c>
      <c r="B23" s="0" t="s">
        <v>19</v>
      </c>
      <c r="C23" s="0" t="s">
        <v>350</v>
      </c>
      <c r="D23" s="0" t="s">
        <v>330</v>
      </c>
      <c r="F23" s="0" t="s">
        <v>326</v>
      </c>
    </row>
    <row r="24" customFormat="false" ht="15" hidden="false" customHeight="false" outlineLevel="0" collapsed="false">
      <c r="A24" s="0" t="n">
        <v>23</v>
      </c>
      <c r="B24" s="0" t="s">
        <v>19</v>
      </c>
      <c r="C24" s="0" t="s">
        <v>351</v>
      </c>
      <c r="D24" s="0" t="s">
        <v>330</v>
      </c>
      <c r="F24" s="0" t="s">
        <v>351</v>
      </c>
    </row>
    <row r="25" customFormat="false" ht="15" hidden="false" customHeight="false" outlineLevel="0" collapsed="false">
      <c r="A25" s="0" t="n">
        <v>24</v>
      </c>
      <c r="B25" s="0" t="s">
        <v>19</v>
      </c>
      <c r="C25" s="0" t="s">
        <v>337</v>
      </c>
      <c r="D25" s="0" t="s">
        <v>330</v>
      </c>
      <c r="F25" s="0" t="s">
        <v>326</v>
      </c>
    </row>
    <row r="26" customFormat="false" ht="15" hidden="false" customHeight="false" outlineLevel="0" collapsed="false">
      <c r="A26" s="0" t="n">
        <v>25</v>
      </c>
      <c r="B26" s="0" t="s">
        <v>19</v>
      </c>
      <c r="C26" s="0" t="s">
        <v>352</v>
      </c>
      <c r="D26" s="0" t="s">
        <v>330</v>
      </c>
    </row>
    <row r="27" customFormat="false" ht="15" hidden="false" customHeight="false" outlineLevel="0" collapsed="false">
      <c r="A27" s="0" t="n">
        <v>26</v>
      </c>
      <c r="B27" s="0" t="s">
        <v>19</v>
      </c>
      <c r="C27" s="0" t="s">
        <v>329</v>
      </c>
      <c r="D27" s="0" t="s">
        <v>330</v>
      </c>
      <c r="F27" s="0" t="s">
        <v>329</v>
      </c>
    </row>
    <row r="28" customFormat="false" ht="15" hidden="false" customHeight="false" outlineLevel="0" collapsed="false">
      <c r="A28" s="0" t="n">
        <v>27</v>
      </c>
      <c r="B28" s="0" t="s">
        <v>19</v>
      </c>
      <c r="C28" s="0" t="s">
        <v>353</v>
      </c>
      <c r="D28" s="0" t="s">
        <v>330</v>
      </c>
      <c r="F28" s="0" t="s">
        <v>332</v>
      </c>
    </row>
    <row r="29" customFormat="false" ht="15" hidden="false" customHeight="false" outlineLevel="0" collapsed="false">
      <c r="A29" s="0" t="n">
        <v>28</v>
      </c>
      <c r="B29" s="0" t="s">
        <v>19</v>
      </c>
      <c r="C29" s="0" t="s">
        <v>354</v>
      </c>
      <c r="D29" s="0" t="s">
        <v>330</v>
      </c>
      <c r="F29" s="0" t="s">
        <v>355</v>
      </c>
    </row>
    <row r="30" customFormat="false" ht="15" hidden="false" customHeight="false" outlineLevel="0" collapsed="false">
      <c r="A30" s="0" t="n">
        <v>29</v>
      </c>
      <c r="B30" s="0" t="s">
        <v>19</v>
      </c>
      <c r="C30" s="0" t="s">
        <v>356</v>
      </c>
      <c r="D30" s="0" t="s">
        <v>330</v>
      </c>
      <c r="F30" s="0" t="s">
        <v>332</v>
      </c>
    </row>
    <row r="31" customFormat="false" ht="15" hidden="false" customHeight="false" outlineLevel="0" collapsed="false">
      <c r="A31" s="0" t="n">
        <v>30</v>
      </c>
      <c r="B31" s="0" t="s">
        <v>19</v>
      </c>
      <c r="C31" s="0" t="s">
        <v>357</v>
      </c>
      <c r="D31" s="0" t="s">
        <v>330</v>
      </c>
      <c r="F31" s="0" t="s">
        <v>342</v>
      </c>
    </row>
    <row r="32" customFormat="false" ht="15" hidden="false" customHeight="false" outlineLevel="0" collapsed="false">
      <c r="A32" s="0" t="n">
        <v>31</v>
      </c>
      <c r="B32" s="0" t="s">
        <v>19</v>
      </c>
      <c r="C32" s="0" t="s">
        <v>358</v>
      </c>
      <c r="D32" s="0" t="s">
        <v>330</v>
      </c>
      <c r="F32" s="0" t="s">
        <v>359</v>
      </c>
    </row>
    <row r="33" customFormat="false" ht="15" hidden="false" customHeight="false" outlineLevel="0" collapsed="false">
      <c r="A33" s="0" t="n">
        <v>32</v>
      </c>
      <c r="B33" s="0" t="s">
        <v>19</v>
      </c>
      <c r="C33" s="0" t="s">
        <v>360</v>
      </c>
      <c r="D33" s="0" t="s">
        <v>330</v>
      </c>
    </row>
    <row r="34" customFormat="false" ht="15" hidden="false" customHeight="false" outlineLevel="0" collapsed="false">
      <c r="A34" s="0" t="n">
        <v>33</v>
      </c>
      <c r="B34" s="0" t="s">
        <v>19</v>
      </c>
      <c r="C34" s="0" t="s">
        <v>361</v>
      </c>
      <c r="D34" s="0" t="s">
        <v>330</v>
      </c>
      <c r="F34" s="0" t="s">
        <v>332</v>
      </c>
    </row>
    <row r="35" customFormat="false" ht="15" hidden="false" customHeight="false" outlineLevel="0" collapsed="false">
      <c r="A35" s="0" t="n">
        <v>34</v>
      </c>
      <c r="B35" s="0" t="s">
        <v>19</v>
      </c>
      <c r="C35" s="0" t="s">
        <v>362</v>
      </c>
      <c r="D35" s="0" t="s">
        <v>330</v>
      </c>
      <c r="F35" s="0" t="s">
        <v>363</v>
      </c>
    </row>
    <row r="36" customFormat="false" ht="15" hidden="false" customHeight="false" outlineLevel="0" collapsed="false">
      <c r="A36" s="0" t="n">
        <v>35</v>
      </c>
      <c r="B36" s="0" t="s">
        <v>24</v>
      </c>
      <c r="C36" s="0" t="s">
        <v>364</v>
      </c>
      <c r="D36" s="0" t="s">
        <v>330</v>
      </c>
      <c r="F36" s="0" t="s">
        <v>323</v>
      </c>
    </row>
    <row r="37" customFormat="false" ht="15" hidden="false" customHeight="false" outlineLevel="0" collapsed="false">
      <c r="A37" s="0" t="n">
        <v>36</v>
      </c>
      <c r="B37" s="0" t="s">
        <v>24</v>
      </c>
      <c r="C37" s="0" t="s">
        <v>365</v>
      </c>
      <c r="D37" s="0" t="s">
        <v>330</v>
      </c>
      <c r="F37" s="0" t="s">
        <v>326</v>
      </c>
    </row>
    <row r="38" customFormat="false" ht="15" hidden="false" customHeight="false" outlineLevel="0" collapsed="false">
      <c r="A38" s="0" t="n">
        <v>37</v>
      </c>
      <c r="B38" s="0" t="s">
        <v>24</v>
      </c>
      <c r="C38" s="0" t="s">
        <v>366</v>
      </c>
      <c r="D38" s="0" t="s">
        <v>330</v>
      </c>
      <c r="F38" s="0" t="s">
        <v>349</v>
      </c>
    </row>
    <row r="39" customFormat="false" ht="15" hidden="false" customHeight="false" outlineLevel="0" collapsed="false">
      <c r="A39" s="0" t="n">
        <v>38</v>
      </c>
      <c r="B39" s="0" t="s">
        <v>24</v>
      </c>
      <c r="C39" s="0" t="s">
        <v>367</v>
      </c>
      <c r="D39" s="0" t="s">
        <v>330</v>
      </c>
      <c r="F39" s="0" t="s">
        <v>355</v>
      </c>
    </row>
    <row r="40" customFormat="false" ht="15" hidden="false" customHeight="false" outlineLevel="0" collapsed="false">
      <c r="A40" s="0" t="n">
        <v>39</v>
      </c>
      <c r="B40" s="0" t="s">
        <v>24</v>
      </c>
      <c r="C40" s="0" t="s">
        <v>342</v>
      </c>
      <c r="D40" s="0" t="s">
        <v>330</v>
      </c>
      <c r="F40" s="0" t="s">
        <v>342</v>
      </c>
    </row>
    <row r="41" customFormat="false" ht="15" hidden="false" customHeight="false" outlineLevel="0" collapsed="false">
      <c r="A41" s="0" t="n">
        <v>40</v>
      </c>
      <c r="B41" s="0" t="s">
        <v>24</v>
      </c>
      <c r="C41" s="0" t="s">
        <v>334</v>
      </c>
      <c r="D41" s="0" t="s">
        <v>330</v>
      </c>
      <c r="F41" s="0" t="s">
        <v>334</v>
      </c>
    </row>
    <row r="42" customFormat="false" ht="15" hidden="false" customHeight="false" outlineLevel="0" collapsed="false">
      <c r="A42" s="0" t="n">
        <v>41</v>
      </c>
      <c r="B42" s="0" t="s">
        <v>24</v>
      </c>
      <c r="C42" s="0" t="s">
        <v>368</v>
      </c>
      <c r="D42" s="0" t="s">
        <v>330</v>
      </c>
    </row>
    <row r="43" customFormat="false" ht="15" hidden="false" customHeight="false" outlineLevel="0" collapsed="false">
      <c r="A43" s="0" t="n">
        <v>42</v>
      </c>
      <c r="B43" s="0" t="s">
        <v>24</v>
      </c>
      <c r="C43" s="0" t="s">
        <v>369</v>
      </c>
      <c r="D43" s="0" t="s">
        <v>330</v>
      </c>
      <c r="F43" s="0" t="s">
        <v>369</v>
      </c>
    </row>
    <row r="44" customFormat="false" ht="15" hidden="false" customHeight="false" outlineLevel="0" collapsed="false">
      <c r="A44" s="0" t="n">
        <v>43</v>
      </c>
      <c r="B44" s="0" t="s">
        <v>28</v>
      </c>
      <c r="C44" s="0" t="s">
        <v>321</v>
      </c>
      <c r="D44" s="0" t="s">
        <v>370</v>
      </c>
      <c r="F44" s="0" t="s">
        <v>323</v>
      </c>
    </row>
    <row r="45" customFormat="false" ht="15" hidden="false" customHeight="false" outlineLevel="0" collapsed="false">
      <c r="A45" s="0" t="n">
        <v>44</v>
      </c>
      <c r="B45" s="0" t="s">
        <v>28</v>
      </c>
      <c r="C45" s="0" t="s">
        <v>371</v>
      </c>
      <c r="D45" s="0" t="s">
        <v>330</v>
      </c>
      <c r="F45" s="0" t="s">
        <v>334</v>
      </c>
    </row>
    <row r="46" customFormat="false" ht="15" hidden="false" customHeight="false" outlineLevel="0" collapsed="false">
      <c r="A46" s="0" t="n">
        <v>45</v>
      </c>
      <c r="B46" s="0" t="s">
        <v>28</v>
      </c>
      <c r="C46" s="0" t="s">
        <v>342</v>
      </c>
      <c r="D46" s="0" t="s">
        <v>330</v>
      </c>
      <c r="F46" s="0" t="s">
        <v>342</v>
      </c>
    </row>
    <row r="47" customFormat="false" ht="15" hidden="false" customHeight="false" outlineLevel="0" collapsed="false">
      <c r="A47" s="0" t="n">
        <v>46</v>
      </c>
      <c r="B47" s="0" t="s">
        <v>28</v>
      </c>
      <c r="C47" s="0" t="s">
        <v>372</v>
      </c>
      <c r="D47" s="0" t="s">
        <v>330</v>
      </c>
    </row>
    <row r="48" customFormat="false" ht="15" hidden="false" customHeight="false" outlineLevel="0" collapsed="false">
      <c r="A48" s="0" t="n">
        <v>47</v>
      </c>
      <c r="B48" s="0" t="s">
        <v>28</v>
      </c>
      <c r="C48" s="0" t="s">
        <v>373</v>
      </c>
      <c r="D48" s="0" t="s">
        <v>330</v>
      </c>
    </row>
    <row r="49" customFormat="false" ht="15" hidden="false" customHeight="false" outlineLevel="0" collapsed="false">
      <c r="A49" s="0" t="n">
        <v>48</v>
      </c>
      <c r="B49" s="0" t="s">
        <v>28</v>
      </c>
      <c r="C49" s="0" t="s">
        <v>374</v>
      </c>
      <c r="D49" s="0" t="s">
        <v>330</v>
      </c>
      <c r="F49" s="0" t="s">
        <v>363</v>
      </c>
    </row>
    <row r="50" customFormat="false" ht="15" hidden="false" customHeight="false" outlineLevel="0" collapsed="false">
      <c r="A50" s="0" t="n">
        <v>49</v>
      </c>
      <c r="B50" s="0" t="s">
        <v>28</v>
      </c>
      <c r="C50" s="0" t="s">
        <v>375</v>
      </c>
      <c r="D50" s="0" t="s">
        <v>376</v>
      </c>
      <c r="E50" s="0" t="s">
        <v>377</v>
      </c>
      <c r="F50" s="0" t="s">
        <v>334</v>
      </c>
    </row>
    <row r="51" customFormat="false" ht="15" hidden="false" customHeight="false" outlineLevel="0" collapsed="false">
      <c r="A51" s="0" t="n">
        <v>50</v>
      </c>
      <c r="B51" s="0" t="s">
        <v>31</v>
      </c>
      <c r="C51" s="0" t="s">
        <v>378</v>
      </c>
      <c r="D51" s="0" t="s">
        <v>379</v>
      </c>
      <c r="F51" s="0" t="s">
        <v>323</v>
      </c>
    </row>
    <row r="52" customFormat="false" ht="15" hidden="false" customHeight="false" outlineLevel="0" collapsed="false">
      <c r="A52" s="0" t="n">
        <v>51</v>
      </c>
      <c r="B52" s="0" t="s">
        <v>31</v>
      </c>
      <c r="C52" s="0" t="s">
        <v>365</v>
      </c>
      <c r="D52" s="0" t="s">
        <v>380</v>
      </c>
      <c r="F52" s="0" t="s">
        <v>326</v>
      </c>
    </row>
    <row r="53" customFormat="false" ht="15" hidden="false" customHeight="false" outlineLevel="0" collapsed="false">
      <c r="A53" s="0" t="n">
        <v>52</v>
      </c>
      <c r="B53" s="0" t="s">
        <v>31</v>
      </c>
      <c r="C53" s="0" t="s">
        <v>334</v>
      </c>
      <c r="D53" s="0" t="s">
        <v>381</v>
      </c>
      <c r="F53" s="0" t="s">
        <v>334</v>
      </c>
    </row>
    <row r="54" customFormat="false" ht="15" hidden="false" customHeight="false" outlineLevel="0" collapsed="false">
      <c r="A54" s="0" t="n">
        <v>53</v>
      </c>
      <c r="B54" s="0" t="s">
        <v>31</v>
      </c>
      <c r="C54" s="0" t="s">
        <v>342</v>
      </c>
      <c r="D54" s="0" t="s">
        <v>382</v>
      </c>
      <c r="F54" s="0" t="s">
        <v>342</v>
      </c>
    </row>
    <row r="55" customFormat="false" ht="15" hidden="false" customHeight="false" outlineLevel="0" collapsed="false">
      <c r="A55" s="0" t="n">
        <v>54</v>
      </c>
      <c r="B55" s="0" t="s">
        <v>31</v>
      </c>
      <c r="C55" s="0" t="s">
        <v>383</v>
      </c>
      <c r="D55" s="0" t="s">
        <v>330</v>
      </c>
    </row>
    <row r="56" customFormat="false" ht="15" hidden="false" customHeight="false" outlineLevel="0" collapsed="false">
      <c r="A56" s="0" t="n">
        <v>55</v>
      </c>
      <c r="B56" s="0" t="s">
        <v>31</v>
      </c>
      <c r="C56" s="0" t="s">
        <v>384</v>
      </c>
      <c r="D56" s="0" t="s">
        <v>330</v>
      </c>
    </row>
    <row r="57" customFormat="false" ht="15" hidden="false" customHeight="false" outlineLevel="0" collapsed="false">
      <c r="A57" s="0" t="n">
        <v>56</v>
      </c>
      <c r="B57" s="0" t="s">
        <v>31</v>
      </c>
      <c r="C57" s="0" t="s">
        <v>369</v>
      </c>
      <c r="D57" s="0" t="s">
        <v>330</v>
      </c>
      <c r="F57" s="0" t="s">
        <v>369</v>
      </c>
    </row>
    <row r="58" customFormat="false" ht="15" hidden="false" customHeight="false" outlineLevel="0" collapsed="false">
      <c r="A58" s="0" t="n">
        <v>57</v>
      </c>
      <c r="B58" s="0" t="s">
        <v>31</v>
      </c>
      <c r="C58" s="0" t="s">
        <v>374</v>
      </c>
      <c r="D58" s="0" t="s">
        <v>330</v>
      </c>
      <c r="F58" s="0" t="s">
        <v>363</v>
      </c>
    </row>
    <row r="59" customFormat="false" ht="15" hidden="false" customHeight="false" outlineLevel="0" collapsed="false">
      <c r="A59" s="0" t="n">
        <v>58</v>
      </c>
      <c r="B59" s="0" t="s">
        <v>31</v>
      </c>
      <c r="C59" s="0" t="s">
        <v>385</v>
      </c>
      <c r="D59" s="0" t="s">
        <v>330</v>
      </c>
      <c r="F59" s="0" t="s">
        <v>386</v>
      </c>
    </row>
    <row r="60" customFormat="false" ht="15" hidden="false" customHeight="false" outlineLevel="0" collapsed="false">
      <c r="A60" s="0" t="n">
        <v>59</v>
      </c>
      <c r="B60" s="0" t="s">
        <v>34</v>
      </c>
      <c r="C60" s="0" t="s">
        <v>321</v>
      </c>
      <c r="D60" s="0" t="s">
        <v>370</v>
      </c>
      <c r="F60" s="0" t="s">
        <v>323</v>
      </c>
    </row>
    <row r="61" customFormat="false" ht="15" hidden="false" customHeight="false" outlineLevel="0" collapsed="false">
      <c r="A61" s="0" t="n">
        <v>60</v>
      </c>
      <c r="B61" s="0" t="s">
        <v>34</v>
      </c>
      <c r="C61" s="0" t="s">
        <v>387</v>
      </c>
      <c r="D61" s="0" t="s">
        <v>388</v>
      </c>
      <c r="F61" s="0" t="s">
        <v>326</v>
      </c>
    </row>
    <row r="62" customFormat="false" ht="15" hidden="false" customHeight="false" outlineLevel="0" collapsed="false">
      <c r="A62" s="0" t="n">
        <v>61</v>
      </c>
      <c r="B62" s="0" t="s">
        <v>34</v>
      </c>
      <c r="C62" s="0" t="s">
        <v>348</v>
      </c>
      <c r="D62" s="0" t="s">
        <v>330</v>
      </c>
      <c r="F62" s="0" t="s">
        <v>349</v>
      </c>
    </row>
    <row r="63" customFormat="false" ht="15" hidden="false" customHeight="false" outlineLevel="0" collapsed="false">
      <c r="A63" s="0" t="n">
        <v>62</v>
      </c>
      <c r="B63" s="0" t="s">
        <v>34</v>
      </c>
      <c r="C63" s="0" t="s">
        <v>389</v>
      </c>
      <c r="D63" s="0" t="s">
        <v>330</v>
      </c>
    </row>
    <row r="64" customFormat="false" ht="15" hidden="false" customHeight="false" outlineLevel="0" collapsed="false">
      <c r="A64" s="0" t="n">
        <v>63</v>
      </c>
      <c r="B64" s="0" t="s">
        <v>34</v>
      </c>
      <c r="C64" s="0" t="s">
        <v>390</v>
      </c>
      <c r="D64" s="0" t="s">
        <v>330</v>
      </c>
      <c r="F64" s="0" t="s">
        <v>386</v>
      </c>
    </row>
    <row r="65" customFormat="false" ht="15" hidden="false" customHeight="false" outlineLevel="0" collapsed="false">
      <c r="A65" s="0" t="n">
        <v>64</v>
      </c>
      <c r="B65" s="0" t="s">
        <v>34</v>
      </c>
      <c r="C65" s="0" t="s">
        <v>391</v>
      </c>
      <c r="D65" s="0" t="s">
        <v>330</v>
      </c>
      <c r="F65" s="0" t="s">
        <v>341</v>
      </c>
    </row>
    <row r="66" customFormat="false" ht="15" hidden="false" customHeight="false" outlineLevel="0" collapsed="false">
      <c r="A66" s="0" t="n">
        <v>65</v>
      </c>
      <c r="B66" s="0" t="s">
        <v>34</v>
      </c>
      <c r="C66" s="0" t="s">
        <v>334</v>
      </c>
      <c r="D66" s="0" t="s">
        <v>330</v>
      </c>
      <c r="F66" s="0" t="s">
        <v>334</v>
      </c>
    </row>
    <row r="67" customFormat="false" ht="15" hidden="false" customHeight="false" outlineLevel="0" collapsed="false">
      <c r="A67" s="0" t="n">
        <v>66</v>
      </c>
      <c r="B67" s="0" t="s">
        <v>34</v>
      </c>
      <c r="C67" s="0" t="s">
        <v>342</v>
      </c>
      <c r="D67" s="0" t="s">
        <v>330</v>
      </c>
      <c r="F67" s="0" t="s">
        <v>342</v>
      </c>
    </row>
    <row r="68" customFormat="false" ht="15" hidden="false" customHeight="false" outlineLevel="0" collapsed="false">
      <c r="A68" s="0" t="n">
        <v>67</v>
      </c>
      <c r="B68" s="0" t="s">
        <v>34</v>
      </c>
      <c r="C68" s="0" t="s">
        <v>369</v>
      </c>
      <c r="D68" s="0" t="s">
        <v>330</v>
      </c>
      <c r="F68" s="0" t="s">
        <v>369</v>
      </c>
    </row>
    <row r="69" customFormat="false" ht="15" hidden="false" customHeight="false" outlineLevel="0" collapsed="false">
      <c r="A69" s="0" t="n">
        <v>68</v>
      </c>
      <c r="B69" s="0" t="s">
        <v>34</v>
      </c>
      <c r="C69" s="0" t="s">
        <v>392</v>
      </c>
      <c r="D69" s="0" t="s">
        <v>330</v>
      </c>
      <c r="F69" s="0" t="s">
        <v>392</v>
      </c>
    </row>
    <row r="70" customFormat="false" ht="15" hidden="false" customHeight="false" outlineLevel="0" collapsed="false">
      <c r="A70" s="0" t="n">
        <v>69</v>
      </c>
      <c r="B70" s="0" t="s">
        <v>34</v>
      </c>
      <c r="C70" s="0" t="s">
        <v>393</v>
      </c>
      <c r="D70" s="0" t="s">
        <v>330</v>
      </c>
      <c r="F70" s="0" t="s">
        <v>369</v>
      </c>
    </row>
    <row r="71" customFormat="false" ht="15" hidden="false" customHeight="false" outlineLevel="0" collapsed="false">
      <c r="A71" s="0" t="n">
        <v>70</v>
      </c>
      <c r="B71" s="0" t="s">
        <v>37</v>
      </c>
      <c r="C71" s="0" t="s">
        <v>321</v>
      </c>
      <c r="D71" s="0" t="s">
        <v>330</v>
      </c>
      <c r="F71" s="0" t="s">
        <v>323</v>
      </c>
    </row>
    <row r="72" customFormat="false" ht="15" hidden="false" customHeight="false" outlineLevel="0" collapsed="false">
      <c r="A72" s="0" t="n">
        <v>71</v>
      </c>
      <c r="B72" s="0" t="s">
        <v>37</v>
      </c>
      <c r="C72" s="0" t="s">
        <v>365</v>
      </c>
      <c r="D72" s="0" t="s">
        <v>330</v>
      </c>
      <c r="F72" s="0" t="s">
        <v>326</v>
      </c>
    </row>
    <row r="73" customFormat="false" ht="15" hidden="false" customHeight="false" outlineLevel="0" collapsed="false">
      <c r="A73" s="0" t="n">
        <v>72</v>
      </c>
      <c r="B73" s="0" t="s">
        <v>37</v>
      </c>
      <c r="C73" s="0" t="s">
        <v>351</v>
      </c>
      <c r="D73" s="0" t="s">
        <v>330</v>
      </c>
      <c r="F73" s="0" t="s">
        <v>351</v>
      </c>
    </row>
    <row r="74" customFormat="false" ht="15" hidden="false" customHeight="false" outlineLevel="0" collapsed="false">
      <c r="A74" s="0" t="n">
        <v>73</v>
      </c>
      <c r="B74" s="0" t="s">
        <v>37</v>
      </c>
      <c r="C74" s="0" t="s">
        <v>394</v>
      </c>
      <c r="D74" s="0" t="s">
        <v>330</v>
      </c>
      <c r="F74" s="0" t="s">
        <v>340</v>
      </c>
    </row>
    <row r="75" customFormat="false" ht="15" hidden="false" customHeight="false" outlineLevel="0" collapsed="false">
      <c r="A75" s="0" t="n">
        <v>74</v>
      </c>
      <c r="B75" s="0" t="s">
        <v>37</v>
      </c>
      <c r="C75" s="0" t="s">
        <v>395</v>
      </c>
      <c r="D75" s="0" t="s">
        <v>330</v>
      </c>
      <c r="F75" s="0" t="s">
        <v>332</v>
      </c>
    </row>
    <row r="76" customFormat="false" ht="15" hidden="false" customHeight="false" outlineLevel="0" collapsed="false">
      <c r="A76" s="0" t="n">
        <v>75</v>
      </c>
      <c r="B76" s="0" t="s">
        <v>37</v>
      </c>
      <c r="C76" s="0" t="s">
        <v>329</v>
      </c>
      <c r="D76" s="0" t="s">
        <v>330</v>
      </c>
      <c r="F76" s="0" t="s">
        <v>329</v>
      </c>
    </row>
    <row r="77" customFormat="false" ht="15" hidden="false" customHeight="false" outlineLevel="0" collapsed="false">
      <c r="A77" s="0" t="n">
        <v>76</v>
      </c>
      <c r="B77" s="0" t="s">
        <v>40</v>
      </c>
      <c r="C77" s="0" t="s">
        <v>321</v>
      </c>
      <c r="D77" s="0" t="s">
        <v>396</v>
      </c>
      <c r="F77" s="0" t="s">
        <v>323</v>
      </c>
    </row>
    <row r="78" customFormat="false" ht="15" hidden="false" customHeight="false" outlineLevel="0" collapsed="false">
      <c r="A78" s="0" t="n">
        <v>77</v>
      </c>
      <c r="B78" s="0" t="s">
        <v>40</v>
      </c>
      <c r="C78" s="0" t="s">
        <v>397</v>
      </c>
      <c r="D78" s="0" t="s">
        <v>398</v>
      </c>
      <c r="F78" s="0" t="s">
        <v>326</v>
      </c>
    </row>
    <row r="79" customFormat="false" ht="15" hidden="false" customHeight="false" outlineLevel="0" collapsed="false">
      <c r="A79" s="0" t="n">
        <v>78</v>
      </c>
      <c r="B79" s="0" t="s">
        <v>40</v>
      </c>
      <c r="C79" s="0" t="s">
        <v>399</v>
      </c>
      <c r="D79" s="0" t="s">
        <v>400</v>
      </c>
      <c r="F79" s="0" t="s">
        <v>326</v>
      </c>
    </row>
    <row r="80" customFormat="false" ht="15" hidden="false" customHeight="false" outlineLevel="0" collapsed="false">
      <c r="A80" s="0" t="n">
        <v>79</v>
      </c>
      <c r="B80" s="0" t="s">
        <v>40</v>
      </c>
      <c r="C80" s="0" t="s">
        <v>337</v>
      </c>
      <c r="D80" s="0" t="s">
        <v>330</v>
      </c>
      <c r="F80" s="0" t="s">
        <v>326</v>
      </c>
    </row>
    <row r="81" customFormat="false" ht="15" hidden="false" customHeight="false" outlineLevel="0" collapsed="false">
      <c r="A81" s="0" t="n">
        <v>80</v>
      </c>
      <c r="B81" s="0" t="s">
        <v>40</v>
      </c>
      <c r="C81" s="0" t="s">
        <v>348</v>
      </c>
      <c r="D81" s="0" t="s">
        <v>330</v>
      </c>
      <c r="F81" s="0" t="s">
        <v>349</v>
      </c>
    </row>
    <row r="82" customFormat="false" ht="15" hidden="false" customHeight="false" outlineLevel="0" collapsed="false">
      <c r="A82" s="0" t="n">
        <v>81</v>
      </c>
      <c r="B82" s="0" t="s">
        <v>40</v>
      </c>
      <c r="C82" s="0" t="s">
        <v>401</v>
      </c>
      <c r="D82" s="0" t="s">
        <v>402</v>
      </c>
      <c r="F82" s="0" t="s">
        <v>403</v>
      </c>
    </row>
    <row r="83" customFormat="false" ht="15" hidden="false" customHeight="false" outlineLevel="0" collapsed="false">
      <c r="A83" s="0" t="n">
        <v>82</v>
      </c>
      <c r="B83" s="0" t="s">
        <v>40</v>
      </c>
      <c r="C83" s="0" t="s">
        <v>404</v>
      </c>
      <c r="D83" s="0" t="s">
        <v>330</v>
      </c>
      <c r="F83" s="0" t="s">
        <v>349</v>
      </c>
    </row>
    <row r="84" customFormat="false" ht="15" hidden="false" customHeight="false" outlineLevel="0" collapsed="false">
      <c r="A84" s="0" t="n">
        <v>83</v>
      </c>
      <c r="B84" s="0" t="s">
        <v>40</v>
      </c>
      <c r="C84" s="0" t="s">
        <v>342</v>
      </c>
      <c r="D84" s="0" t="s">
        <v>330</v>
      </c>
      <c r="F84" s="0" t="s">
        <v>342</v>
      </c>
    </row>
    <row r="85" customFormat="false" ht="15" hidden="false" customHeight="false" outlineLevel="0" collapsed="false">
      <c r="A85" s="0" t="n">
        <v>84</v>
      </c>
      <c r="B85" s="0" t="s">
        <v>40</v>
      </c>
      <c r="C85" s="0" t="s">
        <v>405</v>
      </c>
      <c r="D85" s="0" t="s">
        <v>330</v>
      </c>
    </row>
    <row r="86" customFormat="false" ht="15" hidden="false" customHeight="false" outlineLevel="0" collapsed="false">
      <c r="A86" s="0" t="n">
        <v>85</v>
      </c>
      <c r="B86" s="0" t="s">
        <v>40</v>
      </c>
      <c r="C86" s="0" t="s">
        <v>341</v>
      </c>
      <c r="D86" s="0" t="s">
        <v>330</v>
      </c>
      <c r="F86" s="0" t="s">
        <v>341</v>
      </c>
    </row>
    <row r="87" customFormat="false" ht="15" hidden="false" customHeight="false" outlineLevel="0" collapsed="false">
      <c r="A87" s="0" t="n">
        <v>86</v>
      </c>
      <c r="B87" s="0" t="s">
        <v>44</v>
      </c>
      <c r="C87" s="0" t="s">
        <v>406</v>
      </c>
      <c r="D87" s="0" t="s">
        <v>330</v>
      </c>
      <c r="F87" s="0" t="s">
        <v>334</v>
      </c>
    </row>
    <row r="88" customFormat="false" ht="15" hidden="false" customHeight="false" outlineLevel="0" collapsed="false">
      <c r="A88" s="0" t="n">
        <v>87</v>
      </c>
      <c r="B88" s="0" t="s">
        <v>44</v>
      </c>
      <c r="C88" s="0" t="s">
        <v>407</v>
      </c>
      <c r="D88" s="0" t="s">
        <v>330</v>
      </c>
      <c r="F88" s="0" t="s">
        <v>408</v>
      </c>
    </row>
    <row r="89" customFormat="false" ht="15" hidden="false" customHeight="false" outlineLevel="0" collapsed="false">
      <c r="A89" s="0" t="n">
        <v>88</v>
      </c>
      <c r="B89" s="0" t="s">
        <v>44</v>
      </c>
      <c r="C89" s="0" t="s">
        <v>357</v>
      </c>
      <c r="D89" s="0" t="s">
        <v>330</v>
      </c>
      <c r="F89" s="0" t="s">
        <v>342</v>
      </c>
    </row>
    <row r="90" customFormat="false" ht="15" hidden="false" customHeight="false" outlineLevel="0" collapsed="false">
      <c r="A90" s="0" t="n">
        <v>89</v>
      </c>
      <c r="B90" s="0" t="s">
        <v>44</v>
      </c>
      <c r="C90" s="0" t="s">
        <v>409</v>
      </c>
      <c r="D90" s="0" t="s">
        <v>330</v>
      </c>
      <c r="F90" s="0" t="s">
        <v>355</v>
      </c>
    </row>
    <row r="91" customFormat="false" ht="15" hidden="false" customHeight="false" outlineLevel="0" collapsed="false">
      <c r="A91" s="0" t="n">
        <v>90</v>
      </c>
      <c r="B91" s="0" t="s">
        <v>44</v>
      </c>
      <c r="C91" s="0" t="s">
        <v>410</v>
      </c>
      <c r="D91" s="0" t="s">
        <v>330</v>
      </c>
      <c r="F91" s="0" t="s">
        <v>326</v>
      </c>
    </row>
    <row r="92" customFormat="false" ht="15" hidden="false" customHeight="false" outlineLevel="0" collapsed="false">
      <c r="A92" s="0" t="n">
        <v>91</v>
      </c>
      <c r="B92" s="0" t="s">
        <v>44</v>
      </c>
      <c r="C92" s="0" t="s">
        <v>411</v>
      </c>
      <c r="D92" s="0" t="s">
        <v>330</v>
      </c>
      <c r="F92" s="0" t="s">
        <v>323</v>
      </c>
    </row>
    <row r="93" customFormat="false" ht="15" hidden="false" customHeight="false" outlineLevel="0" collapsed="false">
      <c r="A93" s="0" t="n">
        <v>92</v>
      </c>
      <c r="B93" s="0" t="s">
        <v>44</v>
      </c>
      <c r="C93" s="0" t="s">
        <v>372</v>
      </c>
      <c r="D93" s="0" t="s">
        <v>330</v>
      </c>
    </row>
    <row r="94" customFormat="false" ht="15" hidden="false" customHeight="false" outlineLevel="0" collapsed="false">
      <c r="A94" s="0" t="n">
        <v>93</v>
      </c>
      <c r="B94" s="0" t="s">
        <v>44</v>
      </c>
      <c r="C94" s="0" t="s">
        <v>412</v>
      </c>
      <c r="D94" s="0" t="s">
        <v>330</v>
      </c>
    </row>
    <row r="95" customFormat="false" ht="15" hidden="false" customHeight="false" outlineLevel="0" collapsed="false">
      <c r="A95" s="0" t="n">
        <v>94</v>
      </c>
      <c r="B95" s="0" t="s">
        <v>47</v>
      </c>
      <c r="C95" s="0" t="s">
        <v>321</v>
      </c>
      <c r="D95" s="0" t="s">
        <v>413</v>
      </c>
      <c r="F95" s="0" t="s">
        <v>323</v>
      </c>
    </row>
    <row r="96" customFormat="false" ht="15" hidden="false" customHeight="false" outlineLevel="0" collapsed="false">
      <c r="A96" s="0" t="n">
        <v>95</v>
      </c>
      <c r="B96" s="0" t="s">
        <v>47</v>
      </c>
      <c r="C96" s="0" t="s">
        <v>414</v>
      </c>
      <c r="D96" s="0" t="s">
        <v>330</v>
      </c>
      <c r="F96" s="0" t="s">
        <v>326</v>
      </c>
    </row>
    <row r="97" customFormat="false" ht="15" hidden="false" customHeight="false" outlineLevel="0" collapsed="false">
      <c r="A97" s="0" t="n">
        <v>96</v>
      </c>
      <c r="B97" s="0" t="s">
        <v>47</v>
      </c>
      <c r="C97" s="0" t="s">
        <v>383</v>
      </c>
      <c r="D97" s="0" t="s">
        <v>330</v>
      </c>
    </row>
    <row r="98" customFormat="false" ht="15" hidden="false" customHeight="false" outlineLevel="0" collapsed="false">
      <c r="A98" s="0" t="n">
        <v>97</v>
      </c>
      <c r="B98" s="0" t="s">
        <v>47</v>
      </c>
      <c r="C98" s="0" t="s">
        <v>415</v>
      </c>
      <c r="D98" s="0" t="s">
        <v>330</v>
      </c>
    </row>
    <row r="99" customFormat="false" ht="15" hidden="false" customHeight="false" outlineLevel="0" collapsed="false">
      <c r="A99" s="0" t="n">
        <v>98</v>
      </c>
      <c r="B99" s="0" t="s">
        <v>50</v>
      </c>
      <c r="C99" s="0" t="s">
        <v>321</v>
      </c>
      <c r="D99" s="0" t="s">
        <v>330</v>
      </c>
      <c r="F99" s="0" t="s">
        <v>323</v>
      </c>
    </row>
    <row r="100" customFormat="false" ht="15" hidden="false" customHeight="false" outlineLevel="0" collapsed="false">
      <c r="A100" s="0" t="n">
        <v>99</v>
      </c>
      <c r="B100" s="0" t="s">
        <v>50</v>
      </c>
      <c r="C100" s="0" t="s">
        <v>365</v>
      </c>
      <c r="D100" s="0" t="s">
        <v>330</v>
      </c>
      <c r="F100" s="0" t="s">
        <v>326</v>
      </c>
    </row>
    <row r="101" customFormat="false" ht="15" hidden="false" customHeight="false" outlineLevel="0" collapsed="false">
      <c r="A101" s="0" t="n">
        <v>100</v>
      </c>
      <c r="B101" s="0" t="s">
        <v>50</v>
      </c>
      <c r="C101" s="0" t="s">
        <v>362</v>
      </c>
      <c r="D101" s="0" t="s">
        <v>330</v>
      </c>
      <c r="F101" s="0" t="s">
        <v>363</v>
      </c>
    </row>
    <row r="102" customFormat="false" ht="15" hidden="false" customHeight="false" outlineLevel="0" collapsed="false">
      <c r="A102" s="0" t="n">
        <v>101</v>
      </c>
      <c r="B102" s="0" t="s">
        <v>50</v>
      </c>
      <c r="C102" s="0" t="s">
        <v>416</v>
      </c>
      <c r="D102" s="0" t="s">
        <v>417</v>
      </c>
      <c r="E102" s="0" t="s">
        <v>418</v>
      </c>
      <c r="F102" s="0" t="s">
        <v>329</v>
      </c>
    </row>
    <row r="103" customFormat="false" ht="15" hidden="false" customHeight="false" outlineLevel="0" collapsed="false">
      <c r="A103" s="0" t="n">
        <v>102</v>
      </c>
      <c r="B103" s="0" t="s">
        <v>50</v>
      </c>
      <c r="C103" s="0" t="s">
        <v>404</v>
      </c>
      <c r="D103" s="0" t="s">
        <v>330</v>
      </c>
      <c r="F103" s="0" t="s">
        <v>349</v>
      </c>
    </row>
    <row r="104" customFormat="false" ht="15" hidden="false" customHeight="false" outlineLevel="0" collapsed="false">
      <c r="A104" s="0" t="n">
        <v>103</v>
      </c>
      <c r="B104" s="0" t="s">
        <v>50</v>
      </c>
      <c r="C104" s="0" t="s">
        <v>372</v>
      </c>
      <c r="D104" s="0" t="s">
        <v>330</v>
      </c>
    </row>
    <row r="105" customFormat="false" ht="15" hidden="false" customHeight="false" outlineLevel="0" collapsed="false">
      <c r="A105" s="0" t="n">
        <v>104</v>
      </c>
      <c r="B105" s="0" t="s">
        <v>50</v>
      </c>
      <c r="C105" s="0" t="s">
        <v>419</v>
      </c>
      <c r="D105" s="0" t="s">
        <v>330</v>
      </c>
      <c r="F105" s="0" t="s">
        <v>332</v>
      </c>
    </row>
    <row r="106" customFormat="false" ht="15" hidden="false" customHeight="false" outlineLevel="0" collapsed="false">
      <c r="A106" s="0" t="n">
        <v>105</v>
      </c>
      <c r="B106" s="0" t="s">
        <v>50</v>
      </c>
      <c r="C106" s="0" t="s">
        <v>420</v>
      </c>
      <c r="D106" s="0" t="s">
        <v>330</v>
      </c>
      <c r="F106" s="0" t="s">
        <v>392</v>
      </c>
    </row>
    <row r="107" customFormat="false" ht="15" hidden="false" customHeight="false" outlineLevel="0" collapsed="false">
      <c r="A107" s="0" t="n">
        <v>106</v>
      </c>
      <c r="B107" s="0" t="s">
        <v>53</v>
      </c>
      <c r="C107" s="0" t="s">
        <v>321</v>
      </c>
      <c r="D107" s="0" t="s">
        <v>421</v>
      </c>
      <c r="F107" s="0" t="s">
        <v>323</v>
      </c>
    </row>
    <row r="108" customFormat="false" ht="15" hidden="false" customHeight="false" outlineLevel="0" collapsed="false">
      <c r="A108" s="0" t="n">
        <v>107</v>
      </c>
      <c r="B108" s="0" t="s">
        <v>53</v>
      </c>
      <c r="C108" s="0" t="s">
        <v>422</v>
      </c>
      <c r="D108" s="0" t="s">
        <v>330</v>
      </c>
    </row>
    <row r="109" customFormat="false" ht="15" hidden="false" customHeight="false" outlineLevel="0" collapsed="false">
      <c r="A109" s="0" t="n">
        <v>108</v>
      </c>
      <c r="B109" s="0" t="s">
        <v>53</v>
      </c>
      <c r="C109" s="0" t="s">
        <v>329</v>
      </c>
      <c r="D109" s="0" t="s">
        <v>330</v>
      </c>
      <c r="F109" s="0" t="s">
        <v>329</v>
      </c>
    </row>
    <row r="110" customFormat="false" ht="15" hidden="false" customHeight="false" outlineLevel="0" collapsed="false">
      <c r="A110" s="0" t="n">
        <v>109</v>
      </c>
      <c r="B110" s="0" t="s">
        <v>53</v>
      </c>
      <c r="C110" s="0" t="s">
        <v>423</v>
      </c>
      <c r="D110" s="0" t="s">
        <v>330</v>
      </c>
    </row>
    <row r="111" customFormat="false" ht="15" hidden="false" customHeight="false" outlineLevel="0" collapsed="false">
      <c r="A111" s="0" t="n">
        <v>110</v>
      </c>
      <c r="B111" s="0" t="s">
        <v>53</v>
      </c>
      <c r="C111" s="0" t="s">
        <v>424</v>
      </c>
      <c r="D111" s="0" t="s">
        <v>330</v>
      </c>
      <c r="F111" s="0" t="s">
        <v>332</v>
      </c>
    </row>
    <row r="112" customFormat="false" ht="15" hidden="false" customHeight="false" outlineLevel="0" collapsed="false">
      <c r="A112" s="0" t="n">
        <v>111</v>
      </c>
      <c r="B112" s="0" t="s">
        <v>53</v>
      </c>
      <c r="C112" s="0" t="s">
        <v>333</v>
      </c>
      <c r="D112" s="0" t="s">
        <v>330</v>
      </c>
    </row>
    <row r="113" customFormat="false" ht="15" hidden="false" customHeight="false" outlineLevel="0" collapsed="false">
      <c r="A113" s="0" t="n">
        <v>112</v>
      </c>
      <c r="B113" s="0" t="s">
        <v>53</v>
      </c>
      <c r="C113" s="0" t="s">
        <v>362</v>
      </c>
      <c r="D113" s="0" t="s">
        <v>330</v>
      </c>
      <c r="F113" s="0" t="s">
        <v>363</v>
      </c>
    </row>
    <row r="114" customFormat="false" ht="15" hidden="false" customHeight="false" outlineLevel="0" collapsed="false">
      <c r="A114" s="0" t="n">
        <v>113</v>
      </c>
      <c r="B114" s="0" t="s">
        <v>53</v>
      </c>
      <c r="C114" s="0" t="s">
        <v>425</v>
      </c>
      <c r="D114" s="0" t="s">
        <v>330</v>
      </c>
    </row>
    <row r="115" customFormat="false" ht="15" hidden="false" customHeight="false" outlineLevel="0" collapsed="false">
      <c r="A115" s="0" t="n">
        <v>114</v>
      </c>
      <c r="B115" s="0" t="s">
        <v>53</v>
      </c>
      <c r="C115" s="0" t="s">
        <v>426</v>
      </c>
      <c r="D115" s="0" t="s">
        <v>427</v>
      </c>
      <c r="F115" s="0" t="s">
        <v>428</v>
      </c>
    </row>
    <row r="116" customFormat="false" ht="15" hidden="false" customHeight="false" outlineLevel="0" collapsed="false">
      <c r="A116" s="0" t="n">
        <v>115</v>
      </c>
      <c r="B116" s="0" t="s">
        <v>56</v>
      </c>
      <c r="C116" s="0" t="s">
        <v>321</v>
      </c>
      <c r="D116" s="0" t="s">
        <v>330</v>
      </c>
      <c r="F116" s="0" t="s">
        <v>323</v>
      </c>
    </row>
    <row r="117" customFormat="false" ht="15" hidden="false" customHeight="false" outlineLevel="0" collapsed="false">
      <c r="A117" s="0" t="n">
        <v>116</v>
      </c>
      <c r="B117" s="0" t="s">
        <v>56</v>
      </c>
      <c r="C117" s="0" t="s">
        <v>414</v>
      </c>
      <c r="D117" s="0" t="s">
        <v>330</v>
      </c>
      <c r="F117" s="0" t="s">
        <v>326</v>
      </c>
    </row>
    <row r="118" customFormat="false" ht="15" hidden="false" customHeight="false" outlineLevel="0" collapsed="false">
      <c r="A118" s="0" t="n">
        <v>117</v>
      </c>
      <c r="B118" s="0" t="s">
        <v>56</v>
      </c>
      <c r="C118" s="0" t="s">
        <v>429</v>
      </c>
      <c r="D118" s="0" t="s">
        <v>330</v>
      </c>
    </row>
    <row r="119" customFormat="false" ht="15" hidden="false" customHeight="false" outlineLevel="0" collapsed="false">
      <c r="A119" s="0" t="n">
        <v>118</v>
      </c>
      <c r="B119" s="0" t="s">
        <v>56</v>
      </c>
      <c r="C119" s="0" t="s">
        <v>430</v>
      </c>
      <c r="D119" s="0" t="s">
        <v>330</v>
      </c>
    </row>
    <row r="120" customFormat="false" ht="15" hidden="false" customHeight="false" outlineLevel="0" collapsed="false">
      <c r="A120" s="0" t="n">
        <v>119</v>
      </c>
      <c r="B120" s="0" t="s">
        <v>56</v>
      </c>
      <c r="C120" s="0" t="s">
        <v>431</v>
      </c>
      <c r="D120" s="0" t="s">
        <v>330</v>
      </c>
    </row>
    <row r="121" customFormat="false" ht="15" hidden="false" customHeight="false" outlineLevel="0" collapsed="false">
      <c r="A121" s="0" t="n">
        <v>120</v>
      </c>
      <c r="B121" s="0" t="s">
        <v>59</v>
      </c>
      <c r="C121" s="0" t="s">
        <v>321</v>
      </c>
      <c r="D121" s="0" t="s">
        <v>432</v>
      </c>
      <c r="F121" s="0" t="s">
        <v>323</v>
      </c>
    </row>
    <row r="122" customFormat="false" ht="15" hidden="false" customHeight="false" outlineLevel="0" collapsed="false">
      <c r="A122" s="0" t="n">
        <v>121</v>
      </c>
      <c r="B122" s="0" t="s">
        <v>59</v>
      </c>
      <c r="C122" s="0" t="s">
        <v>433</v>
      </c>
      <c r="D122" s="0" t="s">
        <v>434</v>
      </c>
      <c r="F122" s="0" t="s">
        <v>326</v>
      </c>
    </row>
    <row r="123" customFormat="false" ht="15" hidden="false" customHeight="false" outlineLevel="0" collapsed="false">
      <c r="A123" s="0" t="n">
        <v>122</v>
      </c>
      <c r="B123" s="0" t="s">
        <v>59</v>
      </c>
      <c r="C123" s="0" t="s">
        <v>435</v>
      </c>
      <c r="D123" s="0" t="s">
        <v>436</v>
      </c>
      <c r="F123" s="0" t="s">
        <v>326</v>
      </c>
    </row>
    <row r="124" customFormat="false" ht="15" hidden="false" customHeight="false" outlineLevel="0" collapsed="false">
      <c r="A124" s="0" t="n">
        <v>123</v>
      </c>
      <c r="B124" s="0" t="s">
        <v>59</v>
      </c>
      <c r="C124" s="0" t="s">
        <v>437</v>
      </c>
      <c r="D124" s="0" t="s">
        <v>438</v>
      </c>
      <c r="F124" s="0" t="s">
        <v>341</v>
      </c>
    </row>
    <row r="125" customFormat="false" ht="15" hidden="false" customHeight="false" outlineLevel="0" collapsed="false">
      <c r="A125" s="0" t="n">
        <v>124</v>
      </c>
      <c r="B125" s="0" t="s">
        <v>59</v>
      </c>
      <c r="C125" s="0" t="s">
        <v>439</v>
      </c>
      <c r="D125" s="0" t="s">
        <v>440</v>
      </c>
      <c r="F125" s="0" t="s">
        <v>363</v>
      </c>
    </row>
    <row r="126" customFormat="false" ht="15" hidden="false" customHeight="false" outlineLevel="0" collapsed="false">
      <c r="A126" s="0" t="n">
        <v>125</v>
      </c>
      <c r="B126" s="0" t="s">
        <v>59</v>
      </c>
      <c r="C126" s="0" t="s">
        <v>441</v>
      </c>
      <c r="D126" s="0" t="s">
        <v>440</v>
      </c>
      <c r="F126" s="0" t="s">
        <v>363</v>
      </c>
    </row>
    <row r="127" customFormat="false" ht="15" hidden="false" customHeight="false" outlineLevel="0" collapsed="false">
      <c r="A127" s="0" t="n">
        <v>126</v>
      </c>
      <c r="B127" s="0" t="s">
        <v>59</v>
      </c>
      <c r="C127" s="0" t="s">
        <v>442</v>
      </c>
      <c r="D127" s="0" t="s">
        <v>330</v>
      </c>
    </row>
    <row r="128" customFormat="false" ht="15" hidden="false" customHeight="false" outlineLevel="0" collapsed="false">
      <c r="A128" s="0" t="n">
        <v>127</v>
      </c>
      <c r="B128" s="0" t="s">
        <v>59</v>
      </c>
      <c r="C128" s="0" t="s">
        <v>443</v>
      </c>
      <c r="D128" s="0" t="s">
        <v>330</v>
      </c>
      <c r="F128" s="0" t="s">
        <v>386</v>
      </c>
    </row>
    <row r="129" customFormat="false" ht="15" hidden="false" customHeight="false" outlineLevel="0" collapsed="false">
      <c r="A129" s="0" t="n">
        <v>128</v>
      </c>
      <c r="B129" s="0" t="s">
        <v>62</v>
      </c>
      <c r="C129" s="0" t="s">
        <v>444</v>
      </c>
      <c r="D129" s="0" t="s">
        <v>330</v>
      </c>
      <c r="F129" s="0" t="s">
        <v>340</v>
      </c>
    </row>
    <row r="130" customFormat="false" ht="15" hidden="false" customHeight="false" outlineLevel="0" collapsed="false">
      <c r="A130" s="0" t="n">
        <v>129</v>
      </c>
      <c r="B130" s="0" t="s">
        <v>62</v>
      </c>
      <c r="C130" s="0" t="s">
        <v>445</v>
      </c>
      <c r="D130" s="0" t="s">
        <v>330</v>
      </c>
      <c r="F130" s="0" t="s">
        <v>355</v>
      </c>
    </row>
    <row r="131" customFormat="false" ht="15" hidden="false" customHeight="false" outlineLevel="0" collapsed="false">
      <c r="A131" s="0" t="n">
        <v>130</v>
      </c>
      <c r="B131" s="0" t="s">
        <v>62</v>
      </c>
      <c r="C131" s="0" t="s">
        <v>321</v>
      </c>
      <c r="D131" s="0" t="s">
        <v>330</v>
      </c>
      <c r="F131" s="0" t="s">
        <v>323</v>
      </c>
    </row>
    <row r="132" customFormat="false" ht="15" hidden="false" customHeight="false" outlineLevel="0" collapsed="false">
      <c r="A132" s="0" t="n">
        <v>131</v>
      </c>
      <c r="B132" s="0" t="s">
        <v>62</v>
      </c>
      <c r="C132" s="0" t="s">
        <v>446</v>
      </c>
      <c r="D132" s="0" t="s">
        <v>330</v>
      </c>
      <c r="F132" s="0" t="s">
        <v>447</v>
      </c>
    </row>
    <row r="133" customFormat="false" ht="15" hidden="false" customHeight="false" outlineLevel="0" collapsed="false">
      <c r="A133" s="0" t="n">
        <v>132</v>
      </c>
      <c r="B133" s="0" t="s">
        <v>62</v>
      </c>
      <c r="C133" s="0" t="s">
        <v>448</v>
      </c>
      <c r="D133" s="0" t="s">
        <v>330</v>
      </c>
      <c r="F133" s="0" t="s">
        <v>332</v>
      </c>
    </row>
    <row r="134" customFormat="false" ht="15" hidden="false" customHeight="false" outlineLevel="0" collapsed="false">
      <c r="A134" s="0" t="n">
        <v>133</v>
      </c>
      <c r="B134" s="0" t="s">
        <v>62</v>
      </c>
      <c r="C134" s="0" t="s">
        <v>449</v>
      </c>
      <c r="D134" s="0" t="s">
        <v>330</v>
      </c>
      <c r="F134" s="0" t="s">
        <v>332</v>
      </c>
    </row>
    <row r="135" customFormat="false" ht="15" hidden="false" customHeight="false" outlineLevel="0" collapsed="false">
      <c r="A135" s="0" t="n">
        <v>134</v>
      </c>
      <c r="B135" s="0" t="s">
        <v>62</v>
      </c>
      <c r="C135" s="0" t="s">
        <v>450</v>
      </c>
      <c r="D135" s="0" t="s">
        <v>330</v>
      </c>
      <c r="F135" s="0" t="s">
        <v>451</v>
      </c>
    </row>
    <row r="136" customFormat="false" ht="15" hidden="false" customHeight="false" outlineLevel="0" collapsed="false">
      <c r="A136" s="0" t="n">
        <v>135</v>
      </c>
      <c r="B136" s="0" t="s">
        <v>62</v>
      </c>
      <c r="C136" s="0" t="s">
        <v>452</v>
      </c>
      <c r="D136" s="0" t="s">
        <v>330</v>
      </c>
      <c r="F136" s="0" t="s">
        <v>332</v>
      </c>
    </row>
    <row r="137" customFormat="false" ht="15" hidden="false" customHeight="false" outlineLevel="0" collapsed="false">
      <c r="A137" s="0" t="n">
        <v>136</v>
      </c>
      <c r="B137" s="0" t="s">
        <v>62</v>
      </c>
      <c r="C137" s="0" t="s">
        <v>342</v>
      </c>
      <c r="D137" s="0" t="s">
        <v>330</v>
      </c>
      <c r="F137" s="0" t="s">
        <v>342</v>
      </c>
    </row>
    <row r="138" customFormat="false" ht="15" hidden="false" customHeight="false" outlineLevel="0" collapsed="false">
      <c r="A138" s="0" t="n">
        <v>137</v>
      </c>
      <c r="B138" s="0" t="s">
        <v>62</v>
      </c>
      <c r="C138" s="0" t="s">
        <v>334</v>
      </c>
      <c r="D138" s="0" t="s">
        <v>330</v>
      </c>
      <c r="F138" s="0" t="s">
        <v>334</v>
      </c>
    </row>
    <row r="139" customFormat="false" ht="15" hidden="false" customHeight="false" outlineLevel="0" collapsed="false">
      <c r="A139" s="0" t="n">
        <v>138</v>
      </c>
      <c r="B139" s="0" t="s">
        <v>62</v>
      </c>
      <c r="C139" s="0" t="s">
        <v>351</v>
      </c>
      <c r="D139" s="0" t="s">
        <v>330</v>
      </c>
      <c r="F139" s="0" t="s">
        <v>351</v>
      </c>
    </row>
    <row r="140" customFormat="false" ht="15" hidden="false" customHeight="false" outlineLevel="0" collapsed="false">
      <c r="A140" s="0" t="n">
        <v>139</v>
      </c>
      <c r="B140" s="0" t="s">
        <v>62</v>
      </c>
      <c r="C140" s="0" t="s">
        <v>453</v>
      </c>
      <c r="D140" s="0" t="s">
        <v>330</v>
      </c>
    </row>
    <row r="141" customFormat="false" ht="15" hidden="false" customHeight="false" outlineLevel="0" collapsed="false">
      <c r="A141" s="0" t="n">
        <v>140</v>
      </c>
      <c r="B141" s="0" t="s">
        <v>62</v>
      </c>
      <c r="C141" s="0" t="s">
        <v>454</v>
      </c>
      <c r="D141" s="0" t="s">
        <v>330</v>
      </c>
      <c r="F141" s="0" t="s">
        <v>363</v>
      </c>
    </row>
    <row r="142" customFormat="false" ht="15" hidden="false" customHeight="false" outlineLevel="0" collapsed="false">
      <c r="A142" s="0" t="n">
        <v>141</v>
      </c>
      <c r="B142" s="0" t="s">
        <v>65</v>
      </c>
      <c r="C142" s="0" t="s">
        <v>455</v>
      </c>
      <c r="D142" s="0" t="s">
        <v>456</v>
      </c>
      <c r="F142" s="0" t="s">
        <v>329</v>
      </c>
    </row>
    <row r="143" customFormat="false" ht="15" hidden="false" customHeight="false" outlineLevel="0" collapsed="false">
      <c r="A143" s="0" t="n">
        <v>142</v>
      </c>
      <c r="B143" s="0" t="s">
        <v>65</v>
      </c>
      <c r="C143" s="0" t="s">
        <v>457</v>
      </c>
      <c r="D143" s="0" t="s">
        <v>458</v>
      </c>
      <c r="F143" s="0" t="s">
        <v>329</v>
      </c>
    </row>
    <row r="144" customFormat="false" ht="15" hidden="false" customHeight="false" outlineLevel="0" collapsed="false">
      <c r="A144" s="0" t="n">
        <v>143</v>
      </c>
      <c r="B144" s="0" t="s">
        <v>65</v>
      </c>
      <c r="C144" s="0" t="s">
        <v>459</v>
      </c>
      <c r="D144" s="0" t="s">
        <v>460</v>
      </c>
      <c r="F144" s="0" t="s">
        <v>329</v>
      </c>
    </row>
    <row r="145" customFormat="false" ht="15" hidden="false" customHeight="false" outlineLevel="0" collapsed="false">
      <c r="A145" s="0" t="n">
        <v>144</v>
      </c>
      <c r="B145" s="0" t="s">
        <v>65</v>
      </c>
      <c r="C145" s="0" t="s">
        <v>461</v>
      </c>
      <c r="D145" s="0" t="s">
        <v>462</v>
      </c>
      <c r="F145" s="0" t="s">
        <v>329</v>
      </c>
    </row>
    <row r="146" customFormat="false" ht="15" hidden="false" customHeight="false" outlineLevel="0" collapsed="false">
      <c r="A146" s="0" t="n">
        <v>145</v>
      </c>
      <c r="B146" s="0" t="s">
        <v>65</v>
      </c>
      <c r="C146" s="0" t="s">
        <v>321</v>
      </c>
      <c r="D146" s="0" t="s">
        <v>330</v>
      </c>
      <c r="F146" s="0" t="s">
        <v>323</v>
      </c>
    </row>
    <row r="147" customFormat="false" ht="15" hidden="false" customHeight="false" outlineLevel="0" collapsed="false">
      <c r="A147" s="0" t="n">
        <v>146</v>
      </c>
      <c r="B147" s="0" t="s">
        <v>65</v>
      </c>
      <c r="C147" s="0" t="s">
        <v>345</v>
      </c>
      <c r="D147" s="0" t="s">
        <v>330</v>
      </c>
      <c r="F147" s="0" t="s">
        <v>323</v>
      </c>
    </row>
    <row r="148" customFormat="false" ht="15" hidden="false" customHeight="false" outlineLevel="0" collapsed="false">
      <c r="A148" s="0" t="n">
        <v>147</v>
      </c>
      <c r="B148" s="0" t="s">
        <v>65</v>
      </c>
      <c r="C148" s="0" t="s">
        <v>463</v>
      </c>
      <c r="D148" s="0" t="s">
        <v>330</v>
      </c>
      <c r="F148" s="0" t="s">
        <v>326</v>
      </c>
    </row>
    <row r="149" customFormat="false" ht="15" hidden="false" customHeight="false" outlineLevel="0" collapsed="false">
      <c r="A149" s="0" t="n">
        <v>148</v>
      </c>
      <c r="B149" s="0" t="s">
        <v>65</v>
      </c>
      <c r="C149" s="0" t="s">
        <v>348</v>
      </c>
      <c r="D149" s="0" t="s">
        <v>330</v>
      </c>
      <c r="F149" s="0" t="s">
        <v>349</v>
      </c>
    </row>
    <row r="150" customFormat="false" ht="15" hidden="false" customHeight="false" outlineLevel="0" collapsed="false">
      <c r="A150" s="0" t="n">
        <v>149</v>
      </c>
      <c r="B150" s="0" t="s">
        <v>65</v>
      </c>
      <c r="C150" s="0" t="s">
        <v>374</v>
      </c>
      <c r="D150" s="0" t="s">
        <v>330</v>
      </c>
      <c r="F150" s="0" t="s">
        <v>363</v>
      </c>
    </row>
    <row r="151" customFormat="false" ht="15" hidden="false" customHeight="false" outlineLevel="0" collapsed="false">
      <c r="A151" s="0" t="n">
        <v>150</v>
      </c>
      <c r="B151" s="0" t="s">
        <v>68</v>
      </c>
      <c r="C151" s="0" t="s">
        <v>464</v>
      </c>
      <c r="D151" s="0" t="s">
        <v>330</v>
      </c>
    </row>
    <row r="152" customFormat="false" ht="15" hidden="false" customHeight="false" outlineLevel="0" collapsed="false">
      <c r="A152" s="0" t="n">
        <v>151</v>
      </c>
      <c r="B152" s="0" t="s">
        <v>68</v>
      </c>
      <c r="C152" s="0" t="s">
        <v>465</v>
      </c>
      <c r="D152" s="0" t="s">
        <v>330</v>
      </c>
    </row>
    <row r="153" customFormat="false" ht="15" hidden="false" customHeight="false" outlineLevel="0" collapsed="false">
      <c r="A153" s="0" t="n">
        <v>152</v>
      </c>
      <c r="B153" s="0" t="s">
        <v>68</v>
      </c>
      <c r="C153" s="0" t="s">
        <v>383</v>
      </c>
      <c r="D153" s="0" t="s">
        <v>330</v>
      </c>
    </row>
    <row r="154" customFormat="false" ht="15" hidden="false" customHeight="false" outlineLevel="0" collapsed="false">
      <c r="A154" s="0" t="n">
        <v>153</v>
      </c>
      <c r="B154" s="0" t="s">
        <v>68</v>
      </c>
      <c r="C154" s="0" t="s">
        <v>374</v>
      </c>
      <c r="D154" s="0" t="s">
        <v>330</v>
      </c>
      <c r="F154" s="0" t="s">
        <v>363</v>
      </c>
    </row>
    <row r="155" customFormat="false" ht="15" hidden="false" customHeight="false" outlineLevel="0" collapsed="false">
      <c r="A155" s="0" t="n">
        <v>154</v>
      </c>
      <c r="B155" s="0" t="s">
        <v>68</v>
      </c>
      <c r="C155" s="0" t="s">
        <v>466</v>
      </c>
      <c r="D155" s="0" t="s">
        <v>330</v>
      </c>
    </row>
    <row r="156" customFormat="false" ht="15" hidden="false" customHeight="false" outlineLevel="0" collapsed="false">
      <c r="A156" s="0" t="n">
        <v>155</v>
      </c>
      <c r="B156" s="0" t="s">
        <v>68</v>
      </c>
      <c r="C156" s="0" t="s">
        <v>467</v>
      </c>
      <c r="D156" s="0" t="s">
        <v>330</v>
      </c>
      <c r="F156" s="0" t="s">
        <v>392</v>
      </c>
    </row>
    <row r="157" customFormat="false" ht="15" hidden="false" customHeight="false" outlineLevel="0" collapsed="false">
      <c r="A157" s="0" t="n">
        <v>156</v>
      </c>
      <c r="B157" s="0" t="s">
        <v>72</v>
      </c>
      <c r="C157" s="0" t="s">
        <v>468</v>
      </c>
      <c r="D157" s="0" t="s">
        <v>330</v>
      </c>
      <c r="F157" s="0" t="s">
        <v>323</v>
      </c>
    </row>
    <row r="158" customFormat="false" ht="15" hidden="false" customHeight="false" outlineLevel="0" collapsed="false">
      <c r="A158" s="0" t="n">
        <v>157</v>
      </c>
      <c r="B158" s="0" t="s">
        <v>72</v>
      </c>
      <c r="C158" s="0" t="s">
        <v>365</v>
      </c>
      <c r="D158" s="0" t="s">
        <v>330</v>
      </c>
      <c r="F158" s="0" t="s">
        <v>326</v>
      </c>
    </row>
    <row r="159" customFormat="false" ht="15" hidden="false" customHeight="false" outlineLevel="0" collapsed="false">
      <c r="A159" s="0" t="n">
        <v>158</v>
      </c>
      <c r="B159" s="0" t="s">
        <v>72</v>
      </c>
      <c r="C159" s="0" t="s">
        <v>351</v>
      </c>
      <c r="D159" s="0" t="s">
        <v>330</v>
      </c>
      <c r="F159" s="0" t="s">
        <v>351</v>
      </c>
    </row>
    <row r="160" customFormat="false" ht="15" hidden="false" customHeight="false" outlineLevel="0" collapsed="false">
      <c r="A160" s="0" t="n">
        <v>159</v>
      </c>
      <c r="B160" s="0" t="s">
        <v>72</v>
      </c>
      <c r="C160" s="0" t="s">
        <v>469</v>
      </c>
      <c r="D160" s="0" t="s">
        <v>330</v>
      </c>
      <c r="F160" s="0" t="s">
        <v>349</v>
      </c>
    </row>
    <row r="161" customFormat="false" ht="15" hidden="false" customHeight="false" outlineLevel="0" collapsed="false">
      <c r="A161" s="0" t="n">
        <v>160</v>
      </c>
      <c r="B161" s="0" t="s">
        <v>72</v>
      </c>
      <c r="C161" s="0" t="s">
        <v>348</v>
      </c>
      <c r="D161" s="0" t="s">
        <v>330</v>
      </c>
      <c r="F161" s="0" t="s">
        <v>349</v>
      </c>
    </row>
    <row r="162" customFormat="false" ht="15" hidden="false" customHeight="false" outlineLevel="0" collapsed="false">
      <c r="A162" s="0" t="n">
        <v>161</v>
      </c>
      <c r="B162" s="0" t="s">
        <v>72</v>
      </c>
      <c r="C162" s="0" t="s">
        <v>334</v>
      </c>
      <c r="D162" s="0" t="s">
        <v>330</v>
      </c>
      <c r="F162" s="0" t="s">
        <v>334</v>
      </c>
    </row>
    <row r="163" customFormat="false" ht="15" hidden="false" customHeight="false" outlineLevel="0" collapsed="false">
      <c r="A163" s="0" t="n">
        <v>162</v>
      </c>
      <c r="B163" s="0" t="s">
        <v>72</v>
      </c>
      <c r="C163" s="0" t="s">
        <v>341</v>
      </c>
      <c r="D163" s="0" t="s">
        <v>330</v>
      </c>
      <c r="F163" s="0" t="s">
        <v>341</v>
      </c>
    </row>
    <row r="164" customFormat="false" ht="15" hidden="false" customHeight="false" outlineLevel="0" collapsed="false">
      <c r="A164" s="0" t="n">
        <v>163</v>
      </c>
      <c r="B164" s="0" t="s">
        <v>72</v>
      </c>
      <c r="C164" s="0" t="s">
        <v>383</v>
      </c>
      <c r="D164" s="0" t="s">
        <v>330</v>
      </c>
    </row>
    <row r="165" customFormat="false" ht="15" hidden="false" customHeight="false" outlineLevel="0" collapsed="false">
      <c r="A165" s="0" t="n">
        <v>164</v>
      </c>
      <c r="B165" s="0" t="s">
        <v>72</v>
      </c>
      <c r="C165" s="0" t="s">
        <v>470</v>
      </c>
      <c r="D165" s="0" t="s">
        <v>330</v>
      </c>
      <c r="F165" s="0" t="s">
        <v>386</v>
      </c>
    </row>
    <row r="166" customFormat="false" ht="15" hidden="false" customHeight="false" outlineLevel="0" collapsed="false">
      <c r="A166" s="0" t="n">
        <v>165</v>
      </c>
      <c r="B166" s="0" t="s">
        <v>75</v>
      </c>
      <c r="C166" s="0" t="s">
        <v>471</v>
      </c>
      <c r="D166" s="0" t="s">
        <v>472</v>
      </c>
      <c r="F166" s="0" t="s">
        <v>323</v>
      </c>
    </row>
    <row r="167" customFormat="false" ht="15" hidden="false" customHeight="false" outlineLevel="0" collapsed="false">
      <c r="A167" s="0" t="n">
        <v>166</v>
      </c>
      <c r="B167" s="0" t="s">
        <v>75</v>
      </c>
      <c r="C167" s="0" t="s">
        <v>473</v>
      </c>
      <c r="D167" s="0" t="s">
        <v>330</v>
      </c>
      <c r="F167" s="0" t="s">
        <v>447</v>
      </c>
    </row>
    <row r="168" customFormat="false" ht="15" hidden="false" customHeight="false" outlineLevel="0" collapsed="false">
      <c r="A168" s="0" t="n">
        <v>167</v>
      </c>
      <c r="B168" s="0" t="s">
        <v>75</v>
      </c>
      <c r="C168" s="0" t="s">
        <v>474</v>
      </c>
      <c r="D168" s="0" t="s">
        <v>330</v>
      </c>
      <c r="F168" s="0" t="s">
        <v>332</v>
      </c>
    </row>
    <row r="169" customFormat="false" ht="15" hidden="false" customHeight="false" outlineLevel="0" collapsed="false">
      <c r="A169" s="0" t="n">
        <v>168</v>
      </c>
      <c r="B169" s="0" t="s">
        <v>75</v>
      </c>
      <c r="C169" s="0" t="s">
        <v>357</v>
      </c>
      <c r="D169" s="0" t="s">
        <v>330</v>
      </c>
      <c r="F169" s="0" t="s">
        <v>342</v>
      </c>
    </row>
    <row r="170" customFormat="false" ht="15" hidden="false" customHeight="false" outlineLevel="0" collapsed="false">
      <c r="A170" s="0" t="n">
        <v>169</v>
      </c>
      <c r="B170" s="0" t="s">
        <v>75</v>
      </c>
      <c r="C170" s="0" t="s">
        <v>475</v>
      </c>
      <c r="D170" s="0" t="s">
        <v>330</v>
      </c>
      <c r="F170" s="0" t="s">
        <v>355</v>
      </c>
    </row>
    <row r="171" customFormat="false" ht="15" hidden="false" customHeight="false" outlineLevel="0" collapsed="false">
      <c r="A171" s="0" t="n">
        <v>170</v>
      </c>
      <c r="B171" s="0" t="s">
        <v>75</v>
      </c>
      <c r="C171" s="0" t="s">
        <v>341</v>
      </c>
      <c r="D171" s="0" t="s">
        <v>330</v>
      </c>
      <c r="F171" s="0" t="s">
        <v>341</v>
      </c>
    </row>
    <row r="172" customFormat="false" ht="15" hidden="false" customHeight="false" outlineLevel="0" collapsed="false">
      <c r="A172" s="0" t="n">
        <v>171</v>
      </c>
      <c r="B172" s="0" t="s">
        <v>75</v>
      </c>
      <c r="C172" s="0" t="s">
        <v>476</v>
      </c>
      <c r="D172" s="0" t="s">
        <v>477</v>
      </c>
      <c r="F172" s="0" t="s">
        <v>386</v>
      </c>
    </row>
    <row r="173" customFormat="false" ht="15" hidden="false" customHeight="false" outlineLevel="0" collapsed="false">
      <c r="A173" s="0" t="n">
        <v>172</v>
      </c>
      <c r="B173" s="0" t="s">
        <v>78</v>
      </c>
      <c r="C173" s="0" t="s">
        <v>321</v>
      </c>
      <c r="D173" s="0" t="s">
        <v>330</v>
      </c>
      <c r="F173" s="0" t="s">
        <v>323</v>
      </c>
    </row>
    <row r="174" customFormat="false" ht="15" hidden="false" customHeight="false" outlineLevel="0" collapsed="false">
      <c r="A174" s="0" t="n">
        <v>173</v>
      </c>
      <c r="B174" s="0" t="s">
        <v>78</v>
      </c>
      <c r="C174" s="0" t="s">
        <v>478</v>
      </c>
      <c r="D174" s="0" t="s">
        <v>330</v>
      </c>
      <c r="F174" s="0" t="s">
        <v>326</v>
      </c>
    </row>
    <row r="175" customFormat="false" ht="15" hidden="false" customHeight="false" outlineLevel="0" collapsed="false">
      <c r="A175" s="0" t="n">
        <v>174</v>
      </c>
      <c r="B175" s="0" t="s">
        <v>78</v>
      </c>
      <c r="C175" s="0" t="s">
        <v>327</v>
      </c>
      <c r="D175" s="0" t="s">
        <v>330</v>
      </c>
      <c r="F175" s="0" t="s">
        <v>326</v>
      </c>
    </row>
    <row r="176" customFormat="false" ht="15" hidden="false" customHeight="false" outlineLevel="0" collapsed="false">
      <c r="A176" s="0" t="n">
        <v>175</v>
      </c>
      <c r="B176" s="0" t="s">
        <v>78</v>
      </c>
      <c r="C176" s="0" t="s">
        <v>351</v>
      </c>
      <c r="D176" s="0" t="s">
        <v>330</v>
      </c>
      <c r="F176" s="0" t="s">
        <v>351</v>
      </c>
    </row>
    <row r="177" customFormat="false" ht="15" hidden="false" customHeight="false" outlineLevel="0" collapsed="false">
      <c r="A177" s="0" t="n">
        <v>176</v>
      </c>
      <c r="B177" s="0" t="s">
        <v>78</v>
      </c>
      <c r="C177" s="0" t="s">
        <v>479</v>
      </c>
      <c r="D177" s="0" t="s">
        <v>330</v>
      </c>
    </row>
    <row r="178" customFormat="false" ht="15" hidden="false" customHeight="false" outlineLevel="0" collapsed="false">
      <c r="A178" s="0" t="n">
        <v>177</v>
      </c>
      <c r="B178" s="0" t="s">
        <v>78</v>
      </c>
      <c r="C178" s="0" t="s">
        <v>480</v>
      </c>
      <c r="D178" s="0" t="s">
        <v>330</v>
      </c>
      <c r="F178" s="0" t="s">
        <v>341</v>
      </c>
    </row>
    <row r="179" customFormat="false" ht="15" hidden="false" customHeight="false" outlineLevel="0" collapsed="false">
      <c r="A179" s="0" t="n">
        <v>178</v>
      </c>
      <c r="B179" s="0" t="s">
        <v>78</v>
      </c>
      <c r="C179" s="0" t="s">
        <v>372</v>
      </c>
      <c r="D179" s="0" t="s">
        <v>330</v>
      </c>
    </row>
    <row r="180" customFormat="false" ht="15" hidden="false" customHeight="false" outlineLevel="0" collapsed="false">
      <c r="A180" s="0" t="n">
        <v>179</v>
      </c>
      <c r="B180" s="0" t="s">
        <v>78</v>
      </c>
      <c r="C180" s="0" t="s">
        <v>357</v>
      </c>
      <c r="D180" s="0" t="s">
        <v>330</v>
      </c>
      <c r="F180" s="0" t="s">
        <v>342</v>
      </c>
    </row>
    <row r="181" customFormat="false" ht="15" hidden="false" customHeight="false" outlineLevel="0" collapsed="false">
      <c r="A181" s="0" t="n">
        <v>180</v>
      </c>
      <c r="B181" s="0" t="s">
        <v>78</v>
      </c>
      <c r="C181" s="0" t="s">
        <v>481</v>
      </c>
      <c r="D181" s="0" t="s">
        <v>330</v>
      </c>
      <c r="F181" s="0" t="s">
        <v>332</v>
      </c>
    </row>
    <row r="182" customFormat="false" ht="15" hidden="false" customHeight="false" outlineLevel="0" collapsed="false">
      <c r="A182" s="0" t="n">
        <v>181</v>
      </c>
      <c r="B182" s="0" t="s">
        <v>78</v>
      </c>
      <c r="C182" s="0" t="s">
        <v>482</v>
      </c>
      <c r="D182" s="0" t="s">
        <v>330</v>
      </c>
    </row>
    <row r="183" customFormat="false" ht="15" hidden="false" customHeight="false" outlineLevel="0" collapsed="false">
      <c r="A183" s="0" t="n">
        <v>182</v>
      </c>
      <c r="B183" s="0" t="s">
        <v>81</v>
      </c>
      <c r="C183" s="0" t="s">
        <v>321</v>
      </c>
      <c r="D183" s="0" t="s">
        <v>330</v>
      </c>
      <c r="F183" s="0" t="s">
        <v>323</v>
      </c>
    </row>
    <row r="184" customFormat="false" ht="15" hidden="false" customHeight="false" outlineLevel="0" collapsed="false">
      <c r="A184" s="0" t="n">
        <v>183</v>
      </c>
      <c r="B184" s="0" t="s">
        <v>81</v>
      </c>
      <c r="C184" s="0" t="s">
        <v>365</v>
      </c>
      <c r="D184" s="0" t="s">
        <v>330</v>
      </c>
      <c r="F184" s="0" t="s">
        <v>326</v>
      </c>
    </row>
    <row r="185" customFormat="false" ht="15" hidden="false" customHeight="false" outlineLevel="0" collapsed="false">
      <c r="A185" s="0" t="n">
        <v>184</v>
      </c>
      <c r="B185" s="0" t="s">
        <v>81</v>
      </c>
      <c r="C185" s="0" t="s">
        <v>342</v>
      </c>
      <c r="D185" s="0" t="s">
        <v>330</v>
      </c>
      <c r="F185" s="0" t="s">
        <v>342</v>
      </c>
    </row>
    <row r="186" customFormat="false" ht="15" hidden="false" customHeight="false" outlineLevel="0" collapsed="false">
      <c r="A186" s="0" t="n">
        <v>185</v>
      </c>
      <c r="B186" s="0" t="s">
        <v>81</v>
      </c>
      <c r="C186" s="0" t="s">
        <v>341</v>
      </c>
      <c r="D186" s="0" t="s">
        <v>330</v>
      </c>
      <c r="F186" s="0" t="s">
        <v>341</v>
      </c>
    </row>
    <row r="187" customFormat="false" ht="15" hidden="false" customHeight="false" outlineLevel="0" collapsed="false">
      <c r="A187" s="0" t="n">
        <v>186</v>
      </c>
      <c r="B187" s="0" t="s">
        <v>81</v>
      </c>
      <c r="C187" s="0" t="s">
        <v>334</v>
      </c>
      <c r="D187" s="0" t="s">
        <v>330</v>
      </c>
      <c r="F187" s="0" t="s">
        <v>334</v>
      </c>
    </row>
    <row r="188" customFormat="false" ht="15" hidden="false" customHeight="false" outlineLevel="0" collapsed="false">
      <c r="A188" s="0" t="n">
        <v>187</v>
      </c>
      <c r="B188" s="0" t="s">
        <v>81</v>
      </c>
      <c r="C188" s="0" t="s">
        <v>445</v>
      </c>
      <c r="D188" s="0" t="s">
        <v>330</v>
      </c>
      <c r="F188" s="0" t="s">
        <v>355</v>
      </c>
    </row>
    <row r="189" customFormat="false" ht="15" hidden="false" customHeight="false" outlineLevel="0" collapsed="false">
      <c r="A189" s="0" t="n">
        <v>188</v>
      </c>
      <c r="B189" s="0" t="s">
        <v>81</v>
      </c>
      <c r="C189" s="0" t="s">
        <v>351</v>
      </c>
      <c r="D189" s="0" t="s">
        <v>330</v>
      </c>
      <c r="F189" s="0" t="s">
        <v>351</v>
      </c>
    </row>
    <row r="190" customFormat="false" ht="15" hidden="false" customHeight="false" outlineLevel="0" collapsed="false">
      <c r="A190" s="0" t="n">
        <v>189</v>
      </c>
      <c r="B190" s="0" t="s">
        <v>81</v>
      </c>
      <c r="C190" s="0" t="s">
        <v>483</v>
      </c>
      <c r="D190" s="0" t="s">
        <v>330</v>
      </c>
      <c r="F190" s="0" t="s">
        <v>349</v>
      </c>
    </row>
    <row r="191" customFormat="false" ht="15" hidden="false" customHeight="false" outlineLevel="0" collapsed="false">
      <c r="A191" s="0" t="n">
        <v>190</v>
      </c>
      <c r="B191" s="0" t="s">
        <v>84</v>
      </c>
      <c r="C191" s="0" t="s">
        <v>484</v>
      </c>
      <c r="D191" s="0" t="s">
        <v>330</v>
      </c>
      <c r="F191" s="0" t="s">
        <v>326</v>
      </c>
    </row>
    <row r="192" customFormat="false" ht="15" hidden="false" customHeight="false" outlineLevel="0" collapsed="false">
      <c r="A192" s="0" t="n">
        <v>191</v>
      </c>
      <c r="B192" s="0" t="s">
        <v>84</v>
      </c>
      <c r="C192" s="0" t="s">
        <v>367</v>
      </c>
      <c r="D192" s="0" t="s">
        <v>330</v>
      </c>
      <c r="F192" s="0" t="s">
        <v>355</v>
      </c>
    </row>
    <row r="193" customFormat="false" ht="15" hidden="false" customHeight="false" outlineLevel="0" collapsed="false">
      <c r="A193" s="0" t="n">
        <v>192</v>
      </c>
      <c r="B193" s="0" t="s">
        <v>84</v>
      </c>
      <c r="C193" s="0" t="s">
        <v>485</v>
      </c>
      <c r="D193" s="0" t="s">
        <v>330</v>
      </c>
      <c r="F193" s="0" t="s">
        <v>323</v>
      </c>
    </row>
    <row r="194" customFormat="false" ht="15" hidden="false" customHeight="false" outlineLevel="0" collapsed="false">
      <c r="A194" s="0" t="n">
        <v>193</v>
      </c>
      <c r="B194" s="0" t="s">
        <v>87</v>
      </c>
      <c r="C194" s="0" t="s">
        <v>321</v>
      </c>
      <c r="D194" s="0" t="s">
        <v>330</v>
      </c>
      <c r="F194" s="0" t="s">
        <v>323</v>
      </c>
    </row>
    <row r="195" customFormat="false" ht="15" hidden="false" customHeight="false" outlineLevel="0" collapsed="false">
      <c r="A195" s="0" t="n">
        <v>194</v>
      </c>
      <c r="B195" s="0" t="s">
        <v>87</v>
      </c>
      <c r="C195" s="0" t="s">
        <v>486</v>
      </c>
      <c r="D195" s="0" t="s">
        <v>330</v>
      </c>
      <c r="F195" s="0" t="s">
        <v>326</v>
      </c>
    </row>
    <row r="196" customFormat="false" ht="15" hidden="false" customHeight="false" outlineLevel="0" collapsed="false">
      <c r="A196" s="0" t="n">
        <v>195</v>
      </c>
      <c r="B196" s="0" t="s">
        <v>87</v>
      </c>
      <c r="C196" s="0" t="s">
        <v>338</v>
      </c>
      <c r="D196" s="0" t="s">
        <v>330</v>
      </c>
    </row>
    <row r="197" customFormat="false" ht="15" hidden="false" customHeight="false" outlineLevel="0" collapsed="false">
      <c r="A197" s="0" t="n">
        <v>196</v>
      </c>
      <c r="B197" s="0" t="s">
        <v>87</v>
      </c>
      <c r="C197" s="0" t="s">
        <v>341</v>
      </c>
      <c r="D197" s="0" t="s">
        <v>330</v>
      </c>
      <c r="F197" s="0" t="s">
        <v>341</v>
      </c>
    </row>
    <row r="198" customFormat="false" ht="15" hidden="false" customHeight="false" outlineLevel="0" collapsed="false">
      <c r="A198" s="0" t="n">
        <v>197</v>
      </c>
      <c r="B198" s="0" t="s">
        <v>87</v>
      </c>
      <c r="C198" s="0" t="s">
        <v>329</v>
      </c>
      <c r="D198" s="0" t="s">
        <v>330</v>
      </c>
      <c r="F198" s="0" t="s">
        <v>329</v>
      </c>
    </row>
    <row r="199" customFormat="false" ht="15" hidden="false" customHeight="false" outlineLevel="0" collapsed="false">
      <c r="A199" s="0" t="n">
        <v>198</v>
      </c>
      <c r="B199" s="0" t="s">
        <v>90</v>
      </c>
      <c r="C199" s="0" t="s">
        <v>464</v>
      </c>
      <c r="D199" s="0" t="s">
        <v>330</v>
      </c>
    </row>
    <row r="200" customFormat="false" ht="15" hidden="false" customHeight="false" outlineLevel="0" collapsed="false">
      <c r="A200" s="0" t="n">
        <v>199</v>
      </c>
      <c r="B200" s="0" t="s">
        <v>90</v>
      </c>
      <c r="C200" s="0" t="s">
        <v>383</v>
      </c>
      <c r="D200" s="0" t="s">
        <v>330</v>
      </c>
    </row>
    <row r="201" customFormat="false" ht="15" hidden="false" customHeight="false" outlineLevel="0" collapsed="false">
      <c r="A201" s="0" t="n">
        <v>200</v>
      </c>
      <c r="B201" s="0" t="s">
        <v>90</v>
      </c>
      <c r="C201" s="0" t="s">
        <v>487</v>
      </c>
      <c r="D201" s="0" t="s">
        <v>330</v>
      </c>
      <c r="F201" s="0" t="s">
        <v>334</v>
      </c>
    </row>
    <row r="202" customFormat="false" ht="15" hidden="false" customHeight="false" outlineLevel="0" collapsed="false">
      <c r="A202" s="0" t="n">
        <v>201</v>
      </c>
      <c r="B202" s="0" t="s">
        <v>94</v>
      </c>
      <c r="C202" s="0" t="s">
        <v>321</v>
      </c>
      <c r="D202" s="0" t="s">
        <v>330</v>
      </c>
      <c r="F202" s="0" t="s">
        <v>323</v>
      </c>
    </row>
    <row r="203" customFormat="false" ht="15" hidden="false" customHeight="false" outlineLevel="0" collapsed="false">
      <c r="A203" s="0" t="n">
        <v>202</v>
      </c>
      <c r="B203" s="0" t="s">
        <v>94</v>
      </c>
      <c r="C203" s="0" t="s">
        <v>414</v>
      </c>
      <c r="D203" s="0" t="s">
        <v>330</v>
      </c>
      <c r="F203" s="0" t="s">
        <v>326</v>
      </c>
    </row>
    <row r="204" customFormat="false" ht="15" hidden="false" customHeight="false" outlineLevel="0" collapsed="false">
      <c r="A204" s="0" t="n">
        <v>203</v>
      </c>
      <c r="B204" s="0" t="s">
        <v>97</v>
      </c>
      <c r="C204" s="0" t="s">
        <v>321</v>
      </c>
      <c r="D204" s="0" t="s">
        <v>330</v>
      </c>
      <c r="F204" s="0" t="s">
        <v>323</v>
      </c>
    </row>
    <row r="205" customFormat="false" ht="15" hidden="false" customHeight="false" outlineLevel="0" collapsed="false">
      <c r="A205" s="0" t="n">
        <v>204</v>
      </c>
      <c r="B205" s="0" t="s">
        <v>97</v>
      </c>
      <c r="C205" s="0" t="s">
        <v>488</v>
      </c>
      <c r="D205" s="0" t="s">
        <v>330</v>
      </c>
      <c r="F205" s="0" t="s">
        <v>326</v>
      </c>
    </row>
    <row r="206" customFormat="false" ht="15" hidden="false" customHeight="false" outlineLevel="0" collapsed="false">
      <c r="A206" s="0" t="n">
        <v>205</v>
      </c>
      <c r="B206" s="0" t="s">
        <v>97</v>
      </c>
      <c r="C206" s="0" t="s">
        <v>489</v>
      </c>
      <c r="D206" s="0" t="s">
        <v>330</v>
      </c>
      <c r="F206" s="0" t="s">
        <v>332</v>
      </c>
    </row>
    <row r="207" customFormat="false" ht="15" hidden="false" customHeight="false" outlineLevel="0" collapsed="false">
      <c r="A207" s="0" t="n">
        <v>206</v>
      </c>
      <c r="B207" s="0" t="s">
        <v>97</v>
      </c>
      <c r="C207" s="0" t="s">
        <v>351</v>
      </c>
      <c r="D207" s="0" t="s">
        <v>330</v>
      </c>
      <c r="F207" s="0" t="s">
        <v>351</v>
      </c>
    </row>
    <row r="208" customFormat="false" ht="15" hidden="false" customHeight="false" outlineLevel="0" collapsed="false">
      <c r="A208" s="0" t="n">
        <v>207</v>
      </c>
      <c r="B208" s="0" t="s">
        <v>97</v>
      </c>
      <c r="C208" s="0" t="s">
        <v>490</v>
      </c>
      <c r="D208" s="0" t="s">
        <v>330</v>
      </c>
      <c r="F208" s="0" t="s">
        <v>359</v>
      </c>
    </row>
    <row r="209" customFormat="false" ht="15" hidden="false" customHeight="false" outlineLevel="0" collapsed="false">
      <c r="A209" s="0" t="n">
        <v>208</v>
      </c>
      <c r="B209" s="0" t="s">
        <v>97</v>
      </c>
      <c r="C209" s="0" t="s">
        <v>491</v>
      </c>
      <c r="D209" s="0" t="s">
        <v>330</v>
      </c>
      <c r="F209" s="0" t="s">
        <v>363</v>
      </c>
    </row>
    <row r="210" customFormat="false" ht="15" hidden="false" customHeight="false" outlineLevel="0" collapsed="false">
      <c r="A210" s="0" t="n">
        <v>209</v>
      </c>
      <c r="B210" s="0" t="s">
        <v>97</v>
      </c>
      <c r="C210" s="0" t="s">
        <v>329</v>
      </c>
      <c r="D210" s="0" t="s">
        <v>330</v>
      </c>
      <c r="F210" s="0" t="s">
        <v>329</v>
      </c>
    </row>
    <row r="211" customFormat="false" ht="15" hidden="false" customHeight="false" outlineLevel="0" collapsed="false">
      <c r="A211" s="0" t="n">
        <v>210</v>
      </c>
      <c r="B211" s="0" t="s">
        <v>97</v>
      </c>
      <c r="C211" s="0" t="s">
        <v>341</v>
      </c>
      <c r="D211" s="0" t="s">
        <v>330</v>
      </c>
      <c r="F211" s="0" t="s">
        <v>341</v>
      </c>
    </row>
    <row r="212" customFormat="false" ht="15" hidden="false" customHeight="false" outlineLevel="0" collapsed="false">
      <c r="A212" s="0" t="n">
        <v>211</v>
      </c>
      <c r="B212" s="0" t="s">
        <v>101</v>
      </c>
      <c r="C212" s="0" t="s">
        <v>492</v>
      </c>
      <c r="D212" s="0" t="s">
        <v>330</v>
      </c>
      <c r="F212" s="0" t="s">
        <v>323</v>
      </c>
    </row>
    <row r="213" customFormat="false" ht="15" hidden="false" customHeight="false" outlineLevel="0" collapsed="false">
      <c r="A213" s="0" t="n">
        <v>212</v>
      </c>
      <c r="B213" s="0" t="s">
        <v>101</v>
      </c>
      <c r="C213" s="0" t="s">
        <v>488</v>
      </c>
      <c r="D213" s="0" t="s">
        <v>330</v>
      </c>
      <c r="F213" s="0" t="s">
        <v>326</v>
      </c>
    </row>
    <row r="214" customFormat="false" ht="15" hidden="false" customHeight="false" outlineLevel="0" collapsed="false">
      <c r="A214" s="0" t="n">
        <v>213</v>
      </c>
      <c r="B214" s="0" t="s">
        <v>101</v>
      </c>
      <c r="C214" s="0" t="s">
        <v>329</v>
      </c>
      <c r="D214" s="0" t="s">
        <v>330</v>
      </c>
      <c r="F214" s="0" t="s">
        <v>329</v>
      </c>
    </row>
    <row r="215" customFormat="false" ht="15" hidden="false" customHeight="false" outlineLevel="0" collapsed="false">
      <c r="A215" s="0" t="n">
        <v>214</v>
      </c>
      <c r="B215" s="0" t="s">
        <v>101</v>
      </c>
      <c r="C215" s="0" t="s">
        <v>415</v>
      </c>
      <c r="D215" s="0" t="s">
        <v>330</v>
      </c>
    </row>
    <row r="216" customFormat="false" ht="15" hidden="false" customHeight="false" outlineLevel="0" collapsed="false">
      <c r="A216" s="0" t="n">
        <v>215</v>
      </c>
      <c r="B216" s="0" t="s">
        <v>103</v>
      </c>
      <c r="C216" s="0" t="s">
        <v>378</v>
      </c>
      <c r="D216" s="0" t="s">
        <v>379</v>
      </c>
      <c r="F216" s="0" t="s">
        <v>323</v>
      </c>
    </row>
    <row r="217" customFormat="false" ht="15" hidden="false" customHeight="false" outlineLevel="0" collapsed="false">
      <c r="A217" s="0" t="n">
        <v>216</v>
      </c>
      <c r="B217" s="0" t="s">
        <v>103</v>
      </c>
      <c r="C217" s="0" t="s">
        <v>365</v>
      </c>
      <c r="D217" s="0" t="s">
        <v>380</v>
      </c>
      <c r="F217" s="0" t="s">
        <v>326</v>
      </c>
    </row>
    <row r="218" customFormat="false" ht="15" hidden="false" customHeight="false" outlineLevel="0" collapsed="false">
      <c r="A218" s="0" t="n">
        <v>217</v>
      </c>
      <c r="B218" s="0" t="s">
        <v>103</v>
      </c>
      <c r="C218" s="0" t="s">
        <v>334</v>
      </c>
      <c r="D218" s="0" t="s">
        <v>381</v>
      </c>
      <c r="F218" s="0" t="s">
        <v>334</v>
      </c>
    </row>
    <row r="219" customFormat="false" ht="15" hidden="false" customHeight="false" outlineLevel="0" collapsed="false">
      <c r="A219" s="0" t="n">
        <v>218</v>
      </c>
      <c r="B219" s="0" t="s">
        <v>103</v>
      </c>
      <c r="C219" s="0" t="s">
        <v>342</v>
      </c>
      <c r="D219" s="0" t="s">
        <v>382</v>
      </c>
      <c r="F219" s="0" t="s">
        <v>342</v>
      </c>
    </row>
    <row r="220" customFormat="false" ht="15" hidden="false" customHeight="false" outlineLevel="0" collapsed="false">
      <c r="A220" s="0" t="n">
        <v>219</v>
      </c>
      <c r="B220" s="0" t="s">
        <v>103</v>
      </c>
      <c r="C220" s="0" t="s">
        <v>493</v>
      </c>
      <c r="D220" s="0" t="s">
        <v>330</v>
      </c>
      <c r="F220" s="0" t="s">
        <v>363</v>
      </c>
    </row>
    <row r="221" customFormat="false" ht="15" hidden="false" customHeight="false" outlineLevel="0" collapsed="false">
      <c r="A221" s="0" t="n">
        <v>220</v>
      </c>
      <c r="B221" s="0" t="s">
        <v>103</v>
      </c>
      <c r="C221" s="0" t="s">
        <v>341</v>
      </c>
      <c r="D221" s="0" t="s">
        <v>330</v>
      </c>
      <c r="F221" s="0" t="s">
        <v>341</v>
      </c>
    </row>
    <row r="222" customFormat="false" ht="15" hidden="false" customHeight="false" outlineLevel="0" collapsed="false">
      <c r="A222" s="0" t="n">
        <v>221</v>
      </c>
      <c r="B222" s="0" t="s">
        <v>106</v>
      </c>
      <c r="C222" s="0" t="s">
        <v>321</v>
      </c>
      <c r="D222" s="0" t="s">
        <v>330</v>
      </c>
      <c r="F222" s="0" t="s">
        <v>323</v>
      </c>
    </row>
    <row r="223" customFormat="false" ht="15" hidden="false" customHeight="false" outlineLevel="0" collapsed="false">
      <c r="A223" s="0" t="n">
        <v>222</v>
      </c>
      <c r="B223" s="0" t="s">
        <v>106</v>
      </c>
      <c r="C223" s="0" t="s">
        <v>494</v>
      </c>
      <c r="D223" s="0" t="s">
        <v>330</v>
      </c>
      <c r="F223" s="0" t="s">
        <v>326</v>
      </c>
    </row>
    <row r="224" customFormat="false" ht="15" hidden="false" customHeight="false" outlineLevel="0" collapsed="false">
      <c r="A224" s="0" t="n">
        <v>223</v>
      </c>
      <c r="B224" s="0" t="s">
        <v>106</v>
      </c>
      <c r="C224" s="0" t="s">
        <v>361</v>
      </c>
      <c r="D224" s="0" t="s">
        <v>330</v>
      </c>
      <c r="F224" s="0" t="s">
        <v>332</v>
      </c>
    </row>
    <row r="225" customFormat="false" ht="15" hidden="false" customHeight="false" outlineLevel="0" collapsed="false">
      <c r="A225" s="0" t="n">
        <v>224</v>
      </c>
      <c r="B225" s="0" t="s">
        <v>106</v>
      </c>
      <c r="C225" s="0" t="s">
        <v>334</v>
      </c>
      <c r="D225" s="0" t="s">
        <v>330</v>
      </c>
      <c r="F225" s="0" t="s">
        <v>334</v>
      </c>
    </row>
    <row r="226" customFormat="false" ht="15" hidden="false" customHeight="false" outlineLevel="0" collapsed="false">
      <c r="A226" s="0" t="n">
        <v>225</v>
      </c>
      <c r="B226" s="0" t="s">
        <v>106</v>
      </c>
      <c r="C226" s="0" t="s">
        <v>374</v>
      </c>
      <c r="D226" s="0" t="s">
        <v>330</v>
      </c>
      <c r="F226" s="0" t="s">
        <v>363</v>
      </c>
    </row>
    <row r="227" customFormat="false" ht="15" hidden="false" customHeight="false" outlineLevel="0" collapsed="false">
      <c r="A227" s="0" t="n">
        <v>226</v>
      </c>
      <c r="B227" s="0" t="s">
        <v>109</v>
      </c>
      <c r="C227" s="0" t="s">
        <v>495</v>
      </c>
      <c r="D227" s="0" t="s">
        <v>496</v>
      </c>
      <c r="F227" s="0" t="s">
        <v>326</v>
      </c>
    </row>
    <row r="228" customFormat="false" ht="15" hidden="false" customHeight="false" outlineLevel="0" collapsed="false">
      <c r="A228" s="0" t="n">
        <v>227</v>
      </c>
      <c r="B228" s="0" t="s">
        <v>109</v>
      </c>
      <c r="C228" s="0" t="s">
        <v>341</v>
      </c>
      <c r="D228" s="0" t="s">
        <v>330</v>
      </c>
      <c r="F228" s="0" t="s">
        <v>341</v>
      </c>
    </row>
    <row r="229" customFormat="false" ht="15" hidden="false" customHeight="false" outlineLevel="0" collapsed="false">
      <c r="A229" s="0" t="n">
        <v>228</v>
      </c>
      <c r="B229" s="0" t="s">
        <v>109</v>
      </c>
      <c r="C229" s="0" t="s">
        <v>383</v>
      </c>
      <c r="D229" s="0" t="s">
        <v>330</v>
      </c>
    </row>
    <row r="230" customFormat="false" ht="15" hidden="false" customHeight="false" outlineLevel="0" collapsed="false">
      <c r="A230" s="0" t="n">
        <v>229</v>
      </c>
      <c r="B230" s="0" t="s">
        <v>109</v>
      </c>
      <c r="C230" s="0" t="s">
        <v>497</v>
      </c>
      <c r="D230" s="0" t="s">
        <v>330</v>
      </c>
      <c r="F230" s="0" t="s">
        <v>326</v>
      </c>
    </row>
    <row r="231" customFormat="false" ht="15" hidden="false" customHeight="false" outlineLevel="0" collapsed="false">
      <c r="A231" s="0" t="n">
        <v>230</v>
      </c>
      <c r="B231" s="0" t="s">
        <v>113</v>
      </c>
      <c r="C231" s="0" t="s">
        <v>498</v>
      </c>
      <c r="D231" s="0" t="s">
        <v>499</v>
      </c>
      <c r="F231" s="0" t="s">
        <v>323</v>
      </c>
    </row>
    <row r="232" customFormat="false" ht="15" hidden="false" customHeight="false" outlineLevel="0" collapsed="false">
      <c r="A232" s="0" t="n">
        <v>231</v>
      </c>
      <c r="B232" s="0" t="s">
        <v>113</v>
      </c>
      <c r="C232" s="0" t="s">
        <v>500</v>
      </c>
      <c r="D232" s="0" t="s">
        <v>499</v>
      </c>
      <c r="F232" s="0" t="s">
        <v>323</v>
      </c>
    </row>
    <row r="233" customFormat="false" ht="15" hidden="false" customHeight="false" outlineLevel="0" collapsed="false">
      <c r="A233" s="0" t="n">
        <v>232</v>
      </c>
      <c r="B233" s="0" t="s">
        <v>113</v>
      </c>
      <c r="C233" s="0" t="s">
        <v>501</v>
      </c>
      <c r="D233" s="0" t="s">
        <v>502</v>
      </c>
      <c r="F233" s="0" t="s">
        <v>323</v>
      </c>
    </row>
    <row r="234" customFormat="false" ht="15" hidden="false" customHeight="false" outlineLevel="0" collapsed="false">
      <c r="A234" s="0" t="n">
        <v>233</v>
      </c>
      <c r="B234" s="0" t="s">
        <v>113</v>
      </c>
      <c r="C234" s="0" t="s">
        <v>503</v>
      </c>
      <c r="D234" s="0" t="s">
        <v>504</v>
      </c>
      <c r="F234" s="0" t="s">
        <v>326</v>
      </c>
    </row>
    <row r="235" customFormat="false" ht="15" hidden="false" customHeight="false" outlineLevel="0" collapsed="false">
      <c r="A235" s="0" t="n">
        <v>234</v>
      </c>
      <c r="B235" s="0" t="s">
        <v>113</v>
      </c>
      <c r="C235" s="0" t="s">
        <v>505</v>
      </c>
      <c r="D235" s="0" t="s">
        <v>506</v>
      </c>
      <c r="F235" s="0" t="s">
        <v>326</v>
      </c>
    </row>
    <row r="236" customFormat="false" ht="15" hidden="false" customHeight="false" outlineLevel="0" collapsed="false">
      <c r="A236" s="0" t="n">
        <v>235</v>
      </c>
      <c r="B236" s="0" t="s">
        <v>113</v>
      </c>
      <c r="C236" s="0" t="s">
        <v>507</v>
      </c>
      <c r="D236" s="0" t="s">
        <v>330</v>
      </c>
      <c r="F236" s="0" t="s">
        <v>323</v>
      </c>
    </row>
    <row r="237" customFormat="false" ht="15" hidden="false" customHeight="false" outlineLevel="0" collapsed="false">
      <c r="A237" s="0" t="n">
        <v>236</v>
      </c>
      <c r="B237" s="0" t="s">
        <v>113</v>
      </c>
      <c r="C237" s="0" t="s">
        <v>508</v>
      </c>
      <c r="D237" s="0" t="s">
        <v>330</v>
      </c>
      <c r="F237" s="0" t="s">
        <v>326</v>
      </c>
    </row>
    <row r="238" customFormat="false" ht="15" hidden="false" customHeight="false" outlineLevel="0" collapsed="false">
      <c r="A238" s="0" t="n">
        <v>237</v>
      </c>
      <c r="B238" s="0" t="s">
        <v>113</v>
      </c>
      <c r="C238" s="0" t="s">
        <v>372</v>
      </c>
      <c r="D238" s="0" t="s">
        <v>330</v>
      </c>
    </row>
    <row r="239" customFormat="false" ht="15" hidden="false" customHeight="false" outlineLevel="0" collapsed="false">
      <c r="A239" s="0" t="n">
        <v>238</v>
      </c>
      <c r="B239" s="0" t="s">
        <v>116</v>
      </c>
      <c r="C239" s="0" t="s">
        <v>321</v>
      </c>
      <c r="D239" s="0" t="s">
        <v>509</v>
      </c>
      <c r="F239" s="0" t="s">
        <v>323</v>
      </c>
    </row>
    <row r="240" customFormat="false" ht="15" hidden="false" customHeight="false" outlineLevel="0" collapsed="false">
      <c r="A240" s="0" t="n">
        <v>239</v>
      </c>
      <c r="B240" s="0" t="s">
        <v>116</v>
      </c>
      <c r="C240" s="0" t="s">
        <v>365</v>
      </c>
      <c r="D240" s="0" t="s">
        <v>509</v>
      </c>
      <c r="F240" s="0" t="s">
        <v>326</v>
      </c>
    </row>
    <row r="241" customFormat="false" ht="15" hidden="false" customHeight="false" outlineLevel="0" collapsed="false">
      <c r="A241" s="0" t="n">
        <v>240</v>
      </c>
      <c r="B241" s="0" t="s">
        <v>116</v>
      </c>
      <c r="C241" s="0" t="s">
        <v>494</v>
      </c>
      <c r="D241" s="0" t="s">
        <v>509</v>
      </c>
      <c r="F241" s="0" t="s">
        <v>326</v>
      </c>
    </row>
    <row r="242" customFormat="false" ht="15" hidden="false" customHeight="false" outlineLevel="0" collapsed="false">
      <c r="A242" s="0" t="n">
        <v>241</v>
      </c>
      <c r="B242" s="0" t="s">
        <v>116</v>
      </c>
      <c r="C242" s="0" t="s">
        <v>362</v>
      </c>
      <c r="D242" s="0" t="s">
        <v>330</v>
      </c>
      <c r="F242" s="0" t="s">
        <v>363</v>
      </c>
    </row>
    <row r="243" customFormat="false" ht="15" hidden="false" customHeight="false" outlineLevel="0" collapsed="false">
      <c r="A243" s="0" t="n">
        <v>242</v>
      </c>
      <c r="B243" s="0" t="s">
        <v>118</v>
      </c>
      <c r="C243" s="0" t="s">
        <v>329</v>
      </c>
      <c r="D243" s="0" t="s">
        <v>330</v>
      </c>
      <c r="F243" s="0" t="s">
        <v>329</v>
      </c>
    </row>
    <row r="244" customFormat="false" ht="15" hidden="false" customHeight="false" outlineLevel="0" collapsed="false">
      <c r="A244" s="0" t="n">
        <v>243</v>
      </c>
      <c r="B244" s="0" t="s">
        <v>118</v>
      </c>
      <c r="C244" s="0" t="s">
        <v>510</v>
      </c>
      <c r="D244" s="0" t="s">
        <v>330</v>
      </c>
    </row>
    <row r="245" customFormat="false" ht="15" hidden="false" customHeight="false" outlineLevel="0" collapsed="false">
      <c r="A245" s="0" t="n">
        <v>244</v>
      </c>
      <c r="B245" s="0" t="s">
        <v>118</v>
      </c>
      <c r="C245" s="0" t="s">
        <v>353</v>
      </c>
      <c r="D245" s="0" t="s">
        <v>330</v>
      </c>
      <c r="F245" s="0" t="s">
        <v>332</v>
      </c>
    </row>
    <row r="246" customFormat="false" ht="15" hidden="false" customHeight="false" outlineLevel="0" collapsed="false">
      <c r="A246" s="0" t="n">
        <v>245</v>
      </c>
      <c r="B246" s="0" t="s">
        <v>118</v>
      </c>
      <c r="C246" s="0" t="s">
        <v>321</v>
      </c>
      <c r="D246" s="0" t="s">
        <v>330</v>
      </c>
      <c r="F246" s="0" t="s">
        <v>323</v>
      </c>
    </row>
    <row r="247" customFormat="false" ht="15" hidden="false" customHeight="false" outlineLevel="0" collapsed="false">
      <c r="A247" s="0" t="n">
        <v>246</v>
      </c>
      <c r="B247" s="0" t="s">
        <v>118</v>
      </c>
      <c r="C247" s="0" t="s">
        <v>511</v>
      </c>
      <c r="D247" s="0" t="s">
        <v>330</v>
      </c>
      <c r="F247" s="0" t="s">
        <v>403</v>
      </c>
    </row>
    <row r="248" customFormat="false" ht="15" hidden="false" customHeight="false" outlineLevel="0" collapsed="false">
      <c r="A248" s="0" t="n">
        <v>247</v>
      </c>
      <c r="B248" s="0" t="s">
        <v>121</v>
      </c>
      <c r="C248" s="0" t="s">
        <v>321</v>
      </c>
      <c r="D248" s="0" t="s">
        <v>512</v>
      </c>
      <c r="F248" s="0" t="s">
        <v>323</v>
      </c>
    </row>
    <row r="249" customFormat="false" ht="15" hidden="false" customHeight="false" outlineLevel="0" collapsed="false">
      <c r="A249" s="0" t="n">
        <v>248</v>
      </c>
      <c r="B249" s="0" t="s">
        <v>121</v>
      </c>
      <c r="C249" s="0" t="s">
        <v>345</v>
      </c>
      <c r="D249" s="0" t="s">
        <v>330</v>
      </c>
      <c r="F249" s="0" t="s">
        <v>323</v>
      </c>
    </row>
    <row r="250" customFormat="false" ht="15" hidden="false" customHeight="false" outlineLevel="0" collapsed="false">
      <c r="A250" s="0" t="n">
        <v>249</v>
      </c>
      <c r="B250" s="0" t="s">
        <v>121</v>
      </c>
      <c r="C250" s="0" t="s">
        <v>513</v>
      </c>
      <c r="D250" s="0" t="s">
        <v>330</v>
      </c>
      <c r="F250" s="0" t="s">
        <v>326</v>
      </c>
    </row>
    <row r="251" customFormat="false" ht="15" hidden="false" customHeight="false" outlineLevel="0" collapsed="false">
      <c r="A251" s="0" t="n">
        <v>250</v>
      </c>
      <c r="B251" s="0" t="s">
        <v>121</v>
      </c>
      <c r="C251" s="0" t="s">
        <v>351</v>
      </c>
      <c r="D251" s="0" t="s">
        <v>330</v>
      </c>
      <c r="F251" s="0" t="s">
        <v>351</v>
      </c>
    </row>
    <row r="252" customFormat="false" ht="15" hidden="false" customHeight="false" outlineLevel="0" collapsed="false">
      <c r="A252" s="0" t="n">
        <v>251</v>
      </c>
      <c r="B252" s="0" t="s">
        <v>121</v>
      </c>
      <c r="C252" s="0" t="s">
        <v>342</v>
      </c>
      <c r="D252" s="0" t="s">
        <v>330</v>
      </c>
      <c r="F252" s="0" t="s">
        <v>342</v>
      </c>
    </row>
    <row r="253" customFormat="false" ht="15" hidden="false" customHeight="false" outlineLevel="0" collapsed="false">
      <c r="A253" s="0" t="n">
        <v>252</v>
      </c>
      <c r="B253" s="0" t="s">
        <v>121</v>
      </c>
      <c r="C253" s="0" t="s">
        <v>365</v>
      </c>
      <c r="D253" s="0" t="s">
        <v>330</v>
      </c>
      <c r="F253" s="0" t="s">
        <v>326</v>
      </c>
    </row>
    <row r="254" customFormat="false" ht="15" hidden="false" customHeight="false" outlineLevel="0" collapsed="false">
      <c r="A254" s="0" t="n">
        <v>253</v>
      </c>
      <c r="B254" s="0" t="s">
        <v>121</v>
      </c>
      <c r="C254" s="0" t="s">
        <v>348</v>
      </c>
      <c r="D254" s="0" t="s">
        <v>330</v>
      </c>
      <c r="F254" s="0" t="s">
        <v>349</v>
      </c>
    </row>
    <row r="255" customFormat="false" ht="15" hidden="false" customHeight="false" outlineLevel="0" collapsed="false">
      <c r="A255" s="0" t="n">
        <v>254</v>
      </c>
      <c r="B255" s="0" t="s">
        <v>121</v>
      </c>
      <c r="C255" s="0" t="s">
        <v>404</v>
      </c>
      <c r="D255" s="0" t="s">
        <v>330</v>
      </c>
      <c r="F255" s="0" t="s">
        <v>349</v>
      </c>
    </row>
    <row r="256" customFormat="false" ht="15" hidden="false" customHeight="false" outlineLevel="0" collapsed="false">
      <c r="A256" s="0" t="n">
        <v>255</v>
      </c>
      <c r="B256" s="0" t="s">
        <v>121</v>
      </c>
      <c r="C256" s="0" t="s">
        <v>514</v>
      </c>
      <c r="D256" s="0" t="s">
        <v>330</v>
      </c>
    </row>
    <row r="257" customFormat="false" ht="15" hidden="false" customHeight="false" outlineLevel="0" collapsed="false">
      <c r="A257" s="0" t="n">
        <v>256</v>
      </c>
      <c r="B257" s="0" t="s">
        <v>124</v>
      </c>
      <c r="C257" s="0" t="s">
        <v>411</v>
      </c>
      <c r="D257" s="0" t="s">
        <v>330</v>
      </c>
      <c r="F257" s="0" t="s">
        <v>323</v>
      </c>
    </row>
    <row r="258" customFormat="false" ht="15" hidden="false" customHeight="false" outlineLevel="0" collapsed="false">
      <c r="A258" s="0" t="n">
        <v>257</v>
      </c>
      <c r="B258" s="0" t="s">
        <v>124</v>
      </c>
      <c r="C258" s="0" t="s">
        <v>365</v>
      </c>
      <c r="D258" s="0" t="s">
        <v>330</v>
      </c>
      <c r="F258" s="0" t="s">
        <v>326</v>
      </c>
    </row>
    <row r="259" customFormat="false" ht="15" hidden="false" customHeight="false" outlineLevel="0" collapsed="false">
      <c r="A259" s="0" t="n">
        <v>258</v>
      </c>
      <c r="B259" s="0" t="s">
        <v>124</v>
      </c>
      <c r="C259" s="0" t="s">
        <v>324</v>
      </c>
      <c r="D259" s="0" t="s">
        <v>330</v>
      </c>
      <c r="F259" s="0" t="s">
        <v>326</v>
      </c>
    </row>
    <row r="260" customFormat="false" ht="15" hidden="false" customHeight="false" outlineLevel="0" collapsed="false">
      <c r="A260" s="0" t="n">
        <v>259</v>
      </c>
      <c r="B260" s="0" t="s">
        <v>124</v>
      </c>
      <c r="C260" s="0" t="s">
        <v>348</v>
      </c>
      <c r="D260" s="0" t="s">
        <v>330</v>
      </c>
      <c r="F260" s="0" t="s">
        <v>349</v>
      </c>
    </row>
    <row r="261" customFormat="false" ht="15" hidden="false" customHeight="false" outlineLevel="0" collapsed="false">
      <c r="A261" s="0" t="n">
        <v>260</v>
      </c>
      <c r="B261" s="0" t="s">
        <v>124</v>
      </c>
      <c r="C261" s="0" t="s">
        <v>341</v>
      </c>
      <c r="D261" s="0" t="s">
        <v>330</v>
      </c>
      <c r="F261" s="0" t="s">
        <v>341</v>
      </c>
    </row>
    <row r="262" customFormat="false" ht="15" hidden="false" customHeight="false" outlineLevel="0" collapsed="false">
      <c r="A262" s="0" t="n">
        <v>261</v>
      </c>
      <c r="B262" s="0" t="s">
        <v>127</v>
      </c>
      <c r="C262" s="0" t="s">
        <v>321</v>
      </c>
      <c r="D262" s="0" t="s">
        <v>515</v>
      </c>
      <c r="F262" s="0" t="s">
        <v>323</v>
      </c>
    </row>
    <row r="263" customFormat="false" ht="15" hidden="false" customHeight="false" outlineLevel="0" collapsed="false">
      <c r="A263" s="0" t="n">
        <v>262</v>
      </c>
      <c r="B263" s="0" t="s">
        <v>127</v>
      </c>
      <c r="C263" s="0" t="s">
        <v>516</v>
      </c>
      <c r="D263" s="0" t="s">
        <v>330</v>
      </c>
      <c r="F263" s="0" t="s">
        <v>326</v>
      </c>
    </row>
    <row r="264" customFormat="false" ht="15" hidden="false" customHeight="false" outlineLevel="0" collapsed="false">
      <c r="A264" s="0" t="n">
        <v>263</v>
      </c>
      <c r="B264" s="0" t="s">
        <v>127</v>
      </c>
      <c r="C264" s="0" t="s">
        <v>348</v>
      </c>
      <c r="D264" s="0" t="s">
        <v>330</v>
      </c>
      <c r="F264" s="0" t="s">
        <v>349</v>
      </c>
    </row>
    <row r="265" customFormat="false" ht="15" hidden="false" customHeight="false" outlineLevel="0" collapsed="false">
      <c r="A265" s="0" t="n">
        <v>264</v>
      </c>
      <c r="B265" s="0" t="s">
        <v>127</v>
      </c>
      <c r="C265" s="0" t="s">
        <v>517</v>
      </c>
      <c r="D265" s="0" t="s">
        <v>330</v>
      </c>
      <c r="F265" s="0" t="s">
        <v>340</v>
      </c>
    </row>
    <row r="266" customFormat="false" ht="15" hidden="false" customHeight="false" outlineLevel="0" collapsed="false">
      <c r="A266" s="0" t="n">
        <v>265</v>
      </c>
      <c r="B266" s="0" t="s">
        <v>127</v>
      </c>
      <c r="C266" s="0" t="s">
        <v>334</v>
      </c>
      <c r="D266" s="0" t="s">
        <v>330</v>
      </c>
      <c r="F266" s="0" t="s">
        <v>334</v>
      </c>
    </row>
    <row r="267" customFormat="false" ht="15" hidden="false" customHeight="false" outlineLevel="0" collapsed="false">
      <c r="A267" s="0" t="n">
        <v>266</v>
      </c>
      <c r="B267" s="0" t="s">
        <v>127</v>
      </c>
      <c r="C267" s="0" t="s">
        <v>329</v>
      </c>
      <c r="D267" s="0" t="s">
        <v>330</v>
      </c>
      <c r="F267" s="0" t="s">
        <v>329</v>
      </c>
    </row>
    <row r="268" customFormat="false" ht="15" hidden="false" customHeight="false" outlineLevel="0" collapsed="false">
      <c r="A268" s="0" t="n">
        <v>267</v>
      </c>
      <c r="B268" s="0" t="s">
        <v>127</v>
      </c>
      <c r="C268" s="0" t="s">
        <v>356</v>
      </c>
      <c r="D268" s="0" t="s">
        <v>330</v>
      </c>
      <c r="F268" s="0" t="s">
        <v>332</v>
      </c>
    </row>
    <row r="269" customFormat="false" ht="15" hidden="false" customHeight="false" outlineLevel="0" collapsed="false">
      <c r="A269" s="0" t="n">
        <v>268</v>
      </c>
      <c r="B269" s="0" t="s">
        <v>127</v>
      </c>
      <c r="C269" s="0" t="s">
        <v>518</v>
      </c>
      <c r="D269" s="0" t="s">
        <v>330</v>
      </c>
    </row>
    <row r="270" customFormat="false" ht="15" hidden="false" customHeight="false" outlineLevel="0" collapsed="false">
      <c r="A270" s="0" t="n">
        <v>269</v>
      </c>
      <c r="B270" s="0" t="s">
        <v>127</v>
      </c>
      <c r="C270" s="0" t="s">
        <v>357</v>
      </c>
      <c r="D270" s="0" t="s">
        <v>330</v>
      </c>
      <c r="F270" s="0" t="s">
        <v>342</v>
      </c>
    </row>
    <row r="271" customFormat="false" ht="15" hidden="false" customHeight="false" outlineLevel="0" collapsed="false">
      <c r="A271" s="0" t="n">
        <v>270</v>
      </c>
      <c r="B271" s="0" t="s">
        <v>127</v>
      </c>
      <c r="C271" s="0" t="s">
        <v>519</v>
      </c>
      <c r="D271" s="0" t="s">
        <v>330</v>
      </c>
    </row>
    <row r="272" customFormat="false" ht="15" hidden="false" customHeight="false" outlineLevel="0" collapsed="false">
      <c r="A272" s="0" t="n">
        <v>271</v>
      </c>
      <c r="B272" s="0" t="s">
        <v>130</v>
      </c>
      <c r="C272" s="0" t="s">
        <v>488</v>
      </c>
      <c r="D272" s="0" t="s">
        <v>520</v>
      </c>
      <c r="F272" s="0" t="s">
        <v>326</v>
      </c>
    </row>
    <row r="273" customFormat="false" ht="15" hidden="false" customHeight="false" outlineLevel="0" collapsed="false">
      <c r="A273" s="0" t="n">
        <v>272</v>
      </c>
      <c r="B273" s="0" t="s">
        <v>130</v>
      </c>
      <c r="C273" s="0" t="s">
        <v>521</v>
      </c>
      <c r="D273" s="0" t="s">
        <v>330</v>
      </c>
      <c r="F273" s="0" t="s">
        <v>323</v>
      </c>
    </row>
    <row r="274" customFormat="false" ht="15" hidden="false" customHeight="false" outlineLevel="0" collapsed="false">
      <c r="A274" s="0" t="n">
        <v>273</v>
      </c>
      <c r="B274" s="0" t="s">
        <v>130</v>
      </c>
      <c r="C274" s="0" t="s">
        <v>404</v>
      </c>
      <c r="D274" s="0" t="s">
        <v>330</v>
      </c>
      <c r="F274" s="0" t="s">
        <v>349</v>
      </c>
    </row>
    <row r="275" customFormat="false" ht="15" hidden="false" customHeight="false" outlineLevel="0" collapsed="false">
      <c r="A275" s="0" t="n">
        <v>274</v>
      </c>
      <c r="B275" s="0" t="s">
        <v>130</v>
      </c>
      <c r="C275" s="0" t="s">
        <v>445</v>
      </c>
      <c r="D275" s="0" t="s">
        <v>330</v>
      </c>
      <c r="F275" s="0" t="s">
        <v>355</v>
      </c>
    </row>
    <row r="276" customFormat="false" ht="15" hidden="false" customHeight="false" outlineLevel="0" collapsed="false">
      <c r="A276" s="0" t="n">
        <v>275</v>
      </c>
      <c r="B276" s="0" t="s">
        <v>130</v>
      </c>
      <c r="C276" s="0" t="s">
        <v>348</v>
      </c>
      <c r="D276" s="0" t="s">
        <v>330</v>
      </c>
      <c r="F276" s="0" t="s">
        <v>349</v>
      </c>
    </row>
    <row r="277" customFormat="false" ht="15" hidden="false" customHeight="false" outlineLevel="0" collapsed="false">
      <c r="A277" s="0" t="n">
        <v>276</v>
      </c>
      <c r="B277" s="0" t="s">
        <v>130</v>
      </c>
      <c r="C277" s="0" t="s">
        <v>351</v>
      </c>
      <c r="D277" s="0" t="s">
        <v>330</v>
      </c>
      <c r="F277" s="0" t="s">
        <v>351</v>
      </c>
    </row>
    <row r="278" customFormat="false" ht="15" hidden="false" customHeight="false" outlineLevel="0" collapsed="false">
      <c r="A278" s="0" t="n">
        <v>277</v>
      </c>
      <c r="B278" s="0" t="s">
        <v>130</v>
      </c>
      <c r="C278" s="0" t="s">
        <v>329</v>
      </c>
      <c r="D278" s="0" t="s">
        <v>330</v>
      </c>
      <c r="F278" s="0" t="s">
        <v>329</v>
      </c>
    </row>
    <row r="279" customFormat="false" ht="15" hidden="false" customHeight="false" outlineLevel="0" collapsed="false">
      <c r="A279" s="0" t="n">
        <v>278</v>
      </c>
      <c r="B279" s="0" t="s">
        <v>130</v>
      </c>
      <c r="C279" s="0" t="s">
        <v>395</v>
      </c>
      <c r="D279" s="0" t="s">
        <v>330</v>
      </c>
      <c r="F279" s="0" t="s">
        <v>332</v>
      </c>
    </row>
    <row r="280" customFormat="false" ht="15" hidden="false" customHeight="false" outlineLevel="0" collapsed="false">
      <c r="A280" s="0" t="n">
        <v>279</v>
      </c>
      <c r="B280" s="0" t="s">
        <v>130</v>
      </c>
      <c r="C280" s="0" t="s">
        <v>522</v>
      </c>
      <c r="D280" s="0" t="s">
        <v>330</v>
      </c>
      <c r="F280" s="0" t="s">
        <v>332</v>
      </c>
    </row>
    <row r="281" customFormat="false" ht="15" hidden="false" customHeight="false" outlineLevel="0" collapsed="false">
      <c r="A281" s="0" t="n">
        <v>280</v>
      </c>
      <c r="B281" s="0" t="s">
        <v>130</v>
      </c>
      <c r="C281" s="0" t="s">
        <v>523</v>
      </c>
      <c r="D281" s="0" t="s">
        <v>330</v>
      </c>
      <c r="F281" s="0" t="s">
        <v>340</v>
      </c>
    </row>
    <row r="282" customFormat="false" ht="15" hidden="false" customHeight="false" outlineLevel="0" collapsed="false">
      <c r="A282" s="0" t="n">
        <v>281</v>
      </c>
      <c r="B282" s="0" t="s">
        <v>130</v>
      </c>
      <c r="C282" s="0" t="s">
        <v>524</v>
      </c>
      <c r="D282" s="0" t="s">
        <v>330</v>
      </c>
      <c r="F282" s="0" t="s">
        <v>342</v>
      </c>
    </row>
    <row r="283" customFormat="false" ht="15" hidden="false" customHeight="false" outlineLevel="0" collapsed="false">
      <c r="A283" s="0" t="n">
        <v>282</v>
      </c>
      <c r="B283" s="0" t="s">
        <v>133</v>
      </c>
      <c r="C283" s="0" t="s">
        <v>329</v>
      </c>
      <c r="D283" s="0" t="s">
        <v>330</v>
      </c>
      <c r="F283" s="0" t="s">
        <v>329</v>
      </c>
    </row>
    <row r="284" customFormat="false" ht="15" hidden="false" customHeight="false" outlineLevel="0" collapsed="false">
      <c r="A284" s="0" t="n">
        <v>283</v>
      </c>
      <c r="B284" s="0" t="s">
        <v>133</v>
      </c>
      <c r="C284" s="0" t="s">
        <v>333</v>
      </c>
      <c r="D284" s="0" t="s">
        <v>330</v>
      </c>
    </row>
    <row r="285" customFormat="false" ht="15" hidden="false" customHeight="false" outlineLevel="0" collapsed="false">
      <c r="A285" s="0" t="n">
        <v>284</v>
      </c>
      <c r="B285" s="0" t="s">
        <v>133</v>
      </c>
      <c r="C285" s="0" t="s">
        <v>321</v>
      </c>
      <c r="D285" s="0" t="s">
        <v>330</v>
      </c>
      <c r="F285" s="0" t="s">
        <v>323</v>
      </c>
    </row>
    <row r="286" customFormat="false" ht="15" hidden="false" customHeight="false" outlineLevel="0" collapsed="false">
      <c r="A286" s="0" t="n">
        <v>285</v>
      </c>
      <c r="B286" s="0" t="s">
        <v>133</v>
      </c>
      <c r="C286" s="0" t="s">
        <v>525</v>
      </c>
      <c r="D286" s="0" t="s">
        <v>330</v>
      </c>
      <c r="F286" s="0" t="s">
        <v>326</v>
      </c>
    </row>
    <row r="287" customFormat="false" ht="15" hidden="false" customHeight="false" outlineLevel="0" collapsed="false">
      <c r="A287" s="0" t="n">
        <v>286</v>
      </c>
      <c r="B287" s="0" t="s">
        <v>133</v>
      </c>
      <c r="C287" s="0" t="s">
        <v>334</v>
      </c>
      <c r="D287" s="0" t="s">
        <v>330</v>
      </c>
      <c r="F287" s="0" t="s">
        <v>334</v>
      </c>
    </row>
    <row r="288" customFormat="false" ht="15" hidden="false" customHeight="false" outlineLevel="0" collapsed="false">
      <c r="A288" s="0" t="n">
        <v>287</v>
      </c>
      <c r="B288" s="0" t="s">
        <v>133</v>
      </c>
      <c r="C288" s="0" t="s">
        <v>351</v>
      </c>
      <c r="D288" s="0" t="s">
        <v>330</v>
      </c>
      <c r="F288" s="0" t="s">
        <v>351</v>
      </c>
    </row>
    <row r="289" customFormat="false" ht="15" hidden="false" customHeight="false" outlineLevel="0" collapsed="false">
      <c r="A289" s="0" t="n">
        <v>288</v>
      </c>
      <c r="B289" s="0" t="s">
        <v>133</v>
      </c>
      <c r="C289" s="0" t="s">
        <v>445</v>
      </c>
      <c r="D289" s="0" t="s">
        <v>330</v>
      </c>
      <c r="F289" s="0" t="s">
        <v>355</v>
      </c>
    </row>
    <row r="290" customFormat="false" ht="15" hidden="false" customHeight="false" outlineLevel="0" collapsed="false">
      <c r="A290" s="0" t="n">
        <v>289</v>
      </c>
      <c r="B290" s="0" t="s">
        <v>133</v>
      </c>
      <c r="C290" s="0" t="s">
        <v>348</v>
      </c>
      <c r="D290" s="0" t="s">
        <v>330</v>
      </c>
      <c r="F290" s="0" t="s">
        <v>349</v>
      </c>
    </row>
    <row r="291" customFormat="false" ht="15" hidden="false" customHeight="false" outlineLevel="0" collapsed="false">
      <c r="A291" s="0" t="n">
        <v>290</v>
      </c>
      <c r="B291" s="0" t="s">
        <v>133</v>
      </c>
      <c r="C291" s="0" t="s">
        <v>526</v>
      </c>
      <c r="D291" s="0" t="s">
        <v>330</v>
      </c>
      <c r="F291" s="0" t="s">
        <v>363</v>
      </c>
    </row>
    <row r="292" customFormat="false" ht="15" hidden="false" customHeight="false" outlineLevel="0" collapsed="false">
      <c r="A292" s="0" t="n">
        <v>291</v>
      </c>
      <c r="B292" s="0" t="s">
        <v>136</v>
      </c>
      <c r="C292" s="0" t="s">
        <v>329</v>
      </c>
      <c r="D292" s="0" t="s">
        <v>527</v>
      </c>
      <c r="F292" s="0" t="s">
        <v>329</v>
      </c>
    </row>
    <row r="293" customFormat="false" ht="15" hidden="false" customHeight="false" outlineLevel="0" collapsed="false">
      <c r="A293" s="0" t="n">
        <v>292</v>
      </c>
      <c r="B293" s="0" t="s">
        <v>136</v>
      </c>
      <c r="C293" s="0" t="s">
        <v>321</v>
      </c>
      <c r="D293" s="0" t="s">
        <v>330</v>
      </c>
      <c r="F293" s="0" t="s">
        <v>323</v>
      </c>
    </row>
    <row r="294" customFormat="false" ht="15" hidden="false" customHeight="false" outlineLevel="0" collapsed="false">
      <c r="A294" s="0" t="n">
        <v>293</v>
      </c>
      <c r="B294" s="0" t="s">
        <v>136</v>
      </c>
      <c r="C294" s="0" t="s">
        <v>390</v>
      </c>
      <c r="D294" s="0" t="s">
        <v>330</v>
      </c>
      <c r="F294" s="0" t="s">
        <v>386</v>
      </c>
    </row>
    <row r="295" customFormat="false" ht="15" hidden="false" customHeight="false" outlineLevel="0" collapsed="false">
      <c r="A295" s="0" t="n">
        <v>294</v>
      </c>
      <c r="B295" s="0" t="s">
        <v>139</v>
      </c>
      <c r="C295" s="0" t="s">
        <v>321</v>
      </c>
      <c r="D295" s="0" t="s">
        <v>330</v>
      </c>
      <c r="F295" s="0" t="s">
        <v>323</v>
      </c>
    </row>
    <row r="296" customFormat="false" ht="15" hidden="false" customHeight="false" outlineLevel="0" collapsed="false">
      <c r="A296" s="0" t="n">
        <v>295</v>
      </c>
      <c r="B296" s="0" t="s">
        <v>139</v>
      </c>
      <c r="C296" s="0" t="s">
        <v>433</v>
      </c>
      <c r="D296" s="0" t="s">
        <v>330</v>
      </c>
      <c r="F296" s="0" t="s">
        <v>326</v>
      </c>
    </row>
    <row r="297" customFormat="false" ht="15" hidden="false" customHeight="false" outlineLevel="0" collapsed="false">
      <c r="A297" s="0" t="n">
        <v>296</v>
      </c>
      <c r="B297" s="0" t="s">
        <v>139</v>
      </c>
      <c r="C297" s="0" t="s">
        <v>351</v>
      </c>
      <c r="D297" s="0" t="s">
        <v>330</v>
      </c>
      <c r="F297" s="0" t="s">
        <v>351</v>
      </c>
    </row>
    <row r="298" customFormat="false" ht="15" hidden="false" customHeight="false" outlineLevel="0" collapsed="false">
      <c r="A298" s="0" t="n">
        <v>297</v>
      </c>
      <c r="B298" s="0" t="s">
        <v>139</v>
      </c>
      <c r="C298" s="0" t="s">
        <v>333</v>
      </c>
      <c r="D298" s="0" t="s">
        <v>330</v>
      </c>
    </row>
    <row r="299" customFormat="false" ht="15" hidden="false" customHeight="false" outlineLevel="0" collapsed="false">
      <c r="A299" s="0" t="n">
        <v>298</v>
      </c>
      <c r="B299" s="0" t="s">
        <v>139</v>
      </c>
      <c r="C299" s="0" t="s">
        <v>372</v>
      </c>
      <c r="D299" s="0" t="s">
        <v>330</v>
      </c>
    </row>
    <row r="300" customFormat="false" ht="15" hidden="false" customHeight="false" outlineLevel="0" collapsed="false">
      <c r="A300" s="0" t="n">
        <v>299</v>
      </c>
      <c r="B300" s="0" t="s">
        <v>139</v>
      </c>
      <c r="C300" s="0" t="s">
        <v>334</v>
      </c>
      <c r="D300" s="0" t="s">
        <v>330</v>
      </c>
      <c r="F300" s="0" t="s">
        <v>334</v>
      </c>
    </row>
    <row r="301" customFormat="false" ht="15" hidden="false" customHeight="false" outlineLevel="0" collapsed="false">
      <c r="A301" s="0" t="n">
        <v>300</v>
      </c>
      <c r="B301" s="0" t="s">
        <v>139</v>
      </c>
      <c r="C301" s="0" t="s">
        <v>329</v>
      </c>
      <c r="D301" s="0" t="s">
        <v>330</v>
      </c>
      <c r="F301" s="0" t="s">
        <v>329</v>
      </c>
    </row>
    <row r="302" customFormat="false" ht="15" hidden="false" customHeight="false" outlineLevel="0" collapsed="false">
      <c r="A302" s="0" t="n">
        <v>301</v>
      </c>
      <c r="B302" s="0" t="s">
        <v>142</v>
      </c>
      <c r="C302" s="0" t="s">
        <v>321</v>
      </c>
      <c r="D302" s="0" t="s">
        <v>528</v>
      </c>
      <c r="F302" s="0" t="s">
        <v>323</v>
      </c>
    </row>
    <row r="303" customFormat="false" ht="15" hidden="false" customHeight="false" outlineLevel="0" collapsed="false">
      <c r="A303" s="0" t="n">
        <v>302</v>
      </c>
      <c r="B303" s="0" t="s">
        <v>142</v>
      </c>
      <c r="C303" s="0" t="s">
        <v>365</v>
      </c>
      <c r="D303" s="0" t="s">
        <v>330</v>
      </c>
      <c r="F303" s="0" t="s">
        <v>326</v>
      </c>
    </row>
    <row r="304" customFormat="false" ht="15" hidden="false" customHeight="false" outlineLevel="0" collapsed="false">
      <c r="A304" s="0" t="n">
        <v>303</v>
      </c>
      <c r="B304" s="0" t="s">
        <v>142</v>
      </c>
      <c r="C304" s="0" t="s">
        <v>338</v>
      </c>
      <c r="D304" s="0" t="s">
        <v>330</v>
      </c>
    </row>
    <row r="305" customFormat="false" ht="15" hidden="false" customHeight="false" outlineLevel="0" collapsed="false">
      <c r="A305" s="0" t="n">
        <v>304</v>
      </c>
      <c r="B305" s="0" t="s">
        <v>142</v>
      </c>
      <c r="C305" s="0" t="s">
        <v>369</v>
      </c>
      <c r="D305" s="0" t="s">
        <v>330</v>
      </c>
      <c r="F305" s="0" t="s">
        <v>369</v>
      </c>
    </row>
    <row r="306" customFormat="false" ht="15" hidden="false" customHeight="false" outlineLevel="0" collapsed="false">
      <c r="A306" s="0" t="n">
        <v>305</v>
      </c>
      <c r="B306" s="0" t="s">
        <v>142</v>
      </c>
      <c r="C306" s="0" t="s">
        <v>334</v>
      </c>
      <c r="D306" s="0" t="s">
        <v>330</v>
      </c>
      <c r="F306" s="0" t="s">
        <v>334</v>
      </c>
    </row>
    <row r="307" customFormat="false" ht="15" hidden="false" customHeight="false" outlineLevel="0" collapsed="false">
      <c r="A307" s="0" t="n">
        <v>306</v>
      </c>
      <c r="B307" s="0" t="s">
        <v>142</v>
      </c>
      <c r="C307" s="0" t="s">
        <v>342</v>
      </c>
      <c r="D307" s="0" t="s">
        <v>330</v>
      </c>
      <c r="F307" s="0" t="s">
        <v>342</v>
      </c>
    </row>
    <row r="308" customFormat="false" ht="15" hidden="false" customHeight="false" outlineLevel="0" collapsed="false">
      <c r="A308" s="0" t="n">
        <v>307</v>
      </c>
      <c r="B308" s="0" t="s">
        <v>142</v>
      </c>
      <c r="C308" s="0" t="s">
        <v>341</v>
      </c>
      <c r="D308" s="0" t="s">
        <v>330</v>
      </c>
      <c r="F308" s="0" t="s">
        <v>341</v>
      </c>
    </row>
    <row r="309" customFormat="false" ht="15" hidden="false" customHeight="false" outlineLevel="0" collapsed="false">
      <c r="A309" s="0" t="n">
        <v>308</v>
      </c>
      <c r="B309" s="0" t="s">
        <v>142</v>
      </c>
      <c r="C309" s="0" t="s">
        <v>526</v>
      </c>
      <c r="D309" s="0" t="s">
        <v>330</v>
      </c>
      <c r="F309" s="0" t="s">
        <v>363</v>
      </c>
    </row>
    <row r="310" customFormat="false" ht="15" hidden="false" customHeight="false" outlineLevel="0" collapsed="false">
      <c r="A310" s="0" t="n">
        <v>309</v>
      </c>
      <c r="B310" s="0" t="s">
        <v>142</v>
      </c>
      <c r="C310" s="0" t="s">
        <v>329</v>
      </c>
      <c r="D310" s="0" t="s">
        <v>330</v>
      </c>
      <c r="F310" s="0" t="s">
        <v>329</v>
      </c>
    </row>
    <row r="311" customFormat="false" ht="15" hidden="false" customHeight="false" outlineLevel="0" collapsed="false">
      <c r="A311" s="0" t="n">
        <v>310</v>
      </c>
      <c r="B311" s="0" t="s">
        <v>142</v>
      </c>
      <c r="C311" s="0" t="s">
        <v>529</v>
      </c>
      <c r="D311" s="0" t="s">
        <v>330</v>
      </c>
      <c r="F311" s="0" t="s">
        <v>386</v>
      </c>
    </row>
    <row r="312" customFormat="false" ht="15" hidden="false" customHeight="false" outlineLevel="0" collapsed="false">
      <c r="A312" s="0" t="n">
        <v>311</v>
      </c>
      <c r="B312" s="0" t="s">
        <v>145</v>
      </c>
      <c r="C312" s="0" t="s">
        <v>321</v>
      </c>
      <c r="D312" s="0" t="s">
        <v>330</v>
      </c>
      <c r="F312" s="0" t="s">
        <v>323</v>
      </c>
    </row>
    <row r="313" customFormat="false" ht="15" hidden="false" customHeight="false" outlineLevel="0" collapsed="false">
      <c r="A313" s="0" t="n">
        <v>312</v>
      </c>
      <c r="B313" s="0" t="s">
        <v>145</v>
      </c>
      <c r="C313" s="0" t="s">
        <v>387</v>
      </c>
      <c r="D313" s="0" t="s">
        <v>330</v>
      </c>
      <c r="F313" s="0" t="s">
        <v>326</v>
      </c>
    </row>
    <row r="314" customFormat="false" ht="15" hidden="false" customHeight="false" outlineLevel="0" collapsed="false">
      <c r="A314" s="0" t="n">
        <v>313</v>
      </c>
      <c r="B314" s="0" t="s">
        <v>145</v>
      </c>
      <c r="C314" s="0" t="s">
        <v>530</v>
      </c>
      <c r="D314" s="0" t="s">
        <v>330</v>
      </c>
      <c r="F314" s="0" t="s">
        <v>334</v>
      </c>
    </row>
    <row r="315" customFormat="false" ht="15" hidden="false" customHeight="false" outlineLevel="0" collapsed="false">
      <c r="A315" s="0" t="n">
        <v>314</v>
      </c>
      <c r="B315" s="0" t="s">
        <v>145</v>
      </c>
      <c r="C315" s="0" t="s">
        <v>531</v>
      </c>
      <c r="D315" s="0" t="s">
        <v>330</v>
      </c>
      <c r="F315" s="0" t="s">
        <v>349</v>
      </c>
    </row>
    <row r="316" customFormat="false" ht="15" hidden="false" customHeight="false" outlineLevel="0" collapsed="false">
      <c r="A316" s="0" t="n">
        <v>315</v>
      </c>
      <c r="B316" s="0" t="s">
        <v>145</v>
      </c>
      <c r="C316" s="0" t="s">
        <v>445</v>
      </c>
      <c r="D316" s="0" t="s">
        <v>330</v>
      </c>
      <c r="F316" s="0" t="s">
        <v>355</v>
      </c>
    </row>
    <row r="317" customFormat="false" ht="15" hidden="false" customHeight="false" outlineLevel="0" collapsed="false">
      <c r="A317" s="0" t="n">
        <v>316</v>
      </c>
      <c r="B317" s="0" t="s">
        <v>145</v>
      </c>
      <c r="C317" s="0" t="s">
        <v>342</v>
      </c>
      <c r="D317" s="0" t="s">
        <v>330</v>
      </c>
      <c r="F317" s="0" t="s">
        <v>342</v>
      </c>
    </row>
    <row r="318" customFormat="false" ht="15" hidden="false" customHeight="false" outlineLevel="0" collapsed="false">
      <c r="A318" s="0" t="n">
        <v>317</v>
      </c>
      <c r="B318" s="0" t="s">
        <v>145</v>
      </c>
      <c r="C318" s="0" t="s">
        <v>532</v>
      </c>
      <c r="D318" s="0" t="s">
        <v>330</v>
      </c>
    </row>
    <row r="319" customFormat="false" ht="15" hidden="false" customHeight="false" outlineLevel="0" collapsed="false">
      <c r="A319" s="0" t="n">
        <v>318</v>
      </c>
      <c r="B319" s="0" t="s">
        <v>148</v>
      </c>
      <c r="C319" s="0" t="s">
        <v>321</v>
      </c>
      <c r="D319" s="0" t="s">
        <v>330</v>
      </c>
      <c r="F319" s="0" t="s">
        <v>323</v>
      </c>
    </row>
    <row r="320" customFormat="false" ht="15" hidden="false" customHeight="false" outlineLevel="0" collapsed="false">
      <c r="A320" s="0" t="n">
        <v>319</v>
      </c>
      <c r="B320" s="0" t="s">
        <v>148</v>
      </c>
      <c r="C320" s="0" t="s">
        <v>533</v>
      </c>
      <c r="D320" s="0" t="s">
        <v>330</v>
      </c>
    </row>
    <row r="321" customFormat="false" ht="15" hidden="false" customHeight="false" outlineLevel="0" collapsed="false">
      <c r="A321" s="0" t="n">
        <v>320</v>
      </c>
      <c r="B321" s="0" t="s">
        <v>152</v>
      </c>
      <c r="C321" s="0" t="s">
        <v>365</v>
      </c>
      <c r="D321" s="0" t="s">
        <v>330</v>
      </c>
      <c r="F321" s="0" t="s">
        <v>326</v>
      </c>
    </row>
    <row r="322" customFormat="false" ht="15" hidden="false" customHeight="false" outlineLevel="0" collapsed="false">
      <c r="A322" s="0" t="n">
        <v>321</v>
      </c>
      <c r="B322" s="0" t="s">
        <v>152</v>
      </c>
      <c r="C322" s="0" t="s">
        <v>534</v>
      </c>
      <c r="D322" s="0" t="s">
        <v>330</v>
      </c>
      <c r="F322" s="0" t="s">
        <v>323</v>
      </c>
    </row>
    <row r="323" customFormat="false" ht="15" hidden="false" customHeight="false" outlineLevel="0" collapsed="false">
      <c r="A323" s="0" t="n">
        <v>322</v>
      </c>
      <c r="B323" s="0" t="s">
        <v>152</v>
      </c>
      <c r="C323" s="0" t="s">
        <v>535</v>
      </c>
      <c r="D323" s="0" t="s">
        <v>330</v>
      </c>
      <c r="F323" s="0" t="s">
        <v>332</v>
      </c>
    </row>
    <row r="324" customFormat="false" ht="15" hidden="false" customHeight="false" outlineLevel="0" collapsed="false">
      <c r="A324" s="0" t="n">
        <v>323</v>
      </c>
      <c r="B324" s="0" t="s">
        <v>152</v>
      </c>
      <c r="C324" s="0" t="s">
        <v>334</v>
      </c>
      <c r="D324" s="0" t="s">
        <v>330</v>
      </c>
      <c r="F324" s="0" t="s">
        <v>334</v>
      </c>
    </row>
    <row r="325" customFormat="false" ht="15" hidden="false" customHeight="false" outlineLevel="0" collapsed="false">
      <c r="A325" s="0" t="n">
        <v>324</v>
      </c>
      <c r="B325" s="0" t="s">
        <v>155</v>
      </c>
      <c r="C325" s="0" t="s">
        <v>536</v>
      </c>
      <c r="D325" s="0" t="s">
        <v>537</v>
      </c>
      <c r="F325" s="0" t="s">
        <v>323</v>
      </c>
    </row>
    <row r="326" customFormat="false" ht="15" hidden="false" customHeight="false" outlineLevel="0" collapsed="false">
      <c r="A326" s="0" t="n">
        <v>325</v>
      </c>
      <c r="B326" s="0" t="s">
        <v>155</v>
      </c>
      <c r="C326" s="0" t="s">
        <v>345</v>
      </c>
      <c r="D326" s="0" t="s">
        <v>330</v>
      </c>
      <c r="F326" s="0" t="s">
        <v>323</v>
      </c>
    </row>
    <row r="327" customFormat="false" ht="15" hidden="false" customHeight="false" outlineLevel="0" collapsed="false">
      <c r="A327" s="0" t="n">
        <v>326</v>
      </c>
      <c r="B327" s="0" t="s">
        <v>155</v>
      </c>
      <c r="C327" s="0" t="s">
        <v>365</v>
      </c>
      <c r="D327" s="0" t="s">
        <v>330</v>
      </c>
      <c r="F327" s="0" t="s">
        <v>326</v>
      </c>
    </row>
    <row r="328" customFormat="false" ht="15" hidden="false" customHeight="false" outlineLevel="0" collapsed="false">
      <c r="A328" s="0" t="n">
        <v>327</v>
      </c>
      <c r="B328" s="0" t="s">
        <v>155</v>
      </c>
      <c r="C328" s="0" t="s">
        <v>538</v>
      </c>
      <c r="D328" s="0" t="s">
        <v>330</v>
      </c>
    </row>
    <row r="329" customFormat="false" ht="15" hidden="false" customHeight="false" outlineLevel="0" collapsed="false">
      <c r="A329" s="0" t="n">
        <v>328</v>
      </c>
      <c r="B329" s="0" t="s">
        <v>158</v>
      </c>
      <c r="C329" s="0" t="s">
        <v>321</v>
      </c>
      <c r="D329" s="0" t="s">
        <v>539</v>
      </c>
      <c r="F329" s="0" t="s">
        <v>323</v>
      </c>
    </row>
    <row r="330" customFormat="false" ht="15" hidden="false" customHeight="false" outlineLevel="0" collapsed="false">
      <c r="A330" s="0" t="n">
        <v>329</v>
      </c>
      <c r="B330" s="0" t="s">
        <v>158</v>
      </c>
      <c r="C330" s="0" t="s">
        <v>540</v>
      </c>
      <c r="D330" s="0" t="s">
        <v>330</v>
      </c>
      <c r="F330" s="0" t="s">
        <v>326</v>
      </c>
    </row>
    <row r="331" customFormat="false" ht="15" hidden="false" customHeight="false" outlineLevel="0" collapsed="false">
      <c r="A331" s="0" t="n">
        <v>330</v>
      </c>
      <c r="B331" s="0" t="s">
        <v>158</v>
      </c>
      <c r="C331" s="0" t="s">
        <v>541</v>
      </c>
      <c r="D331" s="0" t="s">
        <v>330</v>
      </c>
      <c r="F331" s="0" t="s">
        <v>363</v>
      </c>
    </row>
    <row r="332" customFormat="false" ht="15" hidden="false" customHeight="false" outlineLevel="0" collapsed="false">
      <c r="A332" s="0" t="n">
        <v>331</v>
      </c>
      <c r="B332" s="0" t="s">
        <v>158</v>
      </c>
      <c r="C332" s="0" t="s">
        <v>391</v>
      </c>
      <c r="D332" s="0" t="s">
        <v>330</v>
      </c>
      <c r="F332" s="0" t="s">
        <v>341</v>
      </c>
    </row>
    <row r="333" customFormat="false" ht="15" hidden="false" customHeight="false" outlineLevel="0" collapsed="false">
      <c r="A333" s="0" t="n">
        <v>332</v>
      </c>
      <c r="B333" s="0" t="s">
        <v>158</v>
      </c>
      <c r="C333" s="0" t="s">
        <v>351</v>
      </c>
      <c r="D333" s="0" t="s">
        <v>330</v>
      </c>
      <c r="F333" s="0" t="s">
        <v>351</v>
      </c>
    </row>
    <row r="334" customFormat="false" ht="15" hidden="false" customHeight="false" outlineLevel="0" collapsed="false">
      <c r="A334" s="0" t="n">
        <v>333</v>
      </c>
      <c r="B334" s="0" t="s">
        <v>158</v>
      </c>
      <c r="C334" s="0" t="s">
        <v>542</v>
      </c>
      <c r="D334" s="0" t="s">
        <v>330</v>
      </c>
      <c r="F334" s="0" t="s">
        <v>326</v>
      </c>
    </row>
    <row r="335" customFormat="false" ht="15" hidden="false" customHeight="false" outlineLevel="0" collapsed="false">
      <c r="A335" s="0" t="n">
        <v>334</v>
      </c>
      <c r="B335" s="0" t="s">
        <v>161</v>
      </c>
      <c r="C335" s="0" t="s">
        <v>383</v>
      </c>
      <c r="D335" s="0" t="s">
        <v>330</v>
      </c>
    </row>
    <row r="336" customFormat="false" ht="15" hidden="false" customHeight="false" outlineLevel="0" collapsed="false">
      <c r="A336" s="0" t="n">
        <v>335</v>
      </c>
      <c r="B336" s="0" t="s">
        <v>161</v>
      </c>
      <c r="C336" s="0" t="s">
        <v>543</v>
      </c>
      <c r="D336" s="0" t="s">
        <v>330</v>
      </c>
      <c r="F336" s="0" t="s">
        <v>340</v>
      </c>
    </row>
    <row r="337" customFormat="false" ht="15" hidden="false" customHeight="false" outlineLevel="0" collapsed="false">
      <c r="A337" s="0" t="n">
        <v>336</v>
      </c>
      <c r="B337" s="0" t="s">
        <v>164</v>
      </c>
      <c r="C337" s="0" t="s">
        <v>321</v>
      </c>
      <c r="D337" s="0" t="s">
        <v>330</v>
      </c>
      <c r="F337" s="0" t="s">
        <v>323</v>
      </c>
    </row>
    <row r="338" customFormat="false" ht="15" hidden="false" customHeight="false" outlineLevel="0" collapsed="false">
      <c r="A338" s="0" t="n">
        <v>337</v>
      </c>
      <c r="B338" s="0" t="s">
        <v>164</v>
      </c>
      <c r="C338" s="0" t="s">
        <v>324</v>
      </c>
      <c r="D338" s="0" t="s">
        <v>330</v>
      </c>
      <c r="F338" s="0" t="s">
        <v>326</v>
      </c>
    </row>
    <row r="339" customFormat="false" ht="15" hidden="false" customHeight="false" outlineLevel="0" collapsed="false">
      <c r="A339" s="0" t="n">
        <v>338</v>
      </c>
      <c r="B339" s="0" t="s">
        <v>164</v>
      </c>
      <c r="C339" s="0" t="s">
        <v>544</v>
      </c>
      <c r="D339" s="0" t="s">
        <v>330</v>
      </c>
    </row>
    <row r="340" customFormat="false" ht="15" hidden="false" customHeight="false" outlineLevel="0" collapsed="false">
      <c r="A340" s="0" t="n">
        <v>339</v>
      </c>
      <c r="B340" s="0" t="s">
        <v>164</v>
      </c>
      <c r="C340" s="0" t="s">
        <v>545</v>
      </c>
      <c r="D340" s="0" t="s">
        <v>330</v>
      </c>
      <c r="F340" s="0" t="s">
        <v>392</v>
      </c>
    </row>
    <row r="341" customFormat="false" ht="15" hidden="false" customHeight="false" outlineLevel="0" collapsed="false">
      <c r="A341" s="0" t="n">
        <v>340</v>
      </c>
      <c r="B341" s="0" t="s">
        <v>164</v>
      </c>
      <c r="C341" s="0" t="s">
        <v>546</v>
      </c>
      <c r="D341" s="0" t="s">
        <v>330</v>
      </c>
    </row>
    <row r="342" customFormat="false" ht="15" hidden="false" customHeight="false" outlineLevel="0" collapsed="false">
      <c r="A342" s="0" t="n">
        <v>341</v>
      </c>
      <c r="B342" s="0" t="s">
        <v>167</v>
      </c>
      <c r="C342" s="0" t="s">
        <v>411</v>
      </c>
      <c r="D342" s="0" t="s">
        <v>330</v>
      </c>
      <c r="F342" s="0" t="s">
        <v>323</v>
      </c>
    </row>
    <row r="343" customFormat="false" ht="15" hidden="false" customHeight="false" outlineLevel="0" collapsed="false">
      <c r="A343" s="0" t="n">
        <v>342</v>
      </c>
      <c r="B343" s="0" t="s">
        <v>167</v>
      </c>
      <c r="C343" s="0" t="s">
        <v>547</v>
      </c>
      <c r="D343" s="0" t="s">
        <v>330</v>
      </c>
      <c r="F343" s="0" t="s">
        <v>326</v>
      </c>
    </row>
    <row r="344" customFormat="false" ht="15" hidden="false" customHeight="false" outlineLevel="0" collapsed="false">
      <c r="A344" s="0" t="n">
        <v>343</v>
      </c>
      <c r="B344" s="0" t="s">
        <v>167</v>
      </c>
      <c r="C344" s="0" t="s">
        <v>348</v>
      </c>
      <c r="D344" s="0" t="s">
        <v>330</v>
      </c>
      <c r="F344" s="0" t="s">
        <v>349</v>
      </c>
    </row>
    <row r="345" customFormat="false" ht="15" hidden="false" customHeight="false" outlineLevel="0" collapsed="false">
      <c r="A345" s="0" t="n">
        <v>344</v>
      </c>
      <c r="B345" s="0" t="s">
        <v>167</v>
      </c>
      <c r="C345" s="0" t="s">
        <v>548</v>
      </c>
      <c r="D345" s="0" t="s">
        <v>330</v>
      </c>
      <c r="F345" s="0" t="s">
        <v>349</v>
      </c>
    </row>
    <row r="346" customFormat="false" ht="15" hidden="false" customHeight="false" outlineLevel="0" collapsed="false">
      <c r="A346" s="0" t="n">
        <v>345</v>
      </c>
      <c r="B346" s="0" t="s">
        <v>167</v>
      </c>
      <c r="C346" s="0" t="s">
        <v>341</v>
      </c>
      <c r="D346" s="0" t="s">
        <v>330</v>
      </c>
      <c r="F346" s="0" t="s">
        <v>341</v>
      </c>
    </row>
    <row r="347" customFormat="false" ht="15" hidden="false" customHeight="false" outlineLevel="0" collapsed="false">
      <c r="A347" s="0" t="n">
        <v>346</v>
      </c>
      <c r="B347" s="0" t="s">
        <v>167</v>
      </c>
      <c r="C347" s="0" t="s">
        <v>549</v>
      </c>
      <c r="D347" s="0" t="s">
        <v>330</v>
      </c>
      <c r="F347" s="0" t="s">
        <v>386</v>
      </c>
    </row>
    <row r="348" customFormat="false" ht="15" hidden="false" customHeight="false" outlineLevel="0" collapsed="false">
      <c r="A348" s="0" t="n">
        <v>347</v>
      </c>
      <c r="B348" s="0" t="s">
        <v>167</v>
      </c>
      <c r="C348" s="0" t="s">
        <v>369</v>
      </c>
      <c r="D348" s="0" t="s">
        <v>330</v>
      </c>
      <c r="F348" s="0" t="s">
        <v>369</v>
      </c>
    </row>
    <row r="349" customFormat="false" ht="15" hidden="false" customHeight="false" outlineLevel="0" collapsed="false">
      <c r="A349" s="0" t="n">
        <v>348</v>
      </c>
      <c r="B349" s="0" t="s">
        <v>170</v>
      </c>
      <c r="C349" s="0" t="s">
        <v>321</v>
      </c>
      <c r="D349" s="0" t="s">
        <v>550</v>
      </c>
      <c r="F349" s="0" t="s">
        <v>323</v>
      </c>
    </row>
    <row r="350" customFormat="false" ht="15" hidden="false" customHeight="false" outlineLevel="0" collapsed="false">
      <c r="A350" s="0" t="n">
        <v>349</v>
      </c>
      <c r="B350" s="0" t="s">
        <v>170</v>
      </c>
      <c r="C350" s="0" t="s">
        <v>507</v>
      </c>
      <c r="D350" s="0" t="s">
        <v>330</v>
      </c>
      <c r="F350" s="0" t="s">
        <v>323</v>
      </c>
    </row>
    <row r="351" customFormat="false" ht="15" hidden="false" customHeight="false" outlineLevel="0" collapsed="false">
      <c r="A351" s="0" t="n">
        <v>350</v>
      </c>
      <c r="B351" s="0" t="s">
        <v>170</v>
      </c>
      <c r="C351" s="0" t="s">
        <v>551</v>
      </c>
      <c r="D351" s="0" t="s">
        <v>330</v>
      </c>
      <c r="F351" s="0" t="s">
        <v>326</v>
      </c>
    </row>
    <row r="352" customFormat="false" ht="15" hidden="false" customHeight="false" outlineLevel="0" collapsed="false">
      <c r="A352" s="0" t="n">
        <v>351</v>
      </c>
      <c r="B352" s="0" t="s">
        <v>170</v>
      </c>
      <c r="C352" s="0" t="s">
        <v>351</v>
      </c>
      <c r="D352" s="0" t="s">
        <v>330</v>
      </c>
      <c r="F352" s="0" t="s">
        <v>351</v>
      </c>
    </row>
    <row r="353" customFormat="false" ht="15" hidden="false" customHeight="false" outlineLevel="0" collapsed="false">
      <c r="A353" s="0" t="n">
        <v>352</v>
      </c>
      <c r="B353" s="0" t="s">
        <v>170</v>
      </c>
      <c r="C353" s="0" t="s">
        <v>341</v>
      </c>
      <c r="D353" s="0" t="s">
        <v>330</v>
      </c>
      <c r="F353" s="0" t="s">
        <v>341</v>
      </c>
    </row>
    <row r="354" customFormat="false" ht="15" hidden="false" customHeight="false" outlineLevel="0" collapsed="false">
      <c r="A354" s="0" t="n">
        <v>353</v>
      </c>
      <c r="B354" s="0" t="s">
        <v>170</v>
      </c>
      <c r="C354" s="0" t="s">
        <v>334</v>
      </c>
      <c r="D354" s="0" t="s">
        <v>330</v>
      </c>
      <c r="F354" s="0" t="s">
        <v>334</v>
      </c>
    </row>
    <row r="355" customFormat="false" ht="15" hidden="false" customHeight="false" outlineLevel="0" collapsed="false">
      <c r="A355" s="0" t="n">
        <v>354</v>
      </c>
      <c r="B355" s="0" t="s">
        <v>170</v>
      </c>
      <c r="C355" s="0" t="s">
        <v>362</v>
      </c>
      <c r="D355" s="0" t="s">
        <v>330</v>
      </c>
      <c r="F355" s="0" t="s">
        <v>363</v>
      </c>
    </row>
    <row r="356" customFormat="false" ht="15" hidden="false" customHeight="false" outlineLevel="0" collapsed="false">
      <c r="A356" s="0" t="n">
        <v>355</v>
      </c>
      <c r="B356" s="0" t="s">
        <v>170</v>
      </c>
      <c r="C356" s="0" t="s">
        <v>329</v>
      </c>
      <c r="D356" s="0" t="s">
        <v>330</v>
      </c>
      <c r="F356" s="0" t="s">
        <v>329</v>
      </c>
    </row>
    <row r="357" customFormat="false" ht="15" hidden="false" customHeight="false" outlineLevel="0" collapsed="false">
      <c r="A357" s="0" t="n">
        <v>356</v>
      </c>
      <c r="B357" s="0" t="s">
        <v>170</v>
      </c>
      <c r="C357" s="0" t="s">
        <v>356</v>
      </c>
      <c r="D357" s="0" t="s">
        <v>330</v>
      </c>
      <c r="F357" s="0" t="s">
        <v>332</v>
      </c>
    </row>
    <row r="358" customFormat="false" ht="15" hidden="false" customHeight="false" outlineLevel="0" collapsed="false">
      <c r="A358" s="0" t="n">
        <v>357</v>
      </c>
      <c r="B358" s="0" t="s">
        <v>170</v>
      </c>
      <c r="C358" s="0" t="s">
        <v>552</v>
      </c>
      <c r="D358" s="0" t="s">
        <v>330</v>
      </c>
    </row>
    <row r="359" customFormat="false" ht="15" hidden="false" customHeight="false" outlineLevel="0" collapsed="false">
      <c r="A359" s="0" t="n">
        <v>358</v>
      </c>
      <c r="B359" s="0" t="s">
        <v>173</v>
      </c>
      <c r="C359" s="0" t="s">
        <v>553</v>
      </c>
      <c r="D359" s="0" t="s">
        <v>330</v>
      </c>
      <c r="F359" s="0" t="s">
        <v>323</v>
      </c>
    </row>
    <row r="360" customFormat="false" ht="15" hidden="false" customHeight="false" outlineLevel="0" collapsed="false">
      <c r="A360" s="0" t="n">
        <v>359</v>
      </c>
      <c r="B360" s="0" t="s">
        <v>173</v>
      </c>
      <c r="C360" s="0" t="s">
        <v>554</v>
      </c>
      <c r="D360" s="0" t="s">
        <v>330</v>
      </c>
      <c r="F360" s="0" t="s">
        <v>326</v>
      </c>
    </row>
    <row r="361" customFormat="false" ht="15" hidden="false" customHeight="false" outlineLevel="0" collapsed="false">
      <c r="A361" s="0" t="n">
        <v>360</v>
      </c>
      <c r="B361" s="0" t="s">
        <v>173</v>
      </c>
      <c r="C361" s="0" t="s">
        <v>351</v>
      </c>
      <c r="D361" s="0" t="s">
        <v>330</v>
      </c>
      <c r="F361" s="0" t="s">
        <v>351</v>
      </c>
    </row>
    <row r="362" customFormat="false" ht="15" hidden="false" customHeight="false" outlineLevel="0" collapsed="false">
      <c r="A362" s="0" t="n">
        <v>361</v>
      </c>
      <c r="B362" s="0" t="s">
        <v>173</v>
      </c>
      <c r="C362" s="0" t="s">
        <v>555</v>
      </c>
      <c r="D362" s="0" t="s">
        <v>330</v>
      </c>
      <c r="F362" s="0" t="s">
        <v>334</v>
      </c>
    </row>
    <row r="363" customFormat="false" ht="15" hidden="false" customHeight="false" outlineLevel="0" collapsed="false">
      <c r="A363" s="0" t="n">
        <v>362</v>
      </c>
      <c r="B363" s="0" t="s">
        <v>173</v>
      </c>
      <c r="C363" s="0" t="s">
        <v>556</v>
      </c>
      <c r="D363" s="0" t="s">
        <v>330</v>
      </c>
      <c r="F363" s="0" t="s">
        <v>342</v>
      </c>
    </row>
    <row r="364" customFormat="false" ht="15" hidden="false" customHeight="false" outlineLevel="0" collapsed="false">
      <c r="A364" s="0" t="n">
        <v>363</v>
      </c>
      <c r="B364" s="0" t="s">
        <v>173</v>
      </c>
      <c r="C364" s="0" t="s">
        <v>557</v>
      </c>
      <c r="D364" s="0" t="s">
        <v>330</v>
      </c>
      <c r="F364" s="0" t="s">
        <v>558</v>
      </c>
    </row>
    <row r="365" customFormat="false" ht="15" hidden="false" customHeight="false" outlineLevel="0" collapsed="false">
      <c r="A365" s="0" t="n">
        <v>364</v>
      </c>
      <c r="B365" s="0" t="s">
        <v>173</v>
      </c>
      <c r="C365" s="0" t="s">
        <v>559</v>
      </c>
      <c r="D365" s="0" t="s">
        <v>330</v>
      </c>
      <c r="F365" s="0" t="s">
        <v>386</v>
      </c>
    </row>
    <row r="366" customFormat="false" ht="15" hidden="false" customHeight="false" outlineLevel="0" collapsed="false">
      <c r="A366" s="0" t="n">
        <v>365</v>
      </c>
      <c r="B366" s="0" t="s">
        <v>173</v>
      </c>
      <c r="C366" s="0" t="s">
        <v>560</v>
      </c>
      <c r="D366" s="0" t="s">
        <v>330</v>
      </c>
      <c r="F366" s="0" t="s">
        <v>392</v>
      </c>
    </row>
    <row r="367" customFormat="false" ht="15" hidden="false" customHeight="false" outlineLevel="0" collapsed="false">
      <c r="A367" s="0" t="n">
        <v>366</v>
      </c>
      <c r="B367" s="0" t="s">
        <v>177</v>
      </c>
      <c r="C367" s="0" t="s">
        <v>321</v>
      </c>
      <c r="D367" s="0" t="s">
        <v>561</v>
      </c>
      <c r="F367" s="0" t="s">
        <v>323</v>
      </c>
    </row>
    <row r="368" customFormat="false" ht="15" hidden="false" customHeight="false" outlineLevel="0" collapsed="false">
      <c r="A368" s="0" t="n">
        <v>367</v>
      </c>
      <c r="B368" s="0" t="s">
        <v>177</v>
      </c>
      <c r="C368" s="0" t="s">
        <v>345</v>
      </c>
      <c r="D368" s="0" t="s">
        <v>562</v>
      </c>
      <c r="F368" s="0" t="s">
        <v>323</v>
      </c>
    </row>
    <row r="369" customFormat="false" ht="15" hidden="false" customHeight="false" outlineLevel="0" collapsed="false">
      <c r="A369" s="0" t="n">
        <v>368</v>
      </c>
      <c r="B369" s="0" t="s">
        <v>177</v>
      </c>
      <c r="C369" s="0" t="s">
        <v>431</v>
      </c>
      <c r="D369" s="0" t="s">
        <v>330</v>
      </c>
    </row>
    <row r="370" customFormat="false" ht="15" hidden="false" customHeight="false" outlineLevel="0" collapsed="false">
      <c r="A370" s="0" t="n">
        <v>369</v>
      </c>
      <c r="B370" s="0" t="s">
        <v>177</v>
      </c>
      <c r="C370" s="0" t="s">
        <v>372</v>
      </c>
      <c r="D370" s="0" t="s">
        <v>330</v>
      </c>
    </row>
    <row r="371" customFormat="false" ht="15" hidden="false" customHeight="false" outlineLevel="0" collapsed="false">
      <c r="A371" s="0" t="n">
        <v>370</v>
      </c>
      <c r="B371" s="0" t="s">
        <v>177</v>
      </c>
      <c r="C371" s="0" t="s">
        <v>329</v>
      </c>
      <c r="D371" s="0" t="s">
        <v>330</v>
      </c>
      <c r="F371" s="0" t="s">
        <v>329</v>
      </c>
    </row>
    <row r="372" customFormat="false" ht="15" hidden="false" customHeight="false" outlineLevel="0" collapsed="false">
      <c r="A372" s="0" t="n">
        <v>371</v>
      </c>
      <c r="B372" s="0" t="s">
        <v>180</v>
      </c>
      <c r="C372" s="0" t="s">
        <v>321</v>
      </c>
      <c r="D372" s="0" t="s">
        <v>330</v>
      </c>
      <c r="F372" s="0" t="s">
        <v>323</v>
      </c>
    </row>
    <row r="373" customFormat="false" ht="15" hidden="false" customHeight="false" outlineLevel="0" collapsed="false">
      <c r="A373" s="0" t="n">
        <v>372</v>
      </c>
      <c r="B373" s="0" t="s">
        <v>180</v>
      </c>
      <c r="C373" s="0" t="s">
        <v>329</v>
      </c>
      <c r="D373" s="0" t="s">
        <v>330</v>
      </c>
      <c r="F373" s="0" t="s">
        <v>329</v>
      </c>
    </row>
    <row r="374" customFormat="false" ht="15" hidden="false" customHeight="false" outlineLevel="0" collapsed="false">
      <c r="A374" s="0" t="n">
        <v>373</v>
      </c>
      <c r="B374" s="0" t="s">
        <v>180</v>
      </c>
      <c r="C374" s="0" t="s">
        <v>362</v>
      </c>
      <c r="D374" s="0" t="s">
        <v>330</v>
      </c>
      <c r="F374" s="0" t="s">
        <v>363</v>
      </c>
    </row>
    <row r="375" customFormat="false" ht="15" hidden="false" customHeight="false" outlineLevel="0" collapsed="false">
      <c r="A375" s="0" t="n">
        <v>374</v>
      </c>
      <c r="B375" s="0" t="s">
        <v>180</v>
      </c>
      <c r="C375" s="0" t="s">
        <v>341</v>
      </c>
      <c r="D375" s="0" t="s">
        <v>330</v>
      </c>
      <c r="F375" s="0" t="s">
        <v>341</v>
      </c>
    </row>
    <row r="376" customFormat="false" ht="15" hidden="false" customHeight="false" outlineLevel="0" collapsed="false">
      <c r="A376" s="0" t="n">
        <v>375</v>
      </c>
      <c r="B376" s="0" t="s">
        <v>180</v>
      </c>
      <c r="C376" s="0" t="s">
        <v>563</v>
      </c>
      <c r="D376" s="0" t="s">
        <v>330</v>
      </c>
    </row>
    <row r="377" customFormat="false" ht="15" hidden="false" customHeight="false" outlineLevel="0" collapsed="false">
      <c r="A377" s="0" t="n">
        <v>376</v>
      </c>
      <c r="B377" s="0" t="s">
        <v>183</v>
      </c>
      <c r="C377" s="0" t="s">
        <v>323</v>
      </c>
      <c r="D377" s="0" t="s">
        <v>330</v>
      </c>
      <c r="F377" s="0" t="s">
        <v>323</v>
      </c>
    </row>
    <row r="378" customFormat="false" ht="15" hidden="false" customHeight="false" outlineLevel="0" collapsed="false">
      <c r="A378" s="0" t="n">
        <v>377</v>
      </c>
      <c r="B378" s="0" t="s">
        <v>183</v>
      </c>
      <c r="C378" s="0" t="s">
        <v>365</v>
      </c>
      <c r="D378" s="0" t="s">
        <v>330</v>
      </c>
      <c r="F378" s="0" t="s">
        <v>326</v>
      </c>
    </row>
    <row r="379" customFormat="false" ht="15" hidden="false" customHeight="false" outlineLevel="0" collapsed="false">
      <c r="A379" s="0" t="n">
        <v>378</v>
      </c>
      <c r="B379" s="0" t="s">
        <v>183</v>
      </c>
      <c r="C379" s="0" t="s">
        <v>522</v>
      </c>
      <c r="D379" s="0" t="s">
        <v>330</v>
      </c>
      <c r="F379" s="0" t="s">
        <v>332</v>
      </c>
    </row>
    <row r="380" customFormat="false" ht="15" hidden="false" customHeight="false" outlineLevel="0" collapsed="false">
      <c r="A380" s="0" t="n">
        <v>379</v>
      </c>
      <c r="B380" s="0" t="s">
        <v>183</v>
      </c>
      <c r="C380" s="0" t="s">
        <v>524</v>
      </c>
      <c r="D380" s="0" t="s">
        <v>330</v>
      </c>
      <c r="F380" s="0" t="s">
        <v>342</v>
      </c>
    </row>
    <row r="381" customFormat="false" ht="15" hidden="false" customHeight="false" outlineLevel="0" collapsed="false">
      <c r="A381" s="0" t="n">
        <v>380</v>
      </c>
      <c r="B381" s="0" t="s">
        <v>183</v>
      </c>
      <c r="C381" s="0" t="s">
        <v>564</v>
      </c>
      <c r="D381" s="0" t="s">
        <v>330</v>
      </c>
      <c r="F381" s="0" t="s">
        <v>332</v>
      </c>
    </row>
    <row r="382" customFormat="false" ht="15" hidden="false" customHeight="false" outlineLevel="0" collapsed="false">
      <c r="A382" s="0" t="n">
        <v>381</v>
      </c>
      <c r="B382" s="0" t="s">
        <v>183</v>
      </c>
      <c r="C382" s="0" t="s">
        <v>357</v>
      </c>
      <c r="D382" s="0" t="s">
        <v>330</v>
      </c>
      <c r="F382" s="0" t="s">
        <v>342</v>
      </c>
    </row>
    <row r="383" customFormat="false" ht="15" hidden="false" customHeight="false" outlineLevel="0" collapsed="false">
      <c r="A383" s="0" t="n">
        <v>382</v>
      </c>
      <c r="B383" s="0" t="s">
        <v>183</v>
      </c>
      <c r="C383" s="0" t="s">
        <v>334</v>
      </c>
      <c r="D383" s="0" t="s">
        <v>330</v>
      </c>
      <c r="F383" s="0" t="s">
        <v>334</v>
      </c>
    </row>
    <row r="384" customFormat="false" ht="15" hidden="false" customHeight="false" outlineLevel="0" collapsed="false">
      <c r="A384" s="0" t="n">
        <v>383</v>
      </c>
      <c r="B384" s="0" t="s">
        <v>183</v>
      </c>
      <c r="C384" s="0" t="s">
        <v>348</v>
      </c>
      <c r="D384" s="0" t="s">
        <v>330</v>
      </c>
      <c r="F384" s="0" t="s">
        <v>349</v>
      </c>
    </row>
    <row r="385" customFormat="false" ht="15" hidden="false" customHeight="false" outlineLevel="0" collapsed="false">
      <c r="A385" s="0" t="n">
        <v>384</v>
      </c>
      <c r="B385" s="0" t="s">
        <v>183</v>
      </c>
      <c r="C385" s="0" t="s">
        <v>565</v>
      </c>
      <c r="D385" s="0" t="s">
        <v>330</v>
      </c>
      <c r="F385" s="0" t="s">
        <v>329</v>
      </c>
    </row>
    <row r="386" customFormat="false" ht="15" hidden="false" customHeight="false" outlineLevel="0" collapsed="false">
      <c r="A386" s="0" t="n">
        <v>385</v>
      </c>
      <c r="B386" s="0" t="s">
        <v>186</v>
      </c>
      <c r="C386" s="0" t="s">
        <v>497</v>
      </c>
      <c r="D386" s="0" t="s">
        <v>330</v>
      </c>
      <c r="F386" s="0" t="s">
        <v>326</v>
      </c>
    </row>
    <row r="387" customFormat="false" ht="15" hidden="false" customHeight="false" outlineLevel="0" collapsed="false">
      <c r="A387" s="0" t="n">
        <v>386</v>
      </c>
      <c r="B387" s="0" t="s">
        <v>186</v>
      </c>
      <c r="C387" s="0" t="s">
        <v>383</v>
      </c>
      <c r="D387" s="0" t="s">
        <v>330</v>
      </c>
    </row>
    <row r="388" customFormat="false" ht="15" hidden="false" customHeight="false" outlineLevel="0" collapsed="false">
      <c r="A388" s="0" t="n">
        <v>387</v>
      </c>
      <c r="B388" s="0" t="s">
        <v>186</v>
      </c>
      <c r="C388" s="0" t="s">
        <v>566</v>
      </c>
      <c r="D388" s="0" t="s">
        <v>330</v>
      </c>
    </row>
    <row r="389" customFormat="false" ht="15" hidden="false" customHeight="false" outlineLevel="0" collapsed="false">
      <c r="A389" s="0" t="n">
        <v>388</v>
      </c>
      <c r="B389" s="0" t="s">
        <v>188</v>
      </c>
      <c r="C389" s="0" t="s">
        <v>567</v>
      </c>
      <c r="D389" s="0" t="s">
        <v>330</v>
      </c>
      <c r="F389" s="0" t="s">
        <v>323</v>
      </c>
    </row>
    <row r="390" customFormat="false" ht="15" hidden="false" customHeight="false" outlineLevel="0" collapsed="false">
      <c r="A390" s="0" t="n">
        <v>389</v>
      </c>
      <c r="B390" s="0" t="s">
        <v>188</v>
      </c>
      <c r="C390" s="0" t="s">
        <v>568</v>
      </c>
      <c r="D390" s="0" t="s">
        <v>330</v>
      </c>
    </row>
    <row r="391" customFormat="false" ht="15" hidden="false" customHeight="false" outlineLevel="0" collapsed="false">
      <c r="A391" s="0" t="n">
        <v>390</v>
      </c>
      <c r="B391" s="0" t="s">
        <v>188</v>
      </c>
      <c r="C391" s="0" t="s">
        <v>569</v>
      </c>
      <c r="D391" s="0" t="s">
        <v>330</v>
      </c>
      <c r="F391" s="0" t="s">
        <v>386</v>
      </c>
    </row>
    <row r="392" customFormat="false" ht="15" hidden="false" customHeight="false" outlineLevel="0" collapsed="false">
      <c r="A392" s="0" t="n">
        <v>391</v>
      </c>
      <c r="B392" s="0" t="s">
        <v>191</v>
      </c>
      <c r="C392" s="0" t="s">
        <v>321</v>
      </c>
      <c r="D392" s="0" t="s">
        <v>330</v>
      </c>
      <c r="F392" s="0" t="s">
        <v>323</v>
      </c>
    </row>
    <row r="393" customFormat="false" ht="15" hidden="false" customHeight="false" outlineLevel="0" collapsed="false">
      <c r="A393" s="0" t="n">
        <v>392</v>
      </c>
      <c r="B393" s="0" t="s">
        <v>191</v>
      </c>
      <c r="C393" s="0" t="s">
        <v>342</v>
      </c>
      <c r="D393" s="0" t="s">
        <v>330</v>
      </c>
      <c r="F393" s="0" t="s">
        <v>342</v>
      </c>
    </row>
    <row r="394" customFormat="false" ht="15" hidden="false" customHeight="false" outlineLevel="0" collapsed="false">
      <c r="A394" s="0" t="n">
        <v>393</v>
      </c>
      <c r="B394" s="0" t="s">
        <v>191</v>
      </c>
      <c r="C394" s="0" t="s">
        <v>334</v>
      </c>
      <c r="D394" s="0" t="s">
        <v>330</v>
      </c>
      <c r="F394" s="0" t="s">
        <v>334</v>
      </c>
    </row>
    <row r="395" customFormat="false" ht="15" hidden="false" customHeight="false" outlineLevel="0" collapsed="false">
      <c r="A395" s="0" t="n">
        <v>394</v>
      </c>
      <c r="B395" s="0" t="s">
        <v>191</v>
      </c>
      <c r="C395" s="0" t="s">
        <v>415</v>
      </c>
      <c r="D395" s="0" t="s">
        <v>330</v>
      </c>
    </row>
    <row r="396" customFormat="false" ht="15" hidden="false" customHeight="false" outlineLevel="0" collapsed="false">
      <c r="A396" s="0" t="n">
        <v>395</v>
      </c>
      <c r="B396" s="0" t="s">
        <v>195</v>
      </c>
      <c r="C396" s="0" t="s">
        <v>321</v>
      </c>
      <c r="D396" s="0" t="s">
        <v>330</v>
      </c>
      <c r="F396" s="0" t="s">
        <v>323</v>
      </c>
    </row>
    <row r="397" customFormat="false" ht="15" hidden="false" customHeight="false" outlineLevel="0" collapsed="false">
      <c r="A397" s="0" t="n">
        <v>396</v>
      </c>
      <c r="B397" s="0" t="s">
        <v>195</v>
      </c>
      <c r="C397" s="0" t="s">
        <v>505</v>
      </c>
      <c r="D397" s="0" t="s">
        <v>330</v>
      </c>
      <c r="F397" s="0" t="s">
        <v>326</v>
      </c>
    </row>
    <row r="398" customFormat="false" ht="15" hidden="false" customHeight="false" outlineLevel="0" collapsed="false">
      <c r="A398" s="0" t="n">
        <v>397</v>
      </c>
      <c r="B398" s="0" t="s">
        <v>195</v>
      </c>
      <c r="C398" s="0" t="s">
        <v>387</v>
      </c>
      <c r="D398" s="0" t="s">
        <v>330</v>
      </c>
      <c r="F398" s="0" t="s">
        <v>326</v>
      </c>
    </row>
    <row r="399" customFormat="false" ht="15" hidden="false" customHeight="false" outlineLevel="0" collapsed="false">
      <c r="A399" s="0" t="n">
        <v>398</v>
      </c>
      <c r="B399" s="0" t="s">
        <v>198</v>
      </c>
      <c r="C399" s="0" t="s">
        <v>321</v>
      </c>
      <c r="D399" s="0" t="s">
        <v>570</v>
      </c>
      <c r="F399" s="0" t="s">
        <v>323</v>
      </c>
    </row>
    <row r="400" customFormat="false" ht="15" hidden="false" customHeight="false" outlineLevel="0" collapsed="false">
      <c r="A400" s="0" t="n">
        <v>399</v>
      </c>
      <c r="B400" s="0" t="s">
        <v>198</v>
      </c>
      <c r="C400" s="0" t="s">
        <v>345</v>
      </c>
      <c r="D400" s="0" t="s">
        <v>330</v>
      </c>
      <c r="F400" s="0" t="s">
        <v>323</v>
      </c>
    </row>
    <row r="401" customFormat="false" ht="15" hidden="false" customHeight="false" outlineLevel="0" collapsed="false">
      <c r="A401" s="0" t="n">
        <v>400</v>
      </c>
      <c r="B401" s="0" t="s">
        <v>202</v>
      </c>
      <c r="C401" s="0" t="s">
        <v>321</v>
      </c>
      <c r="D401" s="0" t="s">
        <v>330</v>
      </c>
      <c r="F401" s="0" t="s">
        <v>323</v>
      </c>
    </row>
    <row r="402" customFormat="false" ht="15" hidden="false" customHeight="false" outlineLevel="0" collapsed="false">
      <c r="A402" s="0" t="n">
        <v>401</v>
      </c>
      <c r="B402" s="0" t="s">
        <v>202</v>
      </c>
      <c r="C402" s="0" t="s">
        <v>387</v>
      </c>
      <c r="D402" s="0" t="s">
        <v>330</v>
      </c>
      <c r="F402" s="0" t="s">
        <v>326</v>
      </c>
    </row>
    <row r="403" customFormat="false" ht="15" hidden="false" customHeight="false" outlineLevel="0" collapsed="false">
      <c r="A403" s="0" t="n">
        <v>402</v>
      </c>
      <c r="B403" s="0" t="s">
        <v>202</v>
      </c>
      <c r="C403" s="0" t="s">
        <v>329</v>
      </c>
      <c r="D403" s="0" t="s">
        <v>330</v>
      </c>
      <c r="F403" s="0" t="s">
        <v>329</v>
      </c>
    </row>
    <row r="404" customFormat="false" ht="15" hidden="false" customHeight="false" outlineLevel="0" collapsed="false">
      <c r="A404" s="0" t="n">
        <v>403</v>
      </c>
      <c r="B404" s="0" t="s">
        <v>202</v>
      </c>
      <c r="C404" s="0" t="s">
        <v>374</v>
      </c>
      <c r="D404" s="0" t="s">
        <v>330</v>
      </c>
      <c r="F404" s="0" t="s">
        <v>363</v>
      </c>
    </row>
    <row r="405" customFormat="false" ht="15" hidden="false" customHeight="false" outlineLevel="0" collapsed="false">
      <c r="A405" s="0" t="n">
        <v>404</v>
      </c>
      <c r="B405" s="0" t="s">
        <v>205</v>
      </c>
      <c r="C405" s="0" t="s">
        <v>321</v>
      </c>
      <c r="D405" s="0" t="s">
        <v>330</v>
      </c>
      <c r="F405" s="0" t="s">
        <v>323</v>
      </c>
    </row>
    <row r="406" customFormat="false" ht="15" hidden="false" customHeight="false" outlineLevel="0" collapsed="false">
      <c r="A406" s="0" t="n">
        <v>405</v>
      </c>
      <c r="B406" s="0" t="s">
        <v>205</v>
      </c>
      <c r="C406" s="0" t="s">
        <v>365</v>
      </c>
      <c r="D406" s="0" t="s">
        <v>330</v>
      </c>
      <c r="F406" s="0" t="s">
        <v>326</v>
      </c>
    </row>
    <row r="407" customFormat="false" ht="15" hidden="false" customHeight="false" outlineLevel="0" collapsed="false">
      <c r="A407" s="0" t="n">
        <v>406</v>
      </c>
      <c r="B407" s="0" t="s">
        <v>205</v>
      </c>
      <c r="C407" s="0" t="s">
        <v>571</v>
      </c>
      <c r="D407" s="0" t="s">
        <v>330</v>
      </c>
      <c r="F407" s="0" t="s">
        <v>340</v>
      </c>
    </row>
    <row r="408" customFormat="false" ht="15" hidden="false" customHeight="false" outlineLevel="0" collapsed="false">
      <c r="A408" s="0" t="n">
        <v>407</v>
      </c>
      <c r="B408" s="0" t="s">
        <v>205</v>
      </c>
      <c r="C408" s="0" t="s">
        <v>572</v>
      </c>
      <c r="D408" s="0" t="s">
        <v>330</v>
      </c>
      <c r="F408" s="0" t="s">
        <v>332</v>
      </c>
    </row>
    <row r="409" customFormat="false" ht="15" hidden="false" customHeight="false" outlineLevel="0" collapsed="false">
      <c r="A409" s="0" t="n">
        <v>408</v>
      </c>
      <c r="B409" s="0" t="s">
        <v>205</v>
      </c>
      <c r="C409" s="0" t="s">
        <v>573</v>
      </c>
      <c r="D409" s="0" t="s">
        <v>330</v>
      </c>
    </row>
    <row r="410" customFormat="false" ht="15" hidden="false" customHeight="false" outlineLevel="0" collapsed="false">
      <c r="A410" s="0" t="n">
        <v>409</v>
      </c>
      <c r="B410" s="0" t="s">
        <v>207</v>
      </c>
      <c r="C410" s="0" t="s">
        <v>321</v>
      </c>
      <c r="D410" s="0" t="s">
        <v>330</v>
      </c>
      <c r="F410" s="0" t="s">
        <v>323</v>
      </c>
    </row>
    <row r="411" customFormat="false" ht="15" hidden="false" customHeight="false" outlineLevel="0" collapsed="false">
      <c r="A411" s="0" t="n">
        <v>410</v>
      </c>
      <c r="B411" s="0" t="s">
        <v>207</v>
      </c>
      <c r="C411" s="0" t="s">
        <v>574</v>
      </c>
      <c r="D411" s="0" t="s">
        <v>330</v>
      </c>
      <c r="F411" s="0" t="s">
        <v>447</v>
      </c>
    </row>
    <row r="412" customFormat="false" ht="15" hidden="false" customHeight="false" outlineLevel="0" collapsed="false">
      <c r="A412" s="0" t="n">
        <v>411</v>
      </c>
      <c r="B412" s="0" t="s">
        <v>207</v>
      </c>
      <c r="C412" s="0" t="s">
        <v>329</v>
      </c>
      <c r="D412" s="0" t="s">
        <v>330</v>
      </c>
      <c r="F412" s="0" t="s">
        <v>329</v>
      </c>
    </row>
    <row r="413" customFormat="false" ht="15" hidden="false" customHeight="false" outlineLevel="0" collapsed="false">
      <c r="A413" s="0" t="n">
        <v>412</v>
      </c>
      <c r="B413" s="0" t="s">
        <v>207</v>
      </c>
      <c r="C413" s="0" t="s">
        <v>341</v>
      </c>
      <c r="D413" s="0" t="s">
        <v>330</v>
      </c>
      <c r="F413" s="0" t="s">
        <v>341</v>
      </c>
    </row>
    <row r="414" customFormat="false" ht="15" hidden="false" customHeight="false" outlineLevel="0" collapsed="false">
      <c r="A414" s="0" t="n">
        <v>413</v>
      </c>
      <c r="B414" s="0" t="s">
        <v>207</v>
      </c>
      <c r="C414" s="0" t="s">
        <v>342</v>
      </c>
      <c r="D414" s="0" t="s">
        <v>330</v>
      </c>
      <c r="F414" s="0" t="s">
        <v>342</v>
      </c>
    </row>
    <row r="415" customFormat="false" ht="15" hidden="false" customHeight="false" outlineLevel="0" collapsed="false">
      <c r="A415" s="0" t="n">
        <v>414</v>
      </c>
      <c r="B415" s="0" t="s">
        <v>207</v>
      </c>
      <c r="C415" s="0" t="s">
        <v>334</v>
      </c>
      <c r="D415" s="0" t="s">
        <v>330</v>
      </c>
      <c r="F415" s="0" t="s">
        <v>334</v>
      </c>
    </row>
    <row r="416" customFormat="false" ht="15" hidden="false" customHeight="false" outlineLevel="0" collapsed="false">
      <c r="A416" s="0" t="n">
        <v>415</v>
      </c>
      <c r="B416" s="0" t="s">
        <v>211</v>
      </c>
      <c r="C416" s="0" t="s">
        <v>411</v>
      </c>
      <c r="D416" s="0" t="s">
        <v>330</v>
      </c>
      <c r="F416" s="0" t="s">
        <v>323</v>
      </c>
    </row>
    <row r="417" customFormat="false" ht="15" hidden="false" customHeight="false" outlineLevel="0" collapsed="false">
      <c r="A417" s="0" t="n">
        <v>416</v>
      </c>
      <c r="B417" s="0" t="s">
        <v>211</v>
      </c>
      <c r="C417" s="0" t="s">
        <v>365</v>
      </c>
      <c r="D417" s="0" t="s">
        <v>330</v>
      </c>
      <c r="F417" s="0" t="s">
        <v>326</v>
      </c>
    </row>
    <row r="418" customFormat="false" ht="15" hidden="false" customHeight="false" outlineLevel="0" collapsed="false">
      <c r="A418" s="0" t="n">
        <v>417</v>
      </c>
      <c r="B418" s="0" t="s">
        <v>211</v>
      </c>
      <c r="C418" s="0" t="s">
        <v>341</v>
      </c>
      <c r="D418" s="0" t="s">
        <v>330</v>
      </c>
      <c r="F418" s="0" t="s">
        <v>341</v>
      </c>
    </row>
    <row r="419" customFormat="false" ht="15" hidden="false" customHeight="false" outlineLevel="0" collapsed="false">
      <c r="A419" s="0" t="n">
        <v>418</v>
      </c>
      <c r="B419" s="0" t="s">
        <v>211</v>
      </c>
      <c r="C419" s="0" t="s">
        <v>575</v>
      </c>
      <c r="D419" s="0" t="s">
        <v>330</v>
      </c>
      <c r="F419" s="0" t="s">
        <v>392</v>
      </c>
    </row>
    <row r="420" customFormat="false" ht="15" hidden="false" customHeight="false" outlineLevel="0" collapsed="false">
      <c r="A420" s="0" t="n">
        <v>419</v>
      </c>
      <c r="B420" s="0" t="s">
        <v>211</v>
      </c>
      <c r="C420" s="0" t="s">
        <v>549</v>
      </c>
      <c r="D420" s="0" t="s">
        <v>330</v>
      </c>
      <c r="F420" s="0" t="s">
        <v>386</v>
      </c>
    </row>
    <row r="421" customFormat="false" ht="15" hidden="false" customHeight="false" outlineLevel="0" collapsed="false">
      <c r="A421" s="0" t="n">
        <v>420</v>
      </c>
      <c r="B421" s="0" t="s">
        <v>215</v>
      </c>
      <c r="C421" s="0" t="s">
        <v>321</v>
      </c>
      <c r="D421" s="0" t="s">
        <v>576</v>
      </c>
      <c r="F421" s="0" t="s">
        <v>323</v>
      </c>
    </row>
    <row r="422" customFormat="false" ht="15" hidden="false" customHeight="false" outlineLevel="0" collapsed="false">
      <c r="A422" s="0" t="n">
        <v>421</v>
      </c>
      <c r="B422" s="0" t="s">
        <v>215</v>
      </c>
      <c r="C422" s="0" t="s">
        <v>387</v>
      </c>
      <c r="D422" s="0" t="s">
        <v>330</v>
      </c>
      <c r="F422" s="0" t="s">
        <v>326</v>
      </c>
    </row>
    <row r="423" customFormat="false" ht="15" hidden="false" customHeight="false" outlineLevel="0" collapsed="false">
      <c r="A423" s="0" t="n">
        <v>422</v>
      </c>
      <c r="B423" s="0" t="s">
        <v>215</v>
      </c>
      <c r="C423" s="0" t="s">
        <v>341</v>
      </c>
      <c r="D423" s="0" t="s">
        <v>330</v>
      </c>
      <c r="F423" s="0" t="s">
        <v>341</v>
      </c>
    </row>
    <row r="424" customFormat="false" ht="15" hidden="false" customHeight="false" outlineLevel="0" collapsed="false">
      <c r="A424" s="0" t="n">
        <v>423</v>
      </c>
      <c r="B424" s="0" t="s">
        <v>215</v>
      </c>
      <c r="C424" s="0" t="s">
        <v>334</v>
      </c>
      <c r="D424" s="0" t="s">
        <v>330</v>
      </c>
      <c r="F424" s="0" t="s">
        <v>334</v>
      </c>
    </row>
    <row r="425" customFormat="false" ht="15" hidden="false" customHeight="false" outlineLevel="0" collapsed="false">
      <c r="A425" s="0" t="n">
        <v>424</v>
      </c>
      <c r="B425" s="0" t="s">
        <v>215</v>
      </c>
      <c r="C425" s="0" t="s">
        <v>342</v>
      </c>
      <c r="D425" s="0" t="s">
        <v>330</v>
      </c>
      <c r="F425" s="0" t="s">
        <v>342</v>
      </c>
    </row>
    <row r="426" customFormat="false" ht="15" hidden="false" customHeight="false" outlineLevel="0" collapsed="false">
      <c r="A426" s="0" t="n">
        <v>425</v>
      </c>
      <c r="B426" s="0" t="s">
        <v>215</v>
      </c>
      <c r="C426" s="0" t="s">
        <v>372</v>
      </c>
      <c r="D426" s="0" t="s">
        <v>330</v>
      </c>
    </row>
    <row r="427" customFormat="false" ht="15" hidden="false" customHeight="false" outlineLevel="0" collapsed="false">
      <c r="A427" s="0" t="n">
        <v>426</v>
      </c>
      <c r="B427" s="0" t="s">
        <v>218</v>
      </c>
      <c r="C427" s="0" t="s">
        <v>480</v>
      </c>
      <c r="D427" s="0" t="s">
        <v>330</v>
      </c>
      <c r="F427" s="0" t="s">
        <v>341</v>
      </c>
    </row>
    <row r="428" customFormat="false" ht="15" hidden="false" customHeight="false" outlineLevel="0" collapsed="false">
      <c r="A428" s="0" t="n">
        <v>427</v>
      </c>
      <c r="B428" s="0" t="s">
        <v>218</v>
      </c>
      <c r="C428" s="0" t="s">
        <v>334</v>
      </c>
      <c r="D428" s="0" t="s">
        <v>330</v>
      </c>
      <c r="F428" s="0" t="s">
        <v>334</v>
      </c>
    </row>
    <row r="429" customFormat="false" ht="15" hidden="false" customHeight="false" outlineLevel="0" collapsed="false">
      <c r="A429" s="0" t="n">
        <v>428</v>
      </c>
      <c r="B429" s="0" t="s">
        <v>218</v>
      </c>
      <c r="C429" s="0" t="s">
        <v>577</v>
      </c>
      <c r="D429" s="0" t="s">
        <v>330</v>
      </c>
      <c r="F429" s="0" t="s">
        <v>578</v>
      </c>
    </row>
    <row r="430" customFormat="false" ht="15" hidden="false" customHeight="false" outlineLevel="0" collapsed="false">
      <c r="A430" s="0" t="n">
        <v>429</v>
      </c>
      <c r="B430" s="0" t="s">
        <v>218</v>
      </c>
      <c r="C430" s="0" t="s">
        <v>372</v>
      </c>
      <c r="D430" s="0" t="s">
        <v>330</v>
      </c>
    </row>
    <row r="431" customFormat="false" ht="15" hidden="false" customHeight="false" outlineLevel="0" collapsed="false">
      <c r="A431" s="0" t="n">
        <v>430</v>
      </c>
      <c r="B431" s="0" t="s">
        <v>221</v>
      </c>
      <c r="C431" s="0" t="s">
        <v>579</v>
      </c>
      <c r="D431" s="0" t="s">
        <v>330</v>
      </c>
      <c r="F431" s="0" t="s">
        <v>580</v>
      </c>
    </row>
    <row r="432" customFormat="false" ht="15" hidden="false" customHeight="false" outlineLevel="0" collapsed="false">
      <c r="A432" s="0" t="n">
        <v>431</v>
      </c>
      <c r="B432" s="0" t="s">
        <v>221</v>
      </c>
      <c r="C432" s="0" t="s">
        <v>341</v>
      </c>
      <c r="D432" s="0" t="s">
        <v>330</v>
      </c>
      <c r="F432" s="0" t="s">
        <v>341</v>
      </c>
    </row>
    <row r="433" customFormat="false" ht="15" hidden="false" customHeight="false" outlineLevel="0" collapsed="false">
      <c r="A433" s="0" t="n">
        <v>432</v>
      </c>
      <c r="B433" s="0" t="s">
        <v>221</v>
      </c>
      <c r="C433" s="0" t="s">
        <v>581</v>
      </c>
      <c r="D433" s="0" t="s">
        <v>330</v>
      </c>
    </row>
    <row r="434" customFormat="false" ht="15" hidden="false" customHeight="false" outlineLevel="0" collapsed="false">
      <c r="A434" s="0" t="n">
        <v>433</v>
      </c>
      <c r="B434" s="0" t="s">
        <v>221</v>
      </c>
      <c r="C434" s="0" t="s">
        <v>582</v>
      </c>
      <c r="D434" s="0" t="s">
        <v>330</v>
      </c>
    </row>
    <row r="435" customFormat="false" ht="15" hidden="false" customHeight="false" outlineLevel="0" collapsed="false">
      <c r="A435" s="0" t="n">
        <v>434</v>
      </c>
      <c r="B435" s="0" t="s">
        <v>224</v>
      </c>
      <c r="C435" s="0" t="s">
        <v>583</v>
      </c>
      <c r="D435" s="0" t="s">
        <v>330</v>
      </c>
      <c r="F435" s="0" t="s">
        <v>580</v>
      </c>
    </row>
    <row r="436" customFormat="false" ht="15" hidden="false" customHeight="false" outlineLevel="0" collapsed="false">
      <c r="A436" s="0" t="n">
        <v>435</v>
      </c>
      <c r="B436" s="0" t="s">
        <v>224</v>
      </c>
      <c r="C436" s="0" t="s">
        <v>541</v>
      </c>
      <c r="D436" s="0" t="s">
        <v>330</v>
      </c>
      <c r="F436" s="0" t="s">
        <v>363</v>
      </c>
    </row>
    <row r="437" customFormat="false" ht="15" hidden="false" customHeight="false" outlineLevel="0" collapsed="false">
      <c r="A437" s="0" t="n">
        <v>436</v>
      </c>
      <c r="B437" s="0" t="s">
        <v>224</v>
      </c>
      <c r="C437" s="0" t="s">
        <v>334</v>
      </c>
      <c r="D437" s="0" t="s">
        <v>330</v>
      </c>
      <c r="F437" s="0" t="s">
        <v>334</v>
      </c>
    </row>
    <row r="438" customFormat="false" ht="15" hidden="false" customHeight="false" outlineLevel="0" collapsed="false">
      <c r="A438" s="0" t="n">
        <v>437</v>
      </c>
      <c r="B438" s="0" t="s">
        <v>224</v>
      </c>
      <c r="C438" s="0" t="s">
        <v>584</v>
      </c>
      <c r="D438" s="0" t="s">
        <v>330</v>
      </c>
      <c r="F438" s="0" t="s">
        <v>332</v>
      </c>
    </row>
    <row r="439" customFormat="false" ht="15" hidden="false" customHeight="false" outlineLevel="0" collapsed="false">
      <c r="A439" s="0" t="n">
        <v>438</v>
      </c>
      <c r="B439" s="0" t="s">
        <v>224</v>
      </c>
      <c r="C439" s="0" t="s">
        <v>341</v>
      </c>
      <c r="D439" s="0" t="s">
        <v>330</v>
      </c>
      <c r="F439" s="0" t="s">
        <v>341</v>
      </c>
    </row>
    <row r="440" customFormat="false" ht="15" hidden="false" customHeight="false" outlineLevel="0" collapsed="false">
      <c r="A440" s="0" t="n">
        <v>439</v>
      </c>
      <c r="B440" s="0" t="s">
        <v>224</v>
      </c>
      <c r="C440" s="0" t="s">
        <v>372</v>
      </c>
      <c r="D440" s="0" t="s">
        <v>330</v>
      </c>
    </row>
    <row r="441" customFormat="false" ht="15" hidden="false" customHeight="false" outlineLevel="0" collapsed="false">
      <c r="A441" s="0" t="n">
        <v>440</v>
      </c>
      <c r="B441" s="0" t="s">
        <v>227</v>
      </c>
      <c r="C441" s="0" t="s">
        <v>585</v>
      </c>
      <c r="D441" s="0" t="s">
        <v>330</v>
      </c>
      <c r="F441" s="0" t="s">
        <v>332</v>
      </c>
    </row>
    <row r="442" customFormat="false" ht="15" hidden="false" customHeight="false" outlineLevel="0" collapsed="false">
      <c r="A442" s="0" t="n">
        <v>441</v>
      </c>
      <c r="B442" s="0" t="s">
        <v>227</v>
      </c>
      <c r="C442" s="0" t="s">
        <v>411</v>
      </c>
      <c r="D442" s="0" t="s">
        <v>330</v>
      </c>
      <c r="F442" s="0" t="s">
        <v>323</v>
      </c>
    </row>
    <row r="443" customFormat="false" ht="15" hidden="false" customHeight="false" outlineLevel="0" collapsed="false">
      <c r="A443" s="0" t="n">
        <v>442</v>
      </c>
      <c r="B443" s="0" t="s">
        <v>227</v>
      </c>
      <c r="C443" s="0" t="s">
        <v>586</v>
      </c>
      <c r="D443" s="0" t="s">
        <v>330</v>
      </c>
      <c r="F443" s="0" t="s">
        <v>326</v>
      </c>
    </row>
    <row r="444" customFormat="false" ht="15" hidden="false" customHeight="false" outlineLevel="0" collapsed="false">
      <c r="A444" s="0" t="n">
        <v>443</v>
      </c>
      <c r="B444" s="0" t="s">
        <v>227</v>
      </c>
      <c r="C444" s="0" t="s">
        <v>348</v>
      </c>
      <c r="D444" s="0" t="s">
        <v>330</v>
      </c>
      <c r="F444" s="0" t="s">
        <v>349</v>
      </c>
    </row>
    <row r="445" customFormat="false" ht="15" hidden="false" customHeight="false" outlineLevel="0" collapsed="false">
      <c r="A445" s="0" t="n">
        <v>444</v>
      </c>
      <c r="B445" s="0" t="s">
        <v>227</v>
      </c>
      <c r="C445" s="0" t="s">
        <v>587</v>
      </c>
      <c r="D445" s="0" t="s">
        <v>330</v>
      </c>
      <c r="F445" s="0" t="s">
        <v>355</v>
      </c>
    </row>
    <row r="446" customFormat="false" ht="15" hidden="false" customHeight="false" outlineLevel="0" collapsed="false">
      <c r="A446" s="0" t="n">
        <v>445</v>
      </c>
      <c r="B446" s="0" t="s">
        <v>229</v>
      </c>
      <c r="C446" s="0" t="s">
        <v>383</v>
      </c>
      <c r="D446" s="0" t="s">
        <v>330</v>
      </c>
    </row>
    <row r="447" customFormat="false" ht="15" hidden="false" customHeight="false" outlineLevel="0" collapsed="false">
      <c r="A447" s="0" t="n">
        <v>446</v>
      </c>
      <c r="B447" s="0" t="s">
        <v>229</v>
      </c>
      <c r="C447" s="0" t="s">
        <v>321</v>
      </c>
      <c r="D447" s="0" t="s">
        <v>330</v>
      </c>
      <c r="F447" s="0" t="s">
        <v>323</v>
      </c>
    </row>
    <row r="448" customFormat="false" ht="15" hidden="false" customHeight="false" outlineLevel="0" collapsed="false">
      <c r="A448" s="0" t="n">
        <v>447</v>
      </c>
      <c r="B448" s="0" t="s">
        <v>229</v>
      </c>
      <c r="C448" s="0" t="s">
        <v>588</v>
      </c>
      <c r="D448" s="0" t="s">
        <v>330</v>
      </c>
      <c r="F448" s="0" t="s">
        <v>334</v>
      </c>
    </row>
    <row r="449" customFormat="false" ht="15" hidden="false" customHeight="false" outlineLevel="0" collapsed="false">
      <c r="A449" s="0" t="n">
        <v>448</v>
      </c>
      <c r="B449" s="0" t="s">
        <v>229</v>
      </c>
      <c r="C449" s="0" t="s">
        <v>493</v>
      </c>
      <c r="D449" s="0" t="s">
        <v>330</v>
      </c>
      <c r="F449" s="0" t="s">
        <v>363</v>
      </c>
    </row>
    <row r="450" customFormat="false" ht="15" hidden="false" customHeight="false" outlineLevel="0" collapsed="false">
      <c r="A450" s="0" t="n">
        <v>449</v>
      </c>
      <c r="B450" s="0" t="s">
        <v>229</v>
      </c>
      <c r="C450" s="0" t="s">
        <v>464</v>
      </c>
      <c r="D450" s="0" t="s">
        <v>330</v>
      </c>
    </row>
    <row r="451" customFormat="false" ht="15" hidden="false" customHeight="false" outlineLevel="0" collapsed="false">
      <c r="A451" s="0" t="n">
        <v>450</v>
      </c>
      <c r="B451" s="0" t="s">
        <v>232</v>
      </c>
      <c r="C451" s="0" t="s">
        <v>522</v>
      </c>
      <c r="D451" s="0" t="s">
        <v>330</v>
      </c>
      <c r="F451" s="0" t="s">
        <v>332</v>
      </c>
    </row>
    <row r="452" customFormat="false" ht="15" hidden="false" customHeight="false" outlineLevel="0" collapsed="false">
      <c r="A452" s="0" t="n">
        <v>451</v>
      </c>
      <c r="B452" s="0" t="s">
        <v>232</v>
      </c>
      <c r="C452" s="0" t="s">
        <v>589</v>
      </c>
      <c r="D452" s="0" t="s">
        <v>330</v>
      </c>
    </row>
    <row r="453" customFormat="false" ht="15" hidden="false" customHeight="false" outlineLevel="0" collapsed="false">
      <c r="A453" s="0" t="n">
        <v>452</v>
      </c>
      <c r="B453" s="0" t="s">
        <v>235</v>
      </c>
      <c r="C453" s="0" t="s">
        <v>321</v>
      </c>
      <c r="D453" s="0" t="s">
        <v>590</v>
      </c>
      <c r="F453" s="0" t="s">
        <v>323</v>
      </c>
    </row>
    <row r="454" customFormat="false" ht="15" hidden="false" customHeight="false" outlineLevel="0" collapsed="false">
      <c r="A454" s="0" t="n">
        <v>453</v>
      </c>
      <c r="B454" s="0" t="s">
        <v>235</v>
      </c>
      <c r="C454" s="0" t="s">
        <v>542</v>
      </c>
      <c r="D454" s="0" t="s">
        <v>330</v>
      </c>
      <c r="F454" s="0" t="s">
        <v>326</v>
      </c>
    </row>
    <row r="455" customFormat="false" ht="15" hidden="false" customHeight="false" outlineLevel="0" collapsed="false">
      <c r="A455" s="0" t="n">
        <v>454</v>
      </c>
      <c r="B455" s="0" t="s">
        <v>235</v>
      </c>
      <c r="C455" s="0" t="s">
        <v>591</v>
      </c>
      <c r="D455" s="0" t="s">
        <v>330</v>
      </c>
      <c r="F455" s="0" t="s">
        <v>326</v>
      </c>
    </row>
    <row r="456" customFormat="false" ht="15" hidden="false" customHeight="false" outlineLevel="0" collapsed="false">
      <c r="A456" s="0" t="n">
        <v>455</v>
      </c>
      <c r="B456" s="0" t="s">
        <v>235</v>
      </c>
      <c r="C456" s="0" t="s">
        <v>592</v>
      </c>
      <c r="D456" s="0" t="s">
        <v>330</v>
      </c>
      <c r="F456" s="0" t="s">
        <v>386</v>
      </c>
    </row>
    <row r="457" customFormat="false" ht="15" hidden="false" customHeight="false" outlineLevel="0" collapsed="false">
      <c r="A457" s="0" t="n">
        <v>456</v>
      </c>
      <c r="B457" s="0" t="s">
        <v>235</v>
      </c>
      <c r="C457" s="0" t="s">
        <v>334</v>
      </c>
      <c r="D457" s="0" t="s">
        <v>330</v>
      </c>
      <c r="F457" s="0" t="s">
        <v>334</v>
      </c>
    </row>
    <row r="458" customFormat="false" ht="15" hidden="false" customHeight="false" outlineLevel="0" collapsed="false">
      <c r="A458" s="0" t="n">
        <v>457</v>
      </c>
      <c r="B458" s="0" t="s">
        <v>238</v>
      </c>
      <c r="C458" s="0" t="s">
        <v>321</v>
      </c>
      <c r="D458" s="0" t="s">
        <v>330</v>
      </c>
      <c r="F458" s="0" t="s">
        <v>323</v>
      </c>
    </row>
    <row r="459" customFormat="false" ht="15" hidden="false" customHeight="false" outlineLevel="0" collapsed="false">
      <c r="A459" s="0" t="n">
        <v>458</v>
      </c>
      <c r="B459" s="0" t="s">
        <v>238</v>
      </c>
      <c r="C459" s="0" t="s">
        <v>488</v>
      </c>
      <c r="D459" s="0" t="s">
        <v>330</v>
      </c>
      <c r="F459" s="0" t="s">
        <v>326</v>
      </c>
    </row>
    <row r="460" customFormat="false" ht="15" hidden="false" customHeight="false" outlineLevel="0" collapsed="false">
      <c r="A460" s="0" t="n">
        <v>459</v>
      </c>
      <c r="B460" s="0" t="s">
        <v>238</v>
      </c>
      <c r="C460" s="0" t="s">
        <v>389</v>
      </c>
      <c r="D460" s="0" t="s">
        <v>330</v>
      </c>
    </row>
    <row r="461" customFormat="false" ht="15" hidden="false" customHeight="false" outlineLevel="0" collapsed="false">
      <c r="A461" s="0" t="n">
        <v>460</v>
      </c>
      <c r="B461" s="0" t="s">
        <v>238</v>
      </c>
      <c r="C461" s="0" t="s">
        <v>383</v>
      </c>
      <c r="D461" s="0" t="s">
        <v>330</v>
      </c>
    </row>
    <row r="462" customFormat="false" ht="15" hidden="false" customHeight="false" outlineLevel="0" collapsed="false">
      <c r="A462" s="0" t="n">
        <v>461</v>
      </c>
      <c r="B462" s="0" t="s">
        <v>238</v>
      </c>
      <c r="C462" s="0" t="s">
        <v>593</v>
      </c>
      <c r="D462" s="0" t="s">
        <v>330</v>
      </c>
      <c r="F462" s="0" t="s">
        <v>392</v>
      </c>
    </row>
    <row r="463" customFormat="false" ht="15" hidden="false" customHeight="false" outlineLevel="0" collapsed="false">
      <c r="A463" s="0" t="n">
        <v>462</v>
      </c>
      <c r="B463" s="0" t="s">
        <v>158</v>
      </c>
      <c r="C463" s="0" t="s">
        <v>321</v>
      </c>
      <c r="D463" s="0" t="s">
        <v>330</v>
      </c>
      <c r="F463" s="0" t="s">
        <v>323</v>
      </c>
    </row>
    <row r="464" customFormat="false" ht="15" hidden="false" customHeight="false" outlineLevel="0" collapsed="false">
      <c r="A464" s="0" t="n">
        <v>463</v>
      </c>
      <c r="B464" s="0" t="s">
        <v>158</v>
      </c>
      <c r="C464" s="0" t="s">
        <v>365</v>
      </c>
      <c r="D464" s="0" t="s">
        <v>330</v>
      </c>
      <c r="F464" s="0" t="s">
        <v>326</v>
      </c>
    </row>
    <row r="465" customFormat="false" ht="15" hidden="false" customHeight="false" outlineLevel="0" collapsed="false">
      <c r="A465" s="0" t="n">
        <v>464</v>
      </c>
      <c r="B465" s="0" t="s">
        <v>158</v>
      </c>
      <c r="C465" s="0" t="s">
        <v>594</v>
      </c>
      <c r="D465" s="0" t="s">
        <v>330</v>
      </c>
      <c r="F465" s="0" t="s">
        <v>363</v>
      </c>
    </row>
    <row r="466" customFormat="false" ht="15" hidden="false" customHeight="false" outlineLevel="0" collapsed="false">
      <c r="A466" s="0" t="n">
        <v>465</v>
      </c>
      <c r="B466" s="0" t="s">
        <v>158</v>
      </c>
      <c r="C466" s="0" t="s">
        <v>517</v>
      </c>
      <c r="D466" s="0" t="s">
        <v>330</v>
      </c>
      <c r="F466" s="0" t="s">
        <v>340</v>
      </c>
    </row>
    <row r="467" customFormat="false" ht="15" hidden="false" customHeight="false" outlineLevel="0" collapsed="false">
      <c r="A467" s="0" t="n">
        <v>466</v>
      </c>
      <c r="B467" s="0" t="s">
        <v>158</v>
      </c>
      <c r="C467" s="0" t="s">
        <v>391</v>
      </c>
      <c r="D467" s="0" t="s">
        <v>330</v>
      </c>
      <c r="F467" s="0" t="s">
        <v>341</v>
      </c>
    </row>
    <row r="468" customFormat="false" ht="15" hidden="false" customHeight="false" outlineLevel="0" collapsed="false">
      <c r="A468" s="0" t="n">
        <v>467</v>
      </c>
      <c r="B468" s="0" t="s">
        <v>158</v>
      </c>
      <c r="C468" s="0" t="s">
        <v>595</v>
      </c>
      <c r="D468" s="0" t="s">
        <v>330</v>
      </c>
      <c r="F468" s="0" t="s">
        <v>342</v>
      </c>
    </row>
    <row r="469" customFormat="false" ht="15" hidden="false" customHeight="false" outlineLevel="0" collapsed="false">
      <c r="A469" s="0" t="n">
        <v>468</v>
      </c>
      <c r="B469" s="0" t="s">
        <v>158</v>
      </c>
      <c r="C469" s="0" t="s">
        <v>334</v>
      </c>
      <c r="D469" s="0" t="s">
        <v>330</v>
      </c>
      <c r="F469" s="0" t="s">
        <v>334</v>
      </c>
    </row>
    <row r="470" customFormat="false" ht="15" hidden="false" customHeight="false" outlineLevel="0" collapsed="false">
      <c r="A470" s="0" t="n">
        <v>469</v>
      </c>
      <c r="B470" s="0" t="s">
        <v>158</v>
      </c>
      <c r="C470" s="0" t="s">
        <v>596</v>
      </c>
      <c r="D470" s="0" t="s">
        <v>330</v>
      </c>
      <c r="F470" s="0" t="s">
        <v>451</v>
      </c>
    </row>
    <row r="471" customFormat="false" ht="15" hidden="false" customHeight="false" outlineLevel="0" collapsed="false">
      <c r="A471" s="0" t="n">
        <v>470</v>
      </c>
      <c r="B471" s="0" t="s">
        <v>242</v>
      </c>
      <c r="C471" s="0" t="s">
        <v>597</v>
      </c>
      <c r="D471" s="0" t="s">
        <v>330</v>
      </c>
      <c r="F471" s="0" t="s">
        <v>323</v>
      </c>
    </row>
    <row r="472" customFormat="false" ht="15" hidden="false" customHeight="false" outlineLevel="0" collapsed="false">
      <c r="A472" s="0" t="n">
        <v>471</v>
      </c>
      <c r="B472" s="0" t="s">
        <v>242</v>
      </c>
      <c r="C472" s="0" t="s">
        <v>598</v>
      </c>
      <c r="D472" s="0" t="s">
        <v>330</v>
      </c>
      <c r="F472" s="0" t="s">
        <v>326</v>
      </c>
    </row>
    <row r="473" customFormat="false" ht="15" hidden="false" customHeight="false" outlineLevel="0" collapsed="false">
      <c r="A473" s="0" t="n">
        <v>472</v>
      </c>
      <c r="B473" s="0" t="s">
        <v>242</v>
      </c>
      <c r="C473" s="0" t="s">
        <v>342</v>
      </c>
      <c r="D473" s="0" t="s">
        <v>330</v>
      </c>
      <c r="F473" s="0" t="s">
        <v>342</v>
      </c>
    </row>
    <row r="474" customFormat="false" ht="15" hidden="false" customHeight="false" outlineLevel="0" collapsed="false">
      <c r="A474" s="0" t="n">
        <v>473</v>
      </c>
      <c r="B474" s="0" t="s">
        <v>242</v>
      </c>
      <c r="C474" s="0" t="s">
        <v>333</v>
      </c>
      <c r="D474" s="0" t="s">
        <v>330</v>
      </c>
    </row>
    <row r="475" customFormat="false" ht="15" hidden="false" customHeight="false" outlineLevel="0" collapsed="false">
      <c r="A475" s="0" t="n">
        <v>474</v>
      </c>
      <c r="B475" s="0" t="s">
        <v>242</v>
      </c>
      <c r="C475" s="0" t="s">
        <v>404</v>
      </c>
      <c r="D475" s="0" t="s">
        <v>330</v>
      </c>
      <c r="F475" s="0" t="s">
        <v>349</v>
      </c>
    </row>
    <row r="476" customFormat="false" ht="15" hidden="false" customHeight="false" outlineLevel="0" collapsed="false">
      <c r="A476" s="0" t="n">
        <v>475</v>
      </c>
      <c r="B476" s="0" t="s">
        <v>242</v>
      </c>
      <c r="C476" s="0" t="s">
        <v>445</v>
      </c>
      <c r="D476" s="0" t="s">
        <v>330</v>
      </c>
      <c r="F476" s="0" t="s">
        <v>355</v>
      </c>
    </row>
    <row r="477" customFormat="false" ht="15" hidden="false" customHeight="false" outlineLevel="0" collapsed="false">
      <c r="A477" s="0" t="n">
        <v>476</v>
      </c>
      <c r="B477" s="0" t="s">
        <v>242</v>
      </c>
      <c r="C477" s="0" t="s">
        <v>372</v>
      </c>
      <c r="D477" s="0" t="s">
        <v>330</v>
      </c>
    </row>
    <row r="478" customFormat="false" ht="15" hidden="false" customHeight="false" outlineLevel="0" collapsed="false">
      <c r="A478" s="0" t="n">
        <v>477</v>
      </c>
      <c r="B478" s="0" t="s">
        <v>242</v>
      </c>
      <c r="C478" s="0" t="s">
        <v>338</v>
      </c>
      <c r="D478" s="0" t="s">
        <v>330</v>
      </c>
    </row>
    <row r="479" customFormat="false" ht="15" hidden="false" customHeight="false" outlineLevel="0" collapsed="false">
      <c r="A479" s="0" t="n">
        <v>478</v>
      </c>
      <c r="B479" s="0" t="s">
        <v>242</v>
      </c>
      <c r="C479" s="0" t="s">
        <v>599</v>
      </c>
      <c r="D479" s="0" t="s">
        <v>330</v>
      </c>
      <c r="F479" s="0" t="s">
        <v>386</v>
      </c>
    </row>
    <row r="480" customFormat="false" ht="15" hidden="false" customHeight="false" outlineLevel="0" collapsed="false">
      <c r="A480" s="0" t="n">
        <v>479</v>
      </c>
      <c r="B480" s="0" t="s">
        <v>245</v>
      </c>
      <c r="C480" s="0" t="s">
        <v>321</v>
      </c>
      <c r="D480" s="0" t="s">
        <v>330</v>
      </c>
      <c r="F480" s="0" t="s">
        <v>323</v>
      </c>
    </row>
    <row r="481" customFormat="false" ht="15" hidden="false" customHeight="false" outlineLevel="0" collapsed="false">
      <c r="A481" s="0" t="n">
        <v>480</v>
      </c>
      <c r="B481" s="0" t="s">
        <v>245</v>
      </c>
      <c r="C481" s="0" t="s">
        <v>365</v>
      </c>
      <c r="D481" s="0" t="s">
        <v>330</v>
      </c>
      <c r="F481" s="0" t="s">
        <v>326</v>
      </c>
    </row>
    <row r="482" customFormat="false" ht="15" hidden="false" customHeight="false" outlineLevel="0" collapsed="false">
      <c r="A482" s="0" t="n">
        <v>481</v>
      </c>
      <c r="B482" s="0" t="s">
        <v>245</v>
      </c>
      <c r="C482" s="0" t="s">
        <v>366</v>
      </c>
      <c r="D482" s="0" t="s">
        <v>330</v>
      </c>
      <c r="F482" s="0" t="s">
        <v>349</v>
      </c>
    </row>
    <row r="483" customFormat="false" ht="15" hidden="false" customHeight="false" outlineLevel="0" collapsed="false">
      <c r="A483" s="0" t="n">
        <v>482</v>
      </c>
      <c r="B483" s="0" t="s">
        <v>245</v>
      </c>
      <c r="C483" s="0" t="s">
        <v>600</v>
      </c>
      <c r="D483" s="0" t="s">
        <v>330</v>
      </c>
      <c r="F483" s="0" t="s">
        <v>332</v>
      </c>
    </row>
    <row r="484" customFormat="false" ht="15" hidden="false" customHeight="false" outlineLevel="0" collapsed="false">
      <c r="A484" s="0" t="n">
        <v>483</v>
      </c>
      <c r="B484" s="0" t="s">
        <v>245</v>
      </c>
      <c r="C484" s="0" t="s">
        <v>601</v>
      </c>
      <c r="D484" s="0" t="s">
        <v>330</v>
      </c>
      <c r="F484" s="0" t="s">
        <v>386</v>
      </c>
    </row>
    <row r="485" customFormat="false" ht="15" hidden="false" customHeight="false" outlineLevel="0" collapsed="false">
      <c r="A485" s="0" t="n">
        <v>484</v>
      </c>
      <c r="B485" s="0" t="s">
        <v>245</v>
      </c>
      <c r="C485" s="0" t="s">
        <v>602</v>
      </c>
      <c r="D485" s="0" t="s">
        <v>330</v>
      </c>
      <c r="F485" s="0" t="s">
        <v>392</v>
      </c>
    </row>
    <row r="486" customFormat="false" ht="15" hidden="false" customHeight="false" outlineLevel="0" collapsed="false">
      <c r="A486" s="0" t="n">
        <v>485</v>
      </c>
      <c r="B486" s="0" t="s">
        <v>245</v>
      </c>
      <c r="C486" s="0" t="s">
        <v>342</v>
      </c>
      <c r="D486" s="0" t="s">
        <v>330</v>
      </c>
      <c r="F486" s="0" t="s">
        <v>342</v>
      </c>
    </row>
    <row r="487" customFormat="false" ht="15" hidden="false" customHeight="false" outlineLevel="0" collapsed="false">
      <c r="A487" s="0" t="n">
        <v>486</v>
      </c>
      <c r="B487" s="0" t="s">
        <v>245</v>
      </c>
      <c r="C487" s="0" t="s">
        <v>334</v>
      </c>
      <c r="D487" s="0" t="s">
        <v>330</v>
      </c>
      <c r="F487" s="0" t="s">
        <v>334</v>
      </c>
    </row>
    <row r="488" customFormat="false" ht="15" hidden="false" customHeight="false" outlineLevel="0" collapsed="false">
      <c r="A488" s="0" t="n">
        <v>487</v>
      </c>
      <c r="B488" s="0" t="s">
        <v>245</v>
      </c>
      <c r="C488" s="0" t="s">
        <v>369</v>
      </c>
      <c r="D488" s="0" t="s">
        <v>330</v>
      </c>
      <c r="F488" s="0" t="s">
        <v>369</v>
      </c>
    </row>
    <row r="489" customFormat="false" ht="15" hidden="false" customHeight="false" outlineLevel="0" collapsed="false">
      <c r="A489" s="0" t="n">
        <v>488</v>
      </c>
      <c r="B489" s="0" t="s">
        <v>248</v>
      </c>
      <c r="C489" s="0" t="s">
        <v>321</v>
      </c>
      <c r="D489" s="0" t="s">
        <v>472</v>
      </c>
      <c r="F489" s="0" t="s">
        <v>323</v>
      </c>
    </row>
    <row r="490" customFormat="false" ht="15" hidden="false" customHeight="false" outlineLevel="0" collapsed="false">
      <c r="A490" s="0" t="n">
        <v>489</v>
      </c>
      <c r="B490" s="0" t="s">
        <v>248</v>
      </c>
      <c r="C490" s="0" t="s">
        <v>473</v>
      </c>
      <c r="D490" s="0" t="s">
        <v>330</v>
      </c>
      <c r="F490" s="0" t="s">
        <v>447</v>
      </c>
    </row>
    <row r="491" customFormat="false" ht="15" hidden="false" customHeight="false" outlineLevel="0" collapsed="false">
      <c r="A491" s="0" t="n">
        <v>490</v>
      </c>
      <c r="B491" s="0" t="s">
        <v>248</v>
      </c>
      <c r="C491" s="0" t="s">
        <v>603</v>
      </c>
      <c r="D491" s="0" t="s">
        <v>330</v>
      </c>
      <c r="F491" s="0" t="s">
        <v>408</v>
      </c>
    </row>
    <row r="492" customFormat="false" ht="15" hidden="false" customHeight="false" outlineLevel="0" collapsed="false">
      <c r="A492" s="0" t="n">
        <v>491</v>
      </c>
      <c r="B492" s="0" t="s">
        <v>248</v>
      </c>
      <c r="C492" s="0" t="s">
        <v>475</v>
      </c>
      <c r="D492" s="0" t="s">
        <v>330</v>
      </c>
      <c r="F492" s="0" t="s">
        <v>355</v>
      </c>
    </row>
    <row r="493" customFormat="false" ht="15" hidden="false" customHeight="false" outlineLevel="0" collapsed="false">
      <c r="A493" s="0" t="n">
        <v>492</v>
      </c>
      <c r="B493" s="0" t="s">
        <v>248</v>
      </c>
      <c r="C493" s="0" t="s">
        <v>575</v>
      </c>
      <c r="D493" s="0" t="s">
        <v>330</v>
      </c>
      <c r="F493" s="0" t="s">
        <v>392</v>
      </c>
    </row>
    <row r="494" customFormat="false" ht="15" hidden="false" customHeight="false" outlineLevel="0" collapsed="false">
      <c r="A494" s="0" t="n">
        <v>493</v>
      </c>
      <c r="B494" s="0" t="s">
        <v>248</v>
      </c>
      <c r="C494" s="0" t="s">
        <v>369</v>
      </c>
      <c r="D494" s="0" t="s">
        <v>330</v>
      </c>
      <c r="F494" s="0" t="s">
        <v>369</v>
      </c>
    </row>
    <row r="495" customFormat="false" ht="15" hidden="false" customHeight="false" outlineLevel="0" collapsed="false">
      <c r="A495" s="0" t="n">
        <v>494</v>
      </c>
      <c r="B495" s="0" t="s">
        <v>248</v>
      </c>
      <c r="C495" s="0" t="s">
        <v>604</v>
      </c>
      <c r="D495" s="0" t="s">
        <v>330</v>
      </c>
    </row>
    <row r="496" customFormat="false" ht="15" hidden="false" customHeight="false" outlineLevel="0" collapsed="false">
      <c r="A496" s="0" t="n">
        <v>495</v>
      </c>
      <c r="B496" s="0" t="s">
        <v>250</v>
      </c>
      <c r="C496" s="0" t="s">
        <v>605</v>
      </c>
      <c r="D496" s="0" t="s">
        <v>606</v>
      </c>
      <c r="F496" s="0" t="s">
        <v>323</v>
      </c>
    </row>
    <row r="497" customFormat="false" ht="15" hidden="false" customHeight="false" outlineLevel="0" collapsed="false">
      <c r="A497" s="0" t="n">
        <v>496</v>
      </c>
      <c r="B497" s="0" t="s">
        <v>250</v>
      </c>
      <c r="C497" s="0" t="s">
        <v>607</v>
      </c>
      <c r="D497" s="0" t="s">
        <v>608</v>
      </c>
      <c r="F497" s="0" t="s">
        <v>323</v>
      </c>
    </row>
    <row r="498" customFormat="false" ht="15" hidden="false" customHeight="false" outlineLevel="0" collapsed="false">
      <c r="A498" s="0" t="n">
        <v>497</v>
      </c>
      <c r="B498" s="0" t="s">
        <v>250</v>
      </c>
      <c r="C498" s="0" t="s">
        <v>609</v>
      </c>
      <c r="D498" s="0" t="s">
        <v>610</v>
      </c>
      <c r="F498" s="0" t="s">
        <v>326</v>
      </c>
    </row>
    <row r="499" customFormat="false" ht="15" hidden="false" customHeight="false" outlineLevel="0" collapsed="false">
      <c r="A499" s="0" t="n">
        <v>498</v>
      </c>
      <c r="B499" s="0" t="s">
        <v>250</v>
      </c>
      <c r="C499" s="0" t="s">
        <v>611</v>
      </c>
      <c r="D499" s="0" t="s">
        <v>612</v>
      </c>
      <c r="F499" s="0" t="s">
        <v>326</v>
      </c>
    </row>
    <row r="500" customFormat="false" ht="15" hidden="false" customHeight="false" outlineLevel="0" collapsed="false">
      <c r="A500" s="0" t="n">
        <v>499</v>
      </c>
      <c r="B500" s="0" t="s">
        <v>250</v>
      </c>
      <c r="C500" s="0" t="s">
        <v>342</v>
      </c>
      <c r="D500" s="0" t="s">
        <v>330</v>
      </c>
      <c r="F500" s="0" t="s">
        <v>342</v>
      </c>
    </row>
    <row r="501" customFormat="false" ht="15" hidden="false" customHeight="false" outlineLevel="0" collapsed="false">
      <c r="A501" s="0" t="n">
        <v>500</v>
      </c>
      <c r="B501" s="0" t="s">
        <v>250</v>
      </c>
      <c r="C501" s="0" t="s">
        <v>415</v>
      </c>
      <c r="D501" s="0" t="s">
        <v>330</v>
      </c>
    </row>
    <row r="502" customFormat="false" ht="15" hidden="false" customHeight="false" outlineLevel="0" collapsed="false">
      <c r="A502" s="0" t="n">
        <v>501</v>
      </c>
      <c r="B502" s="0" t="s">
        <v>250</v>
      </c>
      <c r="C502" s="0" t="s">
        <v>383</v>
      </c>
      <c r="D502" s="0" t="s">
        <v>330</v>
      </c>
    </row>
    <row r="503" customFormat="false" ht="15" hidden="false" customHeight="false" outlineLevel="0" collapsed="false">
      <c r="A503" s="0" t="n">
        <v>502</v>
      </c>
      <c r="B503" s="0" t="s">
        <v>250</v>
      </c>
      <c r="C503" s="0" t="s">
        <v>334</v>
      </c>
      <c r="D503" s="0" t="s">
        <v>330</v>
      </c>
      <c r="F503" s="0" t="s">
        <v>334</v>
      </c>
    </row>
    <row r="504" customFormat="false" ht="15" hidden="false" customHeight="false" outlineLevel="0" collapsed="false">
      <c r="A504" s="0" t="n">
        <v>503</v>
      </c>
      <c r="B504" s="0" t="s">
        <v>253</v>
      </c>
      <c r="C504" s="0" t="s">
        <v>480</v>
      </c>
      <c r="D504" s="0" t="s">
        <v>613</v>
      </c>
      <c r="F504" s="0" t="s">
        <v>341</v>
      </c>
    </row>
    <row r="505" customFormat="false" ht="15" hidden="false" customHeight="false" outlineLevel="0" collapsed="false">
      <c r="A505" s="0" t="n">
        <v>504</v>
      </c>
      <c r="B505" s="0" t="s">
        <v>253</v>
      </c>
      <c r="C505" s="0" t="s">
        <v>614</v>
      </c>
      <c r="D505" s="0" t="s">
        <v>615</v>
      </c>
    </row>
    <row r="506" customFormat="false" ht="15" hidden="false" customHeight="false" outlineLevel="0" collapsed="false">
      <c r="A506" s="0" t="n">
        <v>505</v>
      </c>
      <c r="B506" s="0" t="s">
        <v>253</v>
      </c>
      <c r="C506" s="0" t="s">
        <v>372</v>
      </c>
      <c r="D506" s="0" t="s">
        <v>616</v>
      </c>
    </row>
    <row r="507" customFormat="false" ht="15" hidden="false" customHeight="false" outlineLevel="0" collapsed="false">
      <c r="A507" s="0" t="n">
        <v>506</v>
      </c>
      <c r="B507" s="0" t="s">
        <v>253</v>
      </c>
      <c r="C507" s="0" t="s">
        <v>357</v>
      </c>
      <c r="D507" s="0" t="s">
        <v>617</v>
      </c>
      <c r="F507" s="0" t="s">
        <v>342</v>
      </c>
    </row>
    <row r="508" customFormat="false" ht="15" hidden="false" customHeight="false" outlineLevel="0" collapsed="false">
      <c r="A508" s="0" t="n">
        <v>507</v>
      </c>
      <c r="B508" s="0" t="s">
        <v>253</v>
      </c>
      <c r="C508" s="0" t="s">
        <v>618</v>
      </c>
      <c r="D508" s="0" t="s">
        <v>619</v>
      </c>
    </row>
    <row r="509" customFormat="false" ht="15" hidden="false" customHeight="false" outlineLevel="0" collapsed="false">
      <c r="A509" s="0" t="n">
        <v>508</v>
      </c>
      <c r="B509" s="0" t="s">
        <v>253</v>
      </c>
      <c r="C509" s="0" t="s">
        <v>620</v>
      </c>
      <c r="D509" s="0" t="s">
        <v>621</v>
      </c>
      <c r="F509" s="0" t="s">
        <v>334</v>
      </c>
    </row>
    <row r="510" customFormat="false" ht="15" hidden="false" customHeight="false" outlineLevel="0" collapsed="false">
      <c r="A510" s="0" t="n">
        <v>509</v>
      </c>
      <c r="B510" s="0" t="s">
        <v>253</v>
      </c>
      <c r="C510" s="0" t="s">
        <v>406</v>
      </c>
      <c r="D510" s="0" t="s">
        <v>622</v>
      </c>
      <c r="F510" s="0" t="s">
        <v>334</v>
      </c>
    </row>
    <row r="511" customFormat="false" ht="15" hidden="false" customHeight="false" outlineLevel="0" collapsed="false">
      <c r="A511" s="0" t="n">
        <v>510</v>
      </c>
      <c r="B511" s="0" t="s">
        <v>253</v>
      </c>
      <c r="C511" s="0" t="s">
        <v>321</v>
      </c>
      <c r="D511" s="0" t="s">
        <v>330</v>
      </c>
      <c r="F511" s="0" t="s">
        <v>323</v>
      </c>
    </row>
    <row r="512" customFormat="false" ht="15" hidden="false" customHeight="false" outlineLevel="0" collapsed="false">
      <c r="A512" s="0" t="n">
        <v>511</v>
      </c>
      <c r="B512" s="0" t="s">
        <v>253</v>
      </c>
      <c r="C512" s="0" t="s">
        <v>623</v>
      </c>
      <c r="D512" s="0" t="s">
        <v>330</v>
      </c>
    </row>
    <row r="513" customFormat="false" ht="15" hidden="false" customHeight="false" outlineLevel="0" collapsed="false">
      <c r="A513" s="0" t="n">
        <v>512</v>
      </c>
      <c r="B513" s="0" t="s">
        <v>256</v>
      </c>
      <c r="C513" s="0" t="s">
        <v>624</v>
      </c>
      <c r="D513" s="0" t="s">
        <v>625</v>
      </c>
      <c r="F513" s="0" t="s">
        <v>323</v>
      </c>
    </row>
    <row r="514" customFormat="false" ht="15" hidden="false" customHeight="false" outlineLevel="0" collapsed="false">
      <c r="A514" s="0" t="n">
        <v>513</v>
      </c>
      <c r="B514" s="0" t="s">
        <v>256</v>
      </c>
      <c r="C514" s="0" t="s">
        <v>342</v>
      </c>
      <c r="D514" s="0" t="s">
        <v>626</v>
      </c>
      <c r="F514" s="0" t="s">
        <v>342</v>
      </c>
    </row>
    <row r="515" customFormat="false" ht="15" hidden="false" customHeight="false" outlineLevel="0" collapsed="false">
      <c r="A515" s="0" t="n">
        <v>514</v>
      </c>
      <c r="B515" s="0" t="s">
        <v>256</v>
      </c>
      <c r="C515" s="0" t="s">
        <v>627</v>
      </c>
      <c r="D515" s="0" t="s">
        <v>628</v>
      </c>
      <c r="F515" s="0" t="s">
        <v>369</v>
      </c>
    </row>
    <row r="516" customFormat="false" ht="15" hidden="false" customHeight="false" outlineLevel="0" collapsed="false">
      <c r="A516" s="0" t="n">
        <v>515</v>
      </c>
      <c r="B516" s="0" t="s">
        <v>256</v>
      </c>
      <c r="C516" s="0" t="s">
        <v>629</v>
      </c>
      <c r="D516" s="0" t="s">
        <v>330</v>
      </c>
    </row>
    <row r="517" customFormat="false" ht="15" hidden="false" customHeight="false" outlineLevel="0" collapsed="false">
      <c r="A517" s="0" t="n">
        <v>516</v>
      </c>
      <c r="B517" s="0" t="s">
        <v>256</v>
      </c>
      <c r="C517" s="0" t="s">
        <v>630</v>
      </c>
      <c r="D517" s="0" t="s">
        <v>330</v>
      </c>
      <c r="F517" s="0" t="s">
        <v>386</v>
      </c>
    </row>
    <row r="518" customFormat="false" ht="15" hidden="false" customHeight="false" outlineLevel="0" collapsed="false">
      <c r="A518" s="0" t="n">
        <v>517</v>
      </c>
      <c r="B518" s="0" t="s">
        <v>256</v>
      </c>
      <c r="C518" s="0" t="s">
        <v>389</v>
      </c>
      <c r="D518" s="0" t="s">
        <v>330</v>
      </c>
    </row>
    <row r="519" customFormat="false" ht="15" hidden="false" customHeight="false" outlineLevel="0" collapsed="false">
      <c r="A519" s="0" t="n">
        <v>518</v>
      </c>
      <c r="B519" s="0" t="s">
        <v>259</v>
      </c>
      <c r="C519" s="0" t="s">
        <v>378</v>
      </c>
      <c r="D519" s="0" t="s">
        <v>379</v>
      </c>
      <c r="F519" s="0" t="s">
        <v>323</v>
      </c>
    </row>
    <row r="520" customFormat="false" ht="15" hidden="false" customHeight="false" outlineLevel="0" collapsed="false">
      <c r="A520" s="0" t="n">
        <v>519</v>
      </c>
      <c r="B520" s="0" t="s">
        <v>259</v>
      </c>
      <c r="C520" s="0" t="s">
        <v>365</v>
      </c>
      <c r="D520" s="0" t="s">
        <v>380</v>
      </c>
      <c r="F520" s="0" t="s">
        <v>326</v>
      </c>
    </row>
    <row r="521" customFormat="false" ht="15" hidden="false" customHeight="false" outlineLevel="0" collapsed="false">
      <c r="A521" s="0" t="n">
        <v>520</v>
      </c>
      <c r="B521" s="0" t="s">
        <v>259</v>
      </c>
      <c r="C521" s="0" t="s">
        <v>334</v>
      </c>
      <c r="D521" s="0" t="s">
        <v>381</v>
      </c>
      <c r="F521" s="0" t="s">
        <v>334</v>
      </c>
    </row>
    <row r="522" customFormat="false" ht="15" hidden="false" customHeight="false" outlineLevel="0" collapsed="false">
      <c r="A522" s="0" t="n">
        <v>521</v>
      </c>
      <c r="B522" s="0" t="s">
        <v>259</v>
      </c>
      <c r="C522" s="0" t="s">
        <v>342</v>
      </c>
      <c r="D522" s="0" t="s">
        <v>382</v>
      </c>
      <c r="F522" s="0" t="s">
        <v>342</v>
      </c>
    </row>
    <row r="523" customFormat="false" ht="15" hidden="false" customHeight="false" outlineLevel="0" collapsed="false">
      <c r="A523" s="0" t="n">
        <v>522</v>
      </c>
      <c r="B523" s="0" t="s">
        <v>259</v>
      </c>
      <c r="C523" s="0" t="s">
        <v>631</v>
      </c>
      <c r="D523" s="0" t="s">
        <v>417</v>
      </c>
      <c r="F523" s="0" t="s">
        <v>632</v>
      </c>
    </row>
    <row r="524" customFormat="false" ht="15" hidden="false" customHeight="false" outlineLevel="0" collapsed="false">
      <c r="A524" s="0" t="n">
        <v>523</v>
      </c>
      <c r="B524" s="0" t="s">
        <v>259</v>
      </c>
      <c r="C524" s="0" t="s">
        <v>633</v>
      </c>
      <c r="D524" s="0" t="s">
        <v>634</v>
      </c>
    </row>
    <row r="525" customFormat="false" ht="15" hidden="false" customHeight="false" outlineLevel="0" collapsed="false">
      <c r="A525" s="0" t="n">
        <v>524</v>
      </c>
      <c r="B525" s="0" t="s">
        <v>259</v>
      </c>
      <c r="C525" s="0" t="s">
        <v>635</v>
      </c>
      <c r="D525" s="0" t="s">
        <v>636</v>
      </c>
    </row>
    <row r="526" customFormat="false" ht="15" hidden="false" customHeight="false" outlineLevel="0" collapsed="false">
      <c r="A526" s="0" t="n">
        <v>525</v>
      </c>
      <c r="B526" s="0" t="s">
        <v>259</v>
      </c>
      <c r="C526" s="0" t="s">
        <v>531</v>
      </c>
      <c r="D526" s="0" t="s">
        <v>330</v>
      </c>
      <c r="F526" s="0" t="s">
        <v>349</v>
      </c>
    </row>
    <row r="527" customFormat="false" ht="15" hidden="false" customHeight="false" outlineLevel="0" collapsed="false">
      <c r="A527" s="0" t="n">
        <v>526</v>
      </c>
      <c r="B527" s="0" t="s">
        <v>259</v>
      </c>
      <c r="C527" s="0" t="s">
        <v>329</v>
      </c>
      <c r="D527" s="0" t="s">
        <v>330</v>
      </c>
      <c r="F527" s="0" t="s">
        <v>329</v>
      </c>
    </row>
    <row r="528" customFormat="false" ht="15" hidden="false" customHeight="false" outlineLevel="0" collapsed="false">
      <c r="A528" s="0" t="n">
        <v>527</v>
      </c>
      <c r="B528" s="0" t="s">
        <v>262</v>
      </c>
      <c r="C528" s="0" t="s">
        <v>637</v>
      </c>
      <c r="D528" s="0" t="s">
        <v>330</v>
      </c>
      <c r="F528" s="0" t="s">
        <v>326</v>
      </c>
    </row>
    <row r="529" customFormat="false" ht="15" hidden="false" customHeight="false" outlineLevel="0" collapsed="false">
      <c r="A529" s="0" t="n">
        <v>528</v>
      </c>
      <c r="B529" s="0" t="s">
        <v>262</v>
      </c>
      <c r="C529" s="0" t="s">
        <v>638</v>
      </c>
      <c r="D529" s="0" t="s">
        <v>330</v>
      </c>
      <c r="F529" s="0" t="s">
        <v>332</v>
      </c>
    </row>
    <row r="530" customFormat="false" ht="15" hidden="false" customHeight="false" outlineLevel="0" collapsed="false">
      <c r="A530" s="0" t="n">
        <v>529</v>
      </c>
      <c r="B530" s="0" t="s">
        <v>262</v>
      </c>
      <c r="C530" s="0" t="s">
        <v>334</v>
      </c>
      <c r="D530" s="0" t="s">
        <v>330</v>
      </c>
      <c r="F530" s="0" t="s">
        <v>334</v>
      </c>
    </row>
    <row r="531" customFormat="false" ht="15" hidden="false" customHeight="false" outlineLevel="0" collapsed="false">
      <c r="A531" s="0" t="n">
        <v>530</v>
      </c>
      <c r="B531" s="0" t="s">
        <v>262</v>
      </c>
      <c r="C531" s="0" t="s">
        <v>342</v>
      </c>
      <c r="D531" s="0" t="s">
        <v>330</v>
      </c>
      <c r="F531" s="0" t="s">
        <v>342</v>
      </c>
    </row>
    <row r="532" customFormat="false" ht="15" hidden="false" customHeight="false" outlineLevel="0" collapsed="false">
      <c r="A532" s="0" t="n">
        <v>531</v>
      </c>
      <c r="B532" s="0" t="s">
        <v>262</v>
      </c>
      <c r="C532" s="0" t="s">
        <v>383</v>
      </c>
      <c r="D532" s="0" t="s">
        <v>330</v>
      </c>
    </row>
    <row r="533" customFormat="false" ht="15" hidden="false" customHeight="false" outlineLevel="0" collapsed="false">
      <c r="A533" s="0" t="n">
        <v>532</v>
      </c>
      <c r="B533" s="0" t="s">
        <v>265</v>
      </c>
      <c r="C533" s="0" t="s">
        <v>639</v>
      </c>
      <c r="D533" s="0" t="s">
        <v>509</v>
      </c>
      <c r="F533" s="0" t="s">
        <v>323</v>
      </c>
    </row>
    <row r="534" customFormat="false" ht="15" hidden="false" customHeight="false" outlineLevel="0" collapsed="false">
      <c r="A534" s="0" t="n">
        <v>533</v>
      </c>
      <c r="B534" s="0" t="s">
        <v>265</v>
      </c>
      <c r="C534" s="0" t="s">
        <v>640</v>
      </c>
      <c r="D534" s="0" t="s">
        <v>509</v>
      </c>
      <c r="F534" s="0" t="s">
        <v>326</v>
      </c>
    </row>
    <row r="535" customFormat="false" ht="15" hidden="false" customHeight="false" outlineLevel="0" collapsed="false">
      <c r="A535" s="0" t="n">
        <v>534</v>
      </c>
      <c r="B535" s="0" t="s">
        <v>265</v>
      </c>
      <c r="C535" s="0" t="s">
        <v>366</v>
      </c>
      <c r="D535" s="0" t="s">
        <v>330</v>
      </c>
      <c r="F535" s="0" t="s">
        <v>349</v>
      </c>
    </row>
    <row r="536" customFormat="false" ht="15" hidden="false" customHeight="false" outlineLevel="0" collapsed="false">
      <c r="A536" s="0" t="n">
        <v>535</v>
      </c>
      <c r="B536" s="0" t="s">
        <v>268</v>
      </c>
      <c r="C536" s="0" t="s">
        <v>321</v>
      </c>
      <c r="D536" s="0" t="s">
        <v>330</v>
      </c>
      <c r="F536" s="0" t="s">
        <v>323</v>
      </c>
    </row>
    <row r="537" customFormat="false" ht="15" hidden="false" customHeight="false" outlineLevel="0" collapsed="false">
      <c r="A537" s="0" t="n">
        <v>536</v>
      </c>
      <c r="B537" s="0" t="s">
        <v>268</v>
      </c>
      <c r="C537" s="0" t="s">
        <v>365</v>
      </c>
      <c r="D537" s="0" t="s">
        <v>330</v>
      </c>
      <c r="F537" s="0" t="s">
        <v>326</v>
      </c>
    </row>
    <row r="538" customFormat="false" ht="15" hidden="false" customHeight="false" outlineLevel="0" collapsed="false">
      <c r="A538" s="0" t="n">
        <v>537</v>
      </c>
      <c r="B538" s="0" t="s">
        <v>268</v>
      </c>
      <c r="C538" s="0" t="s">
        <v>415</v>
      </c>
      <c r="D538" s="0" t="s">
        <v>330</v>
      </c>
    </row>
    <row r="539" customFormat="false" ht="15" hidden="false" customHeight="false" outlineLevel="0" collapsed="false">
      <c r="A539" s="0" t="n">
        <v>538</v>
      </c>
      <c r="B539" s="0" t="s">
        <v>268</v>
      </c>
      <c r="C539" s="0" t="s">
        <v>342</v>
      </c>
      <c r="D539" s="0" t="s">
        <v>330</v>
      </c>
      <c r="F539" s="0" t="s">
        <v>342</v>
      </c>
    </row>
    <row r="540" customFormat="false" ht="15" hidden="false" customHeight="false" outlineLevel="0" collapsed="false">
      <c r="A540" s="0" t="n">
        <v>539</v>
      </c>
      <c r="B540" s="0" t="s">
        <v>268</v>
      </c>
      <c r="C540" s="0" t="s">
        <v>383</v>
      </c>
      <c r="D540" s="0" t="s">
        <v>330</v>
      </c>
    </row>
    <row r="541" customFormat="false" ht="15" hidden="false" customHeight="false" outlineLevel="0" collapsed="false">
      <c r="A541" s="0" t="n">
        <v>540</v>
      </c>
      <c r="B541" s="0" t="s">
        <v>272</v>
      </c>
      <c r="C541" s="0" t="s">
        <v>620</v>
      </c>
      <c r="D541" s="0" t="s">
        <v>330</v>
      </c>
      <c r="F541" s="0" t="s">
        <v>334</v>
      </c>
    </row>
    <row r="542" customFormat="false" ht="15" hidden="false" customHeight="false" outlineLevel="0" collapsed="false">
      <c r="A542" s="0" t="n">
        <v>541</v>
      </c>
      <c r="B542" s="0" t="s">
        <v>272</v>
      </c>
      <c r="C542" s="0" t="s">
        <v>372</v>
      </c>
      <c r="D542" s="0" t="s">
        <v>330</v>
      </c>
    </row>
    <row r="543" customFormat="false" ht="15" hidden="false" customHeight="false" outlineLevel="0" collapsed="false">
      <c r="A543" s="0" t="n">
        <v>542</v>
      </c>
      <c r="B543" s="0" t="s">
        <v>272</v>
      </c>
      <c r="C543" s="0" t="s">
        <v>341</v>
      </c>
      <c r="D543" s="0" t="s">
        <v>330</v>
      </c>
      <c r="F543" s="0" t="s">
        <v>341</v>
      </c>
    </row>
    <row r="544" customFormat="false" ht="15" hidden="false" customHeight="false" outlineLevel="0" collapsed="false">
      <c r="A544" s="0" t="n">
        <v>543</v>
      </c>
      <c r="B544" s="0" t="s">
        <v>272</v>
      </c>
      <c r="C544" s="0" t="s">
        <v>329</v>
      </c>
      <c r="D544" s="0" t="s">
        <v>330</v>
      </c>
      <c r="F544" s="0" t="s">
        <v>329</v>
      </c>
    </row>
    <row r="545" customFormat="false" ht="15" hidden="false" customHeight="false" outlineLevel="0" collapsed="false">
      <c r="A545" s="0" t="n">
        <v>544</v>
      </c>
      <c r="B545" s="0" t="s">
        <v>272</v>
      </c>
      <c r="C545" s="0" t="s">
        <v>342</v>
      </c>
      <c r="D545" s="0" t="s">
        <v>330</v>
      </c>
      <c r="F545" s="0" t="s">
        <v>342</v>
      </c>
    </row>
    <row r="546" customFormat="false" ht="15" hidden="false" customHeight="false" outlineLevel="0" collapsed="false">
      <c r="A546" s="0" t="n">
        <v>545</v>
      </c>
      <c r="B546" s="0" t="s">
        <v>272</v>
      </c>
      <c r="C546" s="0" t="s">
        <v>333</v>
      </c>
      <c r="D546" s="0" t="s">
        <v>330</v>
      </c>
    </row>
    <row r="547" customFormat="false" ht="15" hidden="false" customHeight="false" outlineLevel="0" collapsed="false">
      <c r="A547" s="0" t="n">
        <v>546</v>
      </c>
      <c r="B547" s="0" t="s">
        <v>274</v>
      </c>
      <c r="C547" s="0" t="s">
        <v>641</v>
      </c>
      <c r="D547" s="0" t="s">
        <v>642</v>
      </c>
      <c r="F547" s="0" t="s">
        <v>323</v>
      </c>
    </row>
    <row r="548" customFormat="false" ht="15" hidden="false" customHeight="false" outlineLevel="0" collapsed="false">
      <c r="A548" s="0" t="n">
        <v>547</v>
      </c>
      <c r="B548" s="0" t="s">
        <v>274</v>
      </c>
      <c r="C548" s="0" t="s">
        <v>643</v>
      </c>
      <c r="D548" s="0" t="s">
        <v>330</v>
      </c>
      <c r="F548" s="0" t="s">
        <v>323</v>
      </c>
    </row>
    <row r="549" customFormat="false" ht="15" hidden="false" customHeight="false" outlineLevel="0" collapsed="false">
      <c r="A549" s="0" t="n">
        <v>548</v>
      </c>
      <c r="B549" s="0" t="s">
        <v>274</v>
      </c>
      <c r="C549" s="0" t="s">
        <v>372</v>
      </c>
      <c r="D549" s="0" t="s">
        <v>330</v>
      </c>
    </row>
    <row r="550" customFormat="false" ht="15" hidden="false" customHeight="false" outlineLevel="0" collapsed="false">
      <c r="A550" s="0" t="n">
        <v>549</v>
      </c>
      <c r="B550" s="0" t="s">
        <v>274</v>
      </c>
      <c r="C550" s="0" t="s">
        <v>341</v>
      </c>
      <c r="D550" s="0" t="s">
        <v>330</v>
      </c>
      <c r="F550" s="0" t="s">
        <v>341</v>
      </c>
    </row>
    <row r="551" customFormat="false" ht="15" hidden="false" customHeight="false" outlineLevel="0" collapsed="false">
      <c r="A551" s="0" t="n">
        <v>550</v>
      </c>
      <c r="B551" s="0" t="s">
        <v>277</v>
      </c>
      <c r="C551" s="0" t="s">
        <v>644</v>
      </c>
      <c r="D551" s="0" t="s">
        <v>645</v>
      </c>
      <c r="E551" s="0" t="s">
        <v>377</v>
      </c>
      <c r="F551" s="0" t="s">
        <v>363</v>
      </c>
    </row>
    <row r="552" customFormat="false" ht="15" hidden="false" customHeight="false" outlineLevel="0" collapsed="false">
      <c r="A552" s="0" t="n">
        <v>551</v>
      </c>
      <c r="B552" s="0" t="s">
        <v>277</v>
      </c>
      <c r="C552" s="0" t="s">
        <v>646</v>
      </c>
      <c r="D552" s="0" t="s">
        <v>642</v>
      </c>
      <c r="E552" s="0" t="s">
        <v>647</v>
      </c>
      <c r="F552" s="0" t="s">
        <v>363</v>
      </c>
    </row>
    <row r="553" customFormat="false" ht="15" hidden="false" customHeight="false" outlineLevel="0" collapsed="false">
      <c r="A553" s="0" t="n">
        <v>552</v>
      </c>
      <c r="B553" s="0" t="s">
        <v>277</v>
      </c>
      <c r="C553" s="0" t="s">
        <v>321</v>
      </c>
      <c r="D553" s="0" t="s">
        <v>330</v>
      </c>
      <c r="F553" s="0" t="s">
        <v>323</v>
      </c>
    </row>
    <row r="554" customFormat="false" ht="15" hidden="false" customHeight="false" outlineLevel="0" collapsed="false">
      <c r="A554" s="0" t="n">
        <v>553</v>
      </c>
      <c r="B554" s="0" t="s">
        <v>277</v>
      </c>
      <c r="C554" s="0" t="s">
        <v>463</v>
      </c>
      <c r="D554" s="0" t="s">
        <v>330</v>
      </c>
      <c r="F554" s="0" t="s">
        <v>326</v>
      </c>
    </row>
    <row r="555" customFormat="false" ht="15" hidden="false" customHeight="false" outlineLevel="0" collapsed="false">
      <c r="A555" s="0" t="n">
        <v>554</v>
      </c>
      <c r="B555" s="0" t="s">
        <v>277</v>
      </c>
      <c r="C555" s="0" t="s">
        <v>404</v>
      </c>
      <c r="D555" s="0" t="s">
        <v>330</v>
      </c>
      <c r="F555" s="0" t="s">
        <v>349</v>
      </c>
    </row>
    <row r="556" customFormat="false" ht="15" hidden="false" customHeight="false" outlineLevel="0" collapsed="false">
      <c r="A556" s="0" t="n">
        <v>555</v>
      </c>
      <c r="B556" s="0" t="s">
        <v>281</v>
      </c>
      <c r="C556" s="0" t="s">
        <v>321</v>
      </c>
      <c r="D556" s="0" t="s">
        <v>330</v>
      </c>
      <c r="F556" s="0" t="s">
        <v>323</v>
      </c>
    </row>
    <row r="557" customFormat="false" ht="15" hidden="false" customHeight="false" outlineLevel="0" collapsed="false">
      <c r="A557" s="0" t="n">
        <v>556</v>
      </c>
      <c r="B557" s="0" t="s">
        <v>281</v>
      </c>
      <c r="C557" s="0" t="s">
        <v>387</v>
      </c>
      <c r="D557" s="0" t="s">
        <v>330</v>
      </c>
      <c r="F557" s="0" t="s">
        <v>326</v>
      </c>
    </row>
    <row r="558" customFormat="false" ht="15" hidden="false" customHeight="false" outlineLevel="0" collapsed="false">
      <c r="A558" s="0" t="n">
        <v>557</v>
      </c>
      <c r="B558" s="0" t="s">
        <v>281</v>
      </c>
      <c r="C558" s="0" t="s">
        <v>383</v>
      </c>
      <c r="D558" s="0" t="s">
        <v>330</v>
      </c>
    </row>
    <row r="559" customFormat="false" ht="15" hidden="false" customHeight="false" outlineLevel="0" collapsed="false">
      <c r="A559" s="0" t="n">
        <v>558</v>
      </c>
      <c r="B559" s="0" t="s">
        <v>281</v>
      </c>
      <c r="C559" s="0" t="s">
        <v>648</v>
      </c>
      <c r="D559" s="0" t="s">
        <v>330</v>
      </c>
    </row>
    <row r="560" customFormat="false" ht="15" hidden="false" customHeight="false" outlineLevel="0" collapsed="false">
      <c r="A560" s="0" t="n">
        <v>559</v>
      </c>
      <c r="B560" s="0" t="s">
        <v>284</v>
      </c>
      <c r="C560" s="0" t="s">
        <v>321</v>
      </c>
      <c r="D560" s="0" t="s">
        <v>370</v>
      </c>
      <c r="F560" s="0" t="s">
        <v>323</v>
      </c>
    </row>
    <row r="561" customFormat="false" ht="15" hidden="false" customHeight="false" outlineLevel="0" collapsed="false">
      <c r="A561" s="0" t="n">
        <v>560</v>
      </c>
      <c r="B561" s="0" t="s">
        <v>284</v>
      </c>
      <c r="C561" s="0" t="s">
        <v>649</v>
      </c>
      <c r="D561" s="0" t="s">
        <v>388</v>
      </c>
      <c r="F561" s="0" t="s">
        <v>326</v>
      </c>
    </row>
    <row r="562" customFormat="false" ht="15" hidden="false" customHeight="false" outlineLevel="0" collapsed="false">
      <c r="A562" s="0" t="n">
        <v>561</v>
      </c>
      <c r="B562" s="0" t="s">
        <v>284</v>
      </c>
      <c r="C562" s="0" t="s">
        <v>348</v>
      </c>
      <c r="D562" s="0" t="s">
        <v>330</v>
      </c>
      <c r="F562" s="0" t="s">
        <v>349</v>
      </c>
    </row>
    <row r="563" customFormat="false" ht="15" hidden="false" customHeight="false" outlineLevel="0" collapsed="false">
      <c r="A563" s="0" t="n">
        <v>562</v>
      </c>
      <c r="B563" s="0" t="s">
        <v>284</v>
      </c>
      <c r="C563" s="0" t="s">
        <v>374</v>
      </c>
      <c r="D563" s="0" t="s">
        <v>330</v>
      </c>
      <c r="F563" s="0" t="s">
        <v>363</v>
      </c>
    </row>
    <row r="564" customFormat="false" ht="15" hidden="false" customHeight="false" outlineLevel="0" collapsed="false">
      <c r="A564" s="0" t="n">
        <v>563</v>
      </c>
      <c r="B564" s="0" t="s">
        <v>284</v>
      </c>
      <c r="C564" s="0" t="s">
        <v>383</v>
      </c>
      <c r="D564" s="0" t="s">
        <v>330</v>
      </c>
    </row>
    <row r="565" customFormat="false" ht="15" hidden="false" customHeight="false" outlineLevel="0" collapsed="false">
      <c r="A565" s="0" t="n">
        <v>564</v>
      </c>
      <c r="B565" s="0" t="s">
        <v>287</v>
      </c>
      <c r="C565" s="0" t="s">
        <v>321</v>
      </c>
      <c r="D565" s="0" t="s">
        <v>370</v>
      </c>
      <c r="F565" s="0" t="s">
        <v>323</v>
      </c>
    </row>
    <row r="566" customFormat="false" ht="15" hidden="false" customHeight="false" outlineLevel="0" collapsed="false">
      <c r="A566" s="0" t="n">
        <v>565</v>
      </c>
      <c r="B566" s="0" t="s">
        <v>287</v>
      </c>
      <c r="C566" s="0" t="s">
        <v>365</v>
      </c>
      <c r="D566" s="0" t="s">
        <v>388</v>
      </c>
      <c r="F566" s="0" t="s">
        <v>326</v>
      </c>
    </row>
    <row r="567" customFormat="false" ht="15" hidden="false" customHeight="false" outlineLevel="0" collapsed="false">
      <c r="A567" s="0" t="n">
        <v>566</v>
      </c>
      <c r="B567" s="0" t="s">
        <v>287</v>
      </c>
      <c r="C567" s="0" t="s">
        <v>351</v>
      </c>
      <c r="D567" s="0" t="s">
        <v>330</v>
      </c>
      <c r="F567" s="0" t="s">
        <v>351</v>
      </c>
    </row>
    <row r="568" customFormat="false" ht="15" hidden="false" customHeight="false" outlineLevel="0" collapsed="false">
      <c r="A568" s="0" t="n">
        <v>567</v>
      </c>
      <c r="B568" s="0" t="s">
        <v>287</v>
      </c>
      <c r="C568" s="0" t="s">
        <v>348</v>
      </c>
      <c r="D568" s="0" t="s">
        <v>330</v>
      </c>
      <c r="F568" s="0" t="s">
        <v>349</v>
      </c>
    </row>
    <row r="569" customFormat="false" ht="15" hidden="false" customHeight="false" outlineLevel="0" collapsed="false">
      <c r="A569" s="0" t="n">
        <v>568</v>
      </c>
      <c r="B569" s="0" t="s">
        <v>287</v>
      </c>
      <c r="C569" s="0" t="s">
        <v>329</v>
      </c>
      <c r="D569" s="0" t="s">
        <v>330</v>
      </c>
      <c r="F569" s="0" t="s">
        <v>329</v>
      </c>
    </row>
    <row r="570" customFormat="false" ht="15" hidden="false" customHeight="false" outlineLevel="0" collapsed="false">
      <c r="A570" s="0" t="n">
        <v>569</v>
      </c>
      <c r="B570" s="0" t="s">
        <v>287</v>
      </c>
      <c r="C570" s="0" t="s">
        <v>650</v>
      </c>
      <c r="D570" s="0" t="s">
        <v>330</v>
      </c>
      <c r="F570" s="0" t="s">
        <v>428</v>
      </c>
    </row>
    <row r="571" customFormat="false" ht="15" hidden="false" customHeight="false" outlineLevel="0" collapsed="false">
      <c r="A571" s="0" t="n">
        <v>570</v>
      </c>
      <c r="B571" s="0" t="s">
        <v>290</v>
      </c>
      <c r="C571" s="0" t="s">
        <v>321</v>
      </c>
      <c r="D571" s="0" t="s">
        <v>330</v>
      </c>
      <c r="F571" s="0" t="s">
        <v>323</v>
      </c>
    </row>
    <row r="572" customFormat="false" ht="15" hidden="false" customHeight="false" outlineLevel="0" collapsed="false">
      <c r="A572" s="0" t="n">
        <v>571</v>
      </c>
      <c r="B572" s="0" t="s">
        <v>290</v>
      </c>
      <c r="C572" s="0" t="s">
        <v>365</v>
      </c>
      <c r="D572" s="0" t="s">
        <v>330</v>
      </c>
      <c r="F572" s="0" t="s">
        <v>326</v>
      </c>
    </row>
    <row r="573" customFormat="false" ht="15" hidden="false" customHeight="false" outlineLevel="0" collapsed="false">
      <c r="A573" s="0" t="n">
        <v>572</v>
      </c>
      <c r="B573" s="0" t="s">
        <v>290</v>
      </c>
      <c r="C573" s="0" t="s">
        <v>342</v>
      </c>
      <c r="D573" s="0" t="s">
        <v>330</v>
      </c>
      <c r="F573" s="0" t="s">
        <v>342</v>
      </c>
    </row>
    <row r="574" customFormat="false" ht="15" hidden="false" customHeight="false" outlineLevel="0" collapsed="false">
      <c r="A574" s="0" t="n">
        <v>573</v>
      </c>
      <c r="B574" s="0" t="s">
        <v>290</v>
      </c>
      <c r="C574" s="0" t="s">
        <v>356</v>
      </c>
      <c r="D574" s="0" t="s">
        <v>330</v>
      </c>
      <c r="F574" s="0" t="s">
        <v>332</v>
      </c>
    </row>
    <row r="575" customFormat="false" ht="15" hidden="false" customHeight="false" outlineLevel="0" collapsed="false">
      <c r="A575" s="0" t="n">
        <v>574</v>
      </c>
      <c r="B575" s="0" t="s">
        <v>290</v>
      </c>
      <c r="C575" s="0" t="s">
        <v>651</v>
      </c>
      <c r="D575" s="0" t="s">
        <v>330</v>
      </c>
      <c r="F575" s="0" t="s">
        <v>355</v>
      </c>
    </row>
    <row r="576" customFormat="false" ht="15" hidden="false" customHeight="false" outlineLevel="0" collapsed="false">
      <c r="A576" s="0" t="n">
        <v>575</v>
      </c>
      <c r="B576" s="0" t="s">
        <v>290</v>
      </c>
      <c r="C576" s="0" t="s">
        <v>383</v>
      </c>
      <c r="D576" s="0" t="s">
        <v>330</v>
      </c>
    </row>
    <row r="577" customFormat="false" ht="15" hidden="false" customHeight="false" outlineLevel="0" collapsed="false">
      <c r="A577" s="0" t="n">
        <v>576</v>
      </c>
      <c r="B577" s="0" t="s">
        <v>294</v>
      </c>
      <c r="C577" s="0" t="s">
        <v>321</v>
      </c>
      <c r="D577" s="0" t="s">
        <v>330</v>
      </c>
      <c r="F577" s="0" t="s">
        <v>323</v>
      </c>
    </row>
    <row r="578" customFormat="false" ht="15" hidden="false" customHeight="false" outlineLevel="0" collapsed="false">
      <c r="A578" s="0" t="n">
        <v>577</v>
      </c>
      <c r="B578" s="0" t="s">
        <v>294</v>
      </c>
      <c r="C578" s="0" t="s">
        <v>540</v>
      </c>
      <c r="D578" s="0" t="s">
        <v>330</v>
      </c>
      <c r="F578" s="0" t="s">
        <v>326</v>
      </c>
    </row>
    <row r="579" customFormat="false" ht="15" hidden="false" customHeight="false" outlineLevel="0" collapsed="false">
      <c r="A579" s="0" t="n">
        <v>578</v>
      </c>
      <c r="B579" s="0" t="s">
        <v>294</v>
      </c>
      <c r="C579" s="0" t="s">
        <v>541</v>
      </c>
      <c r="D579" s="0" t="s">
        <v>330</v>
      </c>
      <c r="F579" s="0" t="s">
        <v>363</v>
      </c>
    </row>
    <row r="580" customFormat="false" ht="15" hidden="false" customHeight="false" outlineLevel="0" collapsed="false">
      <c r="A580" s="0" t="n">
        <v>579</v>
      </c>
      <c r="B580" s="0" t="s">
        <v>294</v>
      </c>
      <c r="C580" s="0" t="s">
        <v>391</v>
      </c>
      <c r="D580" s="0" t="s">
        <v>330</v>
      </c>
      <c r="F580" s="0" t="s">
        <v>341</v>
      </c>
    </row>
    <row r="581" customFormat="false" ht="15" hidden="false" customHeight="false" outlineLevel="0" collapsed="false">
      <c r="A581" s="0" t="n">
        <v>580</v>
      </c>
      <c r="B581" s="0" t="s">
        <v>294</v>
      </c>
      <c r="C581" s="0" t="s">
        <v>351</v>
      </c>
      <c r="D581" s="0" t="s">
        <v>330</v>
      </c>
      <c r="F581" s="0" t="s">
        <v>351</v>
      </c>
    </row>
    <row r="582" customFormat="false" ht="15" hidden="false" customHeight="false" outlineLevel="0" collapsed="false">
      <c r="A582" s="0" t="n">
        <v>581</v>
      </c>
      <c r="B582" s="0" t="s">
        <v>294</v>
      </c>
      <c r="C582" s="0" t="s">
        <v>542</v>
      </c>
      <c r="D582" s="0" t="s">
        <v>330</v>
      </c>
      <c r="F582" s="0" t="s">
        <v>326</v>
      </c>
    </row>
    <row r="583" customFormat="false" ht="15" hidden="false" customHeight="false" outlineLevel="0" collapsed="false">
      <c r="A583" s="0" t="n">
        <v>582</v>
      </c>
      <c r="B583" s="0" t="s">
        <v>294</v>
      </c>
      <c r="C583" s="0" t="s">
        <v>652</v>
      </c>
      <c r="D583" s="0" t="s">
        <v>330</v>
      </c>
      <c r="F583" s="0" t="s">
        <v>408</v>
      </c>
    </row>
    <row r="584" customFormat="false" ht="15" hidden="false" customHeight="false" outlineLevel="0" collapsed="false">
      <c r="A584" s="0" t="n">
        <v>583</v>
      </c>
      <c r="B584" s="0" t="s">
        <v>297</v>
      </c>
      <c r="C584" s="0" t="s">
        <v>411</v>
      </c>
      <c r="D584" s="0" t="s">
        <v>653</v>
      </c>
      <c r="F584" s="0" t="s">
        <v>323</v>
      </c>
    </row>
    <row r="585" customFormat="false" ht="15" hidden="false" customHeight="false" outlineLevel="0" collapsed="false">
      <c r="A585" s="0" t="n">
        <v>584</v>
      </c>
      <c r="B585" s="0" t="s">
        <v>297</v>
      </c>
      <c r="C585" s="0" t="s">
        <v>387</v>
      </c>
      <c r="D585" s="0" t="s">
        <v>330</v>
      </c>
      <c r="F585" s="0" t="s">
        <v>326</v>
      </c>
    </row>
    <row r="586" customFormat="false" ht="15" hidden="false" customHeight="false" outlineLevel="0" collapsed="false">
      <c r="A586" s="0" t="n">
        <v>585</v>
      </c>
      <c r="B586" s="0" t="s">
        <v>297</v>
      </c>
      <c r="C586" s="0" t="s">
        <v>341</v>
      </c>
      <c r="D586" s="0" t="s">
        <v>330</v>
      </c>
      <c r="F586" s="0" t="s">
        <v>341</v>
      </c>
    </row>
    <row r="587" customFormat="false" ht="15" hidden="false" customHeight="false" outlineLevel="0" collapsed="false">
      <c r="A587" s="0" t="n">
        <v>586</v>
      </c>
      <c r="B587" s="0" t="s">
        <v>297</v>
      </c>
      <c r="C587" s="0" t="s">
        <v>329</v>
      </c>
      <c r="D587" s="0" t="s">
        <v>330</v>
      </c>
      <c r="F587" s="0" t="s">
        <v>329</v>
      </c>
    </row>
    <row r="588" customFormat="false" ht="15" hidden="false" customHeight="false" outlineLevel="0" collapsed="false">
      <c r="A588" s="0" t="n">
        <v>587</v>
      </c>
      <c r="B588" s="0" t="s">
        <v>297</v>
      </c>
      <c r="C588" s="0" t="s">
        <v>629</v>
      </c>
      <c r="D588" s="0" t="s">
        <v>330</v>
      </c>
    </row>
    <row r="589" customFormat="false" ht="15" hidden="false" customHeight="false" outlineLevel="0" collapsed="false">
      <c r="A589" s="0" t="n">
        <v>588</v>
      </c>
      <c r="B589" s="0" t="s">
        <v>297</v>
      </c>
      <c r="C589" s="0" t="s">
        <v>342</v>
      </c>
      <c r="D589" s="0" t="s">
        <v>330</v>
      </c>
      <c r="F589" s="0" t="s">
        <v>342</v>
      </c>
    </row>
    <row r="590" customFormat="false" ht="15" hidden="false" customHeight="false" outlineLevel="0" collapsed="false">
      <c r="A590" s="0" t="n">
        <v>589</v>
      </c>
      <c r="B590" s="0" t="s">
        <v>297</v>
      </c>
      <c r="C590" s="0" t="s">
        <v>334</v>
      </c>
      <c r="D590" s="0" t="s">
        <v>330</v>
      </c>
      <c r="F590" s="0" t="s">
        <v>334</v>
      </c>
    </row>
    <row r="591" customFormat="false" ht="15" hidden="false" customHeight="false" outlineLevel="0" collapsed="false">
      <c r="A591" s="0" t="n">
        <v>590</v>
      </c>
      <c r="B591" s="0" t="s">
        <v>297</v>
      </c>
      <c r="C591" s="0" t="s">
        <v>654</v>
      </c>
      <c r="D591" s="0" t="s">
        <v>330</v>
      </c>
      <c r="F591" s="0" t="s">
        <v>369</v>
      </c>
    </row>
    <row r="592" customFormat="false" ht="15" hidden="false" customHeight="false" outlineLevel="0" collapsed="false">
      <c r="A592" s="0" t="n">
        <v>591</v>
      </c>
      <c r="B592" s="0" t="s">
        <v>297</v>
      </c>
      <c r="C592" s="0" t="s">
        <v>655</v>
      </c>
      <c r="D592" s="0" t="s">
        <v>330</v>
      </c>
      <c r="F592" s="0" t="s">
        <v>369</v>
      </c>
    </row>
    <row r="593" customFormat="false" ht="15" hidden="false" customHeight="false" outlineLevel="0" collapsed="false">
      <c r="A593" s="0" t="n">
        <v>592</v>
      </c>
      <c r="B593" s="0" t="s">
        <v>301</v>
      </c>
      <c r="C593" s="0" t="s">
        <v>321</v>
      </c>
      <c r="D593" s="0" t="s">
        <v>330</v>
      </c>
      <c r="F593" s="0" t="s">
        <v>323</v>
      </c>
    </row>
    <row r="594" customFormat="false" ht="15" hidden="false" customHeight="false" outlineLevel="0" collapsed="false">
      <c r="A594" s="0" t="n">
        <v>593</v>
      </c>
      <c r="B594" s="0" t="s">
        <v>301</v>
      </c>
      <c r="C594" s="0" t="s">
        <v>324</v>
      </c>
      <c r="D594" s="0" t="s">
        <v>330</v>
      </c>
      <c r="F594" s="0" t="s">
        <v>326</v>
      </c>
    </row>
    <row r="595" customFormat="false" ht="15" hidden="false" customHeight="false" outlineLevel="0" collapsed="false">
      <c r="A595" s="0" t="n">
        <v>594</v>
      </c>
      <c r="B595" s="0" t="s">
        <v>301</v>
      </c>
      <c r="C595" s="0" t="s">
        <v>656</v>
      </c>
      <c r="D595" s="0" t="s">
        <v>330</v>
      </c>
    </row>
    <row r="596" customFormat="false" ht="15" hidden="false" customHeight="false" outlineLevel="0" collapsed="false">
      <c r="A596" s="0" t="n">
        <v>595</v>
      </c>
      <c r="B596" s="0" t="s">
        <v>304</v>
      </c>
      <c r="C596" s="0" t="s">
        <v>567</v>
      </c>
      <c r="D596" s="0" t="s">
        <v>330</v>
      </c>
      <c r="F596" s="0" t="s">
        <v>323</v>
      </c>
    </row>
    <row r="597" customFormat="false" ht="15" hidden="false" customHeight="false" outlineLevel="0" collapsed="false">
      <c r="A597" s="0" t="n">
        <v>596</v>
      </c>
      <c r="B597" s="0" t="s">
        <v>304</v>
      </c>
      <c r="C597" s="0" t="s">
        <v>327</v>
      </c>
      <c r="D597" s="0" t="s">
        <v>330</v>
      </c>
      <c r="F597" s="0" t="s">
        <v>326</v>
      </c>
    </row>
    <row r="598" customFormat="false" ht="15" hidden="false" customHeight="false" outlineLevel="0" collapsed="false">
      <c r="A598" s="0" t="n">
        <v>597</v>
      </c>
      <c r="B598" s="0" t="s">
        <v>304</v>
      </c>
      <c r="C598" s="0" t="s">
        <v>657</v>
      </c>
      <c r="D598" s="0" t="s">
        <v>330</v>
      </c>
    </row>
    <row r="599" customFormat="false" ht="15" hidden="false" customHeight="false" outlineLevel="0" collapsed="false">
      <c r="A599" s="0" t="n">
        <v>598</v>
      </c>
      <c r="B599" s="0" t="s">
        <v>307</v>
      </c>
      <c r="C599" s="0" t="s">
        <v>321</v>
      </c>
      <c r="D599" s="0" t="s">
        <v>330</v>
      </c>
      <c r="F599" s="0" t="s">
        <v>323</v>
      </c>
    </row>
    <row r="600" customFormat="false" ht="15" hidden="false" customHeight="false" outlineLevel="0" collapsed="false">
      <c r="A600" s="0" t="n">
        <v>599</v>
      </c>
      <c r="B600" s="0" t="s">
        <v>307</v>
      </c>
      <c r="C600" s="0" t="s">
        <v>658</v>
      </c>
      <c r="D600" s="0" t="s">
        <v>330</v>
      </c>
      <c r="F600" s="0" t="s">
        <v>326</v>
      </c>
    </row>
    <row r="601" customFormat="false" ht="15" hidden="false" customHeight="false" outlineLevel="0" collapsed="false">
      <c r="A601" s="0" t="n">
        <v>600</v>
      </c>
      <c r="B601" s="0" t="s">
        <v>307</v>
      </c>
      <c r="C601" s="0" t="s">
        <v>329</v>
      </c>
      <c r="D601" s="0" t="s">
        <v>330</v>
      </c>
      <c r="F601" s="0" t="s">
        <v>329</v>
      </c>
    </row>
    <row r="602" customFormat="false" ht="15" hidden="false" customHeight="false" outlineLevel="0" collapsed="false">
      <c r="A602" s="0" t="n">
        <v>601</v>
      </c>
      <c r="B602" s="0" t="s">
        <v>307</v>
      </c>
      <c r="C602" s="0" t="s">
        <v>659</v>
      </c>
      <c r="D602" s="0" t="s">
        <v>330</v>
      </c>
    </row>
    <row r="603" customFormat="false" ht="15" hidden="false" customHeight="false" outlineLevel="0" collapsed="false">
      <c r="A603" s="0" t="n">
        <v>602</v>
      </c>
      <c r="B603" s="0" t="s">
        <v>307</v>
      </c>
      <c r="C603" s="0" t="s">
        <v>395</v>
      </c>
      <c r="D603" s="0" t="s">
        <v>330</v>
      </c>
      <c r="F603" s="0" t="s">
        <v>332</v>
      </c>
    </row>
    <row r="604" customFormat="false" ht="15" hidden="false" customHeight="false" outlineLevel="0" collapsed="false">
      <c r="A604" s="0" t="n">
        <v>603</v>
      </c>
      <c r="B604" s="0" t="s">
        <v>307</v>
      </c>
      <c r="C604" s="0" t="s">
        <v>341</v>
      </c>
      <c r="D604" s="0" t="s">
        <v>330</v>
      </c>
      <c r="F604" s="0" t="s">
        <v>341</v>
      </c>
    </row>
    <row r="605" customFormat="false" ht="15" hidden="false" customHeight="false" outlineLevel="0" collapsed="false">
      <c r="A605" s="0" t="n">
        <v>604</v>
      </c>
      <c r="B605" s="0" t="s">
        <v>310</v>
      </c>
      <c r="C605" s="0" t="s">
        <v>321</v>
      </c>
      <c r="D605" s="0" t="s">
        <v>330</v>
      </c>
      <c r="F605" s="0" t="s">
        <v>323</v>
      </c>
    </row>
    <row r="606" customFormat="false" ht="15" hidden="false" customHeight="false" outlineLevel="0" collapsed="false">
      <c r="A606" s="0" t="n">
        <v>605</v>
      </c>
      <c r="B606" s="0" t="s">
        <v>310</v>
      </c>
      <c r="C606" s="0" t="s">
        <v>365</v>
      </c>
      <c r="D606" s="0" t="s">
        <v>330</v>
      </c>
      <c r="F606" s="0" t="s">
        <v>326</v>
      </c>
    </row>
    <row r="607" customFormat="false" ht="15" hidden="false" customHeight="false" outlineLevel="0" collapsed="false">
      <c r="A607" s="0" t="n">
        <v>606</v>
      </c>
      <c r="B607" s="0" t="s">
        <v>310</v>
      </c>
      <c r="C607" s="0" t="s">
        <v>351</v>
      </c>
      <c r="D607" s="0" t="s">
        <v>330</v>
      </c>
      <c r="F607" s="0" t="s">
        <v>351</v>
      </c>
    </row>
    <row r="608" customFormat="false" ht="15" hidden="false" customHeight="false" outlineLevel="0" collapsed="false">
      <c r="A608" s="0" t="n">
        <v>607</v>
      </c>
      <c r="B608" s="0" t="s">
        <v>310</v>
      </c>
      <c r="C608" s="0" t="s">
        <v>342</v>
      </c>
      <c r="D608" s="0" t="s">
        <v>330</v>
      </c>
      <c r="F608" s="0" t="s">
        <v>342</v>
      </c>
    </row>
    <row r="609" customFormat="false" ht="15" hidden="false" customHeight="false" outlineLevel="0" collapsed="false">
      <c r="A609" s="0" t="n">
        <v>608</v>
      </c>
      <c r="B609" s="0" t="s">
        <v>310</v>
      </c>
      <c r="C609" s="0" t="s">
        <v>372</v>
      </c>
      <c r="D609" s="0" t="s">
        <v>330</v>
      </c>
    </row>
    <row r="610" customFormat="false" ht="15" hidden="false" customHeight="false" outlineLevel="0" collapsed="false">
      <c r="A610" s="0" t="n">
        <v>609</v>
      </c>
      <c r="B610" s="0" t="s">
        <v>310</v>
      </c>
      <c r="C610" s="0" t="s">
        <v>660</v>
      </c>
      <c r="D610" s="0" t="s">
        <v>330</v>
      </c>
      <c r="F610" s="0" t="s">
        <v>386</v>
      </c>
    </row>
    <row r="611" customFormat="false" ht="15" hidden="false" customHeight="false" outlineLevel="0" collapsed="false">
      <c r="A611" s="0" t="n">
        <v>610</v>
      </c>
      <c r="B611" s="0" t="s">
        <v>314</v>
      </c>
      <c r="C611" s="0" t="s">
        <v>661</v>
      </c>
      <c r="D611" s="0" t="s">
        <v>330</v>
      </c>
    </row>
    <row r="612" customFormat="false" ht="15" hidden="false" customHeight="false" outlineLevel="0" collapsed="false">
      <c r="A612" s="0" t="n">
        <v>611</v>
      </c>
      <c r="B612" s="0" t="s">
        <v>314</v>
      </c>
      <c r="C612" s="0" t="s">
        <v>662</v>
      </c>
      <c r="D612" s="0" t="s">
        <v>330</v>
      </c>
      <c r="F612" s="0" t="s">
        <v>392</v>
      </c>
    </row>
    <row r="613" customFormat="false" ht="15" hidden="false" customHeight="false" outlineLevel="0" collapsed="false">
      <c r="A613" s="0" t="n">
        <v>612</v>
      </c>
      <c r="B613" s="0" t="s">
        <v>314</v>
      </c>
      <c r="C613" s="0" t="s">
        <v>390</v>
      </c>
      <c r="D613" s="0" t="s">
        <v>330</v>
      </c>
      <c r="F613" s="0" t="s">
        <v>386</v>
      </c>
    </row>
    <row r="614" customFormat="false" ht="15" hidden="false" customHeight="false" outlineLevel="0" collapsed="false">
      <c r="A614" s="0" t="n">
        <v>613</v>
      </c>
      <c r="B614" s="0" t="s">
        <v>314</v>
      </c>
      <c r="C614" s="0" t="s">
        <v>663</v>
      </c>
      <c r="D614" s="0" t="s">
        <v>330</v>
      </c>
      <c r="F614" s="0" t="s">
        <v>355</v>
      </c>
    </row>
    <row r="615" customFormat="false" ht="15" hidden="false" customHeight="false" outlineLevel="0" collapsed="false">
      <c r="A615" s="0" t="n">
        <v>614</v>
      </c>
      <c r="B615" s="0" t="s">
        <v>314</v>
      </c>
      <c r="C615" s="0" t="s">
        <v>664</v>
      </c>
      <c r="D615" s="0" t="s">
        <v>330</v>
      </c>
      <c r="F615" s="0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</cols>
  <sheetData>
    <row r="1" customFormat="false" ht="17.35" hidden="false" customHeight="false" outlineLevel="0" collapsed="false">
      <c r="A1" s="2" t="s">
        <v>665</v>
      </c>
      <c r="B1" s="2"/>
      <c r="C1" s="2"/>
      <c r="D1" s="2"/>
    </row>
    <row r="3" customFormat="false" ht="15" hidden="false" customHeight="false" outlineLevel="0" collapsed="false">
      <c r="A3" s="3" t="s">
        <v>666</v>
      </c>
      <c r="B3" s="3" t="s">
        <v>667</v>
      </c>
    </row>
    <row r="4" customFormat="false" ht="15" hidden="false" customHeight="false" outlineLevel="0" collapsed="false">
      <c r="A4" s="0" t="s">
        <v>668</v>
      </c>
      <c r="B4" s="0" t="n">
        <f aca="false">COUNTA('Clinics Overview'!B2:B99)</f>
        <v>98</v>
      </c>
    </row>
    <row r="5" customFormat="false" ht="15" hidden="false" customHeight="false" outlineLevel="0" collapsed="false">
      <c r="A5" s="0" t="s">
        <v>669</v>
      </c>
      <c r="B5" s="0" t="n">
        <f aca="false">SUMPRODUCT(--((ISNUMBER(SEARCH("yes",'Clinics Overview'!G2:G99))+ISNUMBER(SEARCH("partial",'Clinics Overview'!G2:G99)))&gt;0))</f>
        <v>31</v>
      </c>
    </row>
    <row r="6" customFormat="false" ht="15" hidden="false" customHeight="false" outlineLevel="0" collapsed="false">
      <c r="A6" s="0" t="s">
        <v>670</v>
      </c>
      <c r="B6" s="0" t="n">
        <f aca="false">B4-B5</f>
        <v>67</v>
      </c>
    </row>
    <row r="7" customFormat="false" ht="15" hidden="false" customHeight="false" outlineLevel="0" collapsed="false">
      <c r="A7" s="0" t="s">
        <v>671</v>
      </c>
      <c r="B7" s="0" t="n">
        <f aca="false">COUNTA('All Procedures'!C2:C615)</f>
        <v>614</v>
      </c>
    </row>
    <row r="9" customFormat="false" ht="15" hidden="false" customHeight="false" outlineLevel="0" collapsed="false">
      <c r="A9" s="3" t="s">
        <v>672</v>
      </c>
      <c r="B9" s="3" t="s">
        <v>673</v>
      </c>
    </row>
    <row r="10" customFormat="false" ht="15" hidden="false" customHeight="false" outlineLevel="0" collapsed="false">
      <c r="A10" s="0" t="s">
        <v>323</v>
      </c>
      <c r="B10" s="0" t="n">
        <f aca="false">SUMPRODUCT(--(COUNTIFS('All Procedures'!$B$2:$B$615,'Clinics Overview'!$B$2:$B$99,'All Procedures'!$F$2:$F$615,"*"&amp;"Botox / Neuromodulators"&amp;"*")&gt;0))</f>
        <v>88</v>
      </c>
    </row>
    <row r="11" customFormat="false" ht="15" hidden="false" customHeight="false" outlineLevel="0" collapsed="false">
      <c r="A11" s="0" t="s">
        <v>326</v>
      </c>
      <c r="B11" s="0" t="n">
        <f aca="false">SUMPRODUCT(--(COUNTIFS('All Procedures'!$B$2:$B$615,'Clinics Overview'!$B$2:$B$99,'All Procedures'!$F$2:$F$615,"*"&amp;"Dermal / Lip Fillers"&amp;"*")&gt;0))</f>
        <v>77</v>
      </c>
    </row>
    <row r="12" customFormat="false" ht="15" hidden="false" customHeight="false" outlineLevel="0" collapsed="false">
      <c r="A12" s="0" t="s">
        <v>349</v>
      </c>
      <c r="B12" s="0" t="n">
        <f aca="false">SUMPRODUCT(--(COUNTIFS('All Procedures'!$B$2:$B$615,'Clinics Overview'!$B$2:$B$99,'All Procedures'!$F$2:$F$615,"*"&amp;"Sculptra / Biostimulators"&amp;"*")&gt;0))</f>
        <v>28</v>
      </c>
    </row>
    <row r="13" customFormat="false" ht="15" hidden="false" customHeight="false" outlineLevel="0" collapsed="false">
      <c r="A13" s="0" t="s">
        <v>351</v>
      </c>
      <c r="B13" s="0" t="n">
        <f aca="false">SUMPRODUCT(--(COUNTIFS('All Procedures'!$B$2:$B$615,'Clinics Overview'!$B$2:$B$99,'All Procedures'!$F$2:$F$615,"*"&amp;"Kybella"&amp;"*")&gt;0))</f>
        <v>18</v>
      </c>
    </row>
    <row r="14" customFormat="false" ht="15" hidden="false" customHeight="false" outlineLevel="0" collapsed="false">
      <c r="A14" s="0" t="s">
        <v>341</v>
      </c>
      <c r="B14" s="0" t="n">
        <f aca="false">SUMPRODUCT(--(COUNTIFS('All Procedures'!$B$2:$B$615,'Clinics Overview'!$B$2:$B$99,'All Procedures'!$F$2:$F$615,"*"&amp;"HydraFacial"&amp;"*")&gt;0))</f>
        <v>33</v>
      </c>
    </row>
    <row r="15" customFormat="false" ht="15" hidden="false" customHeight="false" outlineLevel="0" collapsed="false">
      <c r="A15" s="0" t="s">
        <v>334</v>
      </c>
      <c r="B15" s="0" t="n">
        <f aca="false">SUMPRODUCT(--(COUNTIFS('All Procedures'!$B$2:$B$615,'Clinics Overview'!$B$2:$B$99,'All Procedures'!$F$2:$F$615,"*"&amp;"Chemical Peels"&amp;"*")&gt;0))</f>
        <v>39</v>
      </c>
    </row>
    <row r="16" customFormat="false" ht="15" hidden="false" customHeight="false" outlineLevel="0" collapsed="false">
      <c r="A16" s="0" t="s">
        <v>342</v>
      </c>
      <c r="B16" s="0" t="n">
        <f aca="false">SUMPRODUCT(--(COUNTIFS('All Procedures'!$B$2:$B$615,'Clinics Overview'!$B$2:$B$99,'All Procedures'!$F$2:$F$615,"*"&amp;"Microneedling"&amp;"*")&gt;0))</f>
        <v>41</v>
      </c>
    </row>
    <row r="17" customFormat="false" ht="15" hidden="false" customHeight="false" outlineLevel="0" collapsed="false">
      <c r="A17" s="0" t="s">
        <v>329</v>
      </c>
      <c r="B17" s="0" t="n">
        <f aca="false">SUMPRODUCT(--(COUNTIFS('All Procedures'!$B$2:$B$615,'Clinics Overview'!$B$2:$B$99,'All Procedures'!$F$2:$F$615,"*"&amp;"Laser Hair Removal"&amp;"*")&gt;0))</f>
        <v>28</v>
      </c>
    </row>
    <row r="18" customFormat="false" ht="15" hidden="false" customHeight="false" outlineLevel="0" collapsed="false">
      <c r="A18" s="0" t="s">
        <v>363</v>
      </c>
      <c r="B18" s="0" t="n">
        <f aca="false">SUMPRODUCT(--(COUNTIFS('All Procedures'!$B$2:$B$615,'Clinics Overview'!$B$2:$B$99,'All Procedures'!$F$2:$F$615,"*"&amp;"Body Contouring / CoolSculpting"&amp;"*")&gt;0))</f>
        <v>27</v>
      </c>
    </row>
    <row r="19" customFormat="false" ht="15" hidden="false" customHeight="false" outlineLevel="0" collapsed="false">
      <c r="A19" s="0" t="s">
        <v>340</v>
      </c>
      <c r="B19" s="0" t="n">
        <f aca="false">SUMPRODUCT(--(COUNTIFS('All Procedures'!$B$2:$B$615,'Clinics Overview'!$B$2:$B$99,'All Procedures'!$F$2:$F$615,"*"&amp;"Skin Tightening (Morpheus8/RF)"&amp;"*")&gt;0))</f>
        <v>14</v>
      </c>
    </row>
    <row r="20" customFormat="false" ht="15" hidden="false" customHeight="false" outlineLevel="0" collapsed="false">
      <c r="A20" s="0" t="s">
        <v>369</v>
      </c>
      <c r="B20" s="0" t="n">
        <f aca="false">SUMPRODUCT(--(COUNTIFS('All Procedures'!$B$2:$B$615,'Clinics Overview'!$B$2:$B$99,'All Procedures'!$F$2:$F$615,"*"&amp;"IV Therapy"&amp;"*")&gt;0))</f>
        <v>10</v>
      </c>
    </row>
    <row r="21" customFormat="false" ht="15" hidden="false" customHeight="false" outlineLevel="0" collapsed="false">
      <c r="A21" s="0" t="s">
        <v>355</v>
      </c>
      <c r="B21" s="0" t="n">
        <f aca="false">SUMPRODUCT(--(COUNTIFS('All Procedures'!$B$2:$B$615,'Clinics Overview'!$B$2:$B$99,'All Procedures'!$F$2:$F$615,"*"&amp;"PRP / PRF"&amp;"*")&gt;0))</f>
        <v>16</v>
      </c>
    </row>
    <row r="22" customFormat="false" ht="15" hidden="false" customHeight="false" outlineLevel="0" collapsed="false">
      <c r="A22" s="0" t="s">
        <v>386</v>
      </c>
      <c r="B22" s="0" t="n">
        <f aca="false">SUMPRODUCT(--(COUNTIFS('All Procedures'!$B$2:$B$615,'Clinics Overview'!$B$2:$B$99,'All Procedures'!$F$2:$F$615,"*"&amp;"Medical Weight Loss / GLP-1"&amp;"*")&gt;0))</f>
        <v>17</v>
      </c>
    </row>
    <row r="23" customFormat="false" ht="15" hidden="false" customHeight="false" outlineLevel="0" collapsed="false">
      <c r="A23" s="0" t="s">
        <v>392</v>
      </c>
      <c r="B23" s="0" t="n">
        <f aca="false">SUMPRODUCT(--(COUNTIFS('All Procedures'!$B$2:$B$615,'Clinics Overview'!$B$2:$B$99,'All Procedures'!$F$2:$F$615,"*"&amp;"Hormone Therapy"&amp;"*")&gt;0))</f>
        <v>10</v>
      </c>
    </row>
    <row r="24" customFormat="false" ht="15" hidden="false" customHeight="false" outlineLevel="0" collapsed="false">
      <c r="A24" s="0" t="s">
        <v>332</v>
      </c>
      <c r="B24" s="0" t="n">
        <f aca="false">SUMPRODUCT(--(COUNTIFS('All Procedures'!$B$2:$B$615,'Clinics Overview'!$B$2:$B$99,'All Procedures'!$F$2:$F$615,"*"&amp;"IPL / Photofacial"&amp;"*")&gt;0))</f>
        <v>31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0" t="s">
        <v>674</v>
      </c>
    </row>
    <row r="3" customFormat="false" ht="15" hidden="false" customHeight="false" outlineLevel="0" collapsed="false">
      <c r="A3" s="0" t="s">
        <v>675</v>
      </c>
    </row>
    <row r="4" customFormat="false" ht="15" hidden="false" customHeight="false" outlineLevel="0" collapsed="false">
      <c r="A4" s="0" t="s">
        <v>676</v>
      </c>
    </row>
    <row r="5" customFormat="false" ht="15" hidden="false" customHeight="false" outlineLevel="0" collapsed="false">
      <c r="A5" s="0" t="s">
        <v>677</v>
      </c>
    </row>
    <row r="6" customFormat="false" ht="15" hidden="false" customHeight="false" outlineLevel="0" collapsed="false">
      <c r="A6" s="0" t="s">
        <v>678</v>
      </c>
    </row>
    <row r="7" customFormat="false" ht="15" hidden="false" customHeight="false" outlineLevel="0" collapsed="false">
      <c r="A7" s="0" t="s">
        <v>679</v>
      </c>
    </row>
    <row r="8" customFormat="false" ht="15" hidden="false" customHeight="false" outlineLevel="0" collapsed="false">
      <c r="A8" s="0" t="s">
        <v>680</v>
      </c>
    </row>
    <row r="9" customFormat="false" ht="15" hidden="false" customHeight="false" outlineLevel="0" collapsed="false">
      <c r="A9" s="0" t="s">
        <v>681</v>
      </c>
    </row>
    <row r="10" customFormat="false" ht="15" hidden="false" customHeight="false" outlineLevel="0" collapsed="false">
      <c r="A10" s="0" t="s">
        <v>682</v>
      </c>
    </row>
    <row r="11" customFormat="false" ht="15" hidden="false" customHeight="false" outlineLevel="0" collapsed="false">
      <c r="A11" s="0" t="s">
        <v>683</v>
      </c>
    </row>
    <row r="12" customFormat="false" ht="15" hidden="false" customHeight="false" outlineLevel="0" collapsed="false">
      <c r="A12" s="0" t="s">
        <v>684</v>
      </c>
    </row>
    <row r="14" customFormat="false" ht="15" hidden="false" customHeight="false" outlineLevel="0" collapsed="false">
      <c r="A14" s="0" t="s">
        <v>685</v>
      </c>
    </row>
    <row r="15" customFormat="false" ht="15" hidden="false" customHeight="false" outlineLevel="0" collapsed="false">
      <c r="A15" s="0" t="s">
        <v>686</v>
      </c>
    </row>
    <row r="16" customFormat="false" ht="15" hidden="false" customHeight="false" outlineLevel="0" collapsed="false">
      <c r="A16" s="0" t="s">
        <v>687</v>
      </c>
    </row>
    <row r="17" customFormat="false" ht="15" hidden="false" customHeight="false" outlineLevel="0" collapsed="false">
      <c r="A17" s="0" t="s">
        <v>688</v>
      </c>
    </row>
    <row r="18" customFormat="false" ht="15" hidden="false" customHeight="false" outlineLevel="0" collapsed="false">
      <c r="A18" s="0" t="s">
        <v>689</v>
      </c>
    </row>
    <row r="20" customFormat="false" ht="15" hidden="false" customHeight="false" outlineLevel="0" collapsed="false">
      <c r="A20" s="0" t="s">
        <v>690</v>
      </c>
    </row>
    <row r="21" customFormat="false" ht="15" hidden="false" customHeight="false" outlineLevel="0" collapsed="false">
      <c r="A21" s="0" t="s">
        <v>691</v>
      </c>
    </row>
    <row r="23" customFormat="false" ht="15" hidden="false" customHeight="false" outlineLevel="0" collapsed="false">
      <c r="A23" s="0" t="s">
        <v>692</v>
      </c>
    </row>
    <row r="24" customFormat="false" ht="15" hidden="false" customHeight="false" outlineLevel="0" collapsed="false">
      <c r="A24" s="0" t="s">
        <v>693</v>
      </c>
    </row>
    <row r="25" customFormat="false" ht="15" hidden="false" customHeight="false" outlineLevel="0" collapsed="false">
      <c r="A25" s="0" t="s">
        <v>694</v>
      </c>
    </row>
    <row r="26" customFormat="false" ht="15" hidden="false" customHeight="false" outlineLevel="0" collapsed="false">
      <c r="A26" s="0" t="s">
        <v>695</v>
      </c>
    </row>
    <row r="27" customFormat="false" ht="15" hidden="false" customHeight="false" outlineLevel="0" collapsed="false">
      <c r="A27" s="0" t="s">
        <v>696</v>
      </c>
    </row>
    <row r="28" customFormat="false" ht="15" hidden="false" customHeight="false" outlineLevel="0" collapsed="false">
      <c r="A28" s="0" t="s">
        <v>697</v>
      </c>
    </row>
    <row r="29" customFormat="false" ht="15" hidden="false" customHeight="false" outlineLevel="0" collapsed="false">
      <c r="A29" s="0" t="s">
        <v>698</v>
      </c>
    </row>
    <row r="31" customFormat="false" ht="15" hidden="false" customHeight="false" outlineLevel="0" collapsed="false">
      <c r="A31" s="0" t="s">
        <v>699</v>
      </c>
    </row>
    <row r="32" customFormat="false" ht="15" hidden="false" customHeight="false" outlineLevel="0" collapsed="false">
      <c r="A32" s="0" t="s">
        <v>700</v>
      </c>
    </row>
    <row r="33" customFormat="false" ht="15" hidden="false" customHeight="false" outlineLevel="0" collapsed="false">
      <c r="A33" s="0" t="s">
        <v>701</v>
      </c>
    </row>
    <row r="34" customFormat="false" ht="15" hidden="false" customHeight="false" outlineLevel="0" collapsed="false">
      <c r="A34" s="0" t="s">
        <v>702</v>
      </c>
    </row>
    <row r="35" customFormat="false" ht="15" hidden="false" customHeight="false" outlineLevel="0" collapsed="false">
      <c r="A35" s="0" t="s">
        <v>703</v>
      </c>
    </row>
    <row r="36" customFormat="false" ht="15" hidden="false" customHeight="false" outlineLevel="0" collapsed="false">
      <c r="A36" s="0" t="s">
        <v>704</v>
      </c>
    </row>
    <row r="37" customFormat="false" ht="15" hidden="false" customHeight="false" outlineLevel="0" collapsed="false">
      <c r="A37" s="0" t="s">
        <v>705</v>
      </c>
    </row>
    <row r="39" customFormat="false" ht="15" hidden="false" customHeight="false" outlineLevel="0" collapsed="false">
      <c r="A39" s="0" t="s">
        <v>706</v>
      </c>
    </row>
    <row r="41" customFormat="false" ht="15" hidden="false" customHeight="false" outlineLevel="0" collapsed="false">
      <c r="A41" s="0" t="s">
        <v>707</v>
      </c>
    </row>
    <row r="42" customFormat="false" ht="15" hidden="false" customHeight="false" outlineLevel="0" collapsed="false">
      <c r="A42" s="0" t="s">
        <v>708</v>
      </c>
    </row>
    <row r="43" customFormat="false" ht="15" hidden="false" customHeight="false" outlineLevel="0" collapsed="false">
      <c r="A43" s="0" t="s">
        <v>709</v>
      </c>
    </row>
    <row r="44" customFormat="false" ht="15" hidden="false" customHeight="false" outlineLevel="0" collapsed="false">
      <c r="A44" s="0" t="s">
        <v>710</v>
      </c>
    </row>
    <row r="45" customFormat="false" ht="15" hidden="false" customHeight="false" outlineLevel="0" collapsed="false">
      <c r="A45" s="0" t="s">
        <v>711</v>
      </c>
    </row>
    <row r="46" customFormat="false" ht="15" hidden="false" customHeight="false" outlineLevel="0" collapsed="false">
      <c r="A46" s="0" t="s">
        <v>712</v>
      </c>
    </row>
    <row r="47" customFormat="false" ht="15" hidden="false" customHeight="false" outlineLevel="0" collapsed="false">
      <c r="A47" s="0" t="s">
        <v>713</v>
      </c>
    </row>
    <row r="48" customFormat="false" ht="15" hidden="false" customHeight="false" outlineLevel="0" collapsed="false">
      <c r="A48" s="0" t="s">
        <v>714</v>
      </c>
    </row>
    <row r="50" customFormat="false" ht="15" hidden="false" customHeight="false" outlineLevel="0" collapsed="false">
      <c r="A50" s="0" t="s">
        <v>715</v>
      </c>
    </row>
    <row r="51" customFormat="false" ht="15" hidden="false" customHeight="false" outlineLevel="0" collapsed="false">
      <c r="A51" s="0" t="s">
        <v>716</v>
      </c>
    </row>
    <row r="52" customFormat="false" ht="15" hidden="false" customHeight="false" outlineLevel="0" collapsed="false">
      <c r="A52" s="0" t="s">
        <v>717</v>
      </c>
    </row>
    <row r="53" customFormat="false" ht="15" hidden="false" customHeight="false" outlineLevel="0" collapsed="false">
      <c r="A53" s="0" t="s">
        <v>718</v>
      </c>
    </row>
    <row r="54" customFormat="false" ht="15" hidden="false" customHeight="false" outlineLevel="0" collapsed="false">
      <c r="A54" s="0" t="s">
        <v>719</v>
      </c>
    </row>
    <row r="55" customFormat="false" ht="15" hidden="false" customHeight="false" outlineLevel="0" collapsed="false">
      <c r="A55" s="0" t="s">
        <v>720</v>
      </c>
    </row>
    <row r="57" customFormat="false" ht="15" hidden="false" customHeight="false" outlineLevel="0" collapsed="false">
      <c r="A57" s="0" t="s">
        <v>721</v>
      </c>
    </row>
    <row r="58" customFormat="false" ht="15" hidden="false" customHeight="false" outlineLevel="0" collapsed="false">
      <c r="A58" s="0" t="s">
        <v>722</v>
      </c>
    </row>
    <row r="59" customFormat="false" ht="15" hidden="false" customHeight="false" outlineLevel="0" collapsed="false">
      <c r="A59" s="0" t="s">
        <v>723</v>
      </c>
    </row>
    <row r="60" customFormat="false" ht="15" hidden="false" customHeight="false" outlineLevel="0" collapsed="false">
      <c r="A60" s="0" t="s">
        <v>724</v>
      </c>
    </row>
    <row r="61" customFormat="false" ht="15" hidden="false" customHeight="false" outlineLevel="0" collapsed="false">
      <c r="A61" s="0" t="s">
        <v>725</v>
      </c>
    </row>
    <row r="62" customFormat="false" ht="15" hidden="false" customHeight="false" outlineLevel="0" collapsed="false">
      <c r="A62" s="0" t="s">
        <v>726</v>
      </c>
    </row>
    <row r="63" customFormat="false" ht="15" hidden="false" customHeight="false" outlineLevel="0" collapsed="false">
      <c r="A63" s="0" t="s">
        <v>727</v>
      </c>
    </row>
    <row r="64" customFormat="false" ht="15" hidden="false" customHeight="false" outlineLevel="0" collapsed="false">
      <c r="A64" s="0" t="s">
        <v>728</v>
      </c>
    </row>
    <row r="65" customFormat="false" ht="15" hidden="false" customHeight="false" outlineLevel="0" collapsed="false">
      <c r="A65" s="0" t="s">
        <v>729</v>
      </c>
    </row>
    <row r="66" customFormat="false" ht="15" hidden="false" customHeight="false" outlineLevel="0" collapsed="false">
      <c r="A66" s="0" t="s">
        <v>730</v>
      </c>
    </row>
    <row r="68" customFormat="false" ht="15" hidden="false" customHeight="false" outlineLevel="0" collapsed="false">
      <c r="A68" s="0" t="s">
        <v>731</v>
      </c>
    </row>
    <row r="69" customFormat="false" ht="15" hidden="false" customHeight="false" outlineLevel="0" collapsed="false">
      <c r="A69" s="0" t="s">
        <v>732</v>
      </c>
    </row>
    <row r="70" customFormat="false" ht="15" hidden="false" customHeight="false" outlineLevel="0" collapsed="false">
      <c r="A70" s="0" t="s">
        <v>733</v>
      </c>
    </row>
    <row r="71" customFormat="false" ht="15" hidden="false" customHeight="false" outlineLevel="0" collapsed="false">
      <c r="A71" s="0" t="s">
        <v>734</v>
      </c>
    </row>
    <row r="72" customFormat="false" ht="15" hidden="false" customHeight="false" outlineLevel="0" collapsed="false">
      <c r="A72" s="0" t="s">
        <v>735</v>
      </c>
    </row>
    <row r="73" customFormat="false" ht="15" hidden="false" customHeight="false" outlineLevel="0" collapsed="false">
      <c r="A73" s="0" t="s">
        <v>736</v>
      </c>
    </row>
    <row r="75" customFormat="false" ht="15" hidden="false" customHeight="false" outlineLevel="0" collapsed="false">
      <c r="A75" s="0" t="s">
        <v>737</v>
      </c>
    </row>
    <row r="76" customFormat="false" ht="15" hidden="false" customHeight="false" outlineLevel="0" collapsed="false">
      <c r="A76" s="0" t="s">
        <v>738</v>
      </c>
    </row>
    <row r="78" customFormat="false" ht="15" hidden="false" customHeight="false" outlineLevel="0" collapsed="false">
      <c r="A78" s="0" t="s">
        <v>739</v>
      </c>
    </row>
    <row r="79" customFormat="false" ht="15" hidden="false" customHeight="false" outlineLevel="0" collapsed="false">
      <c r="A79" s="0" t="s">
        <v>740</v>
      </c>
    </row>
    <row r="80" customFormat="false" ht="15" hidden="false" customHeight="false" outlineLevel="0" collapsed="false">
      <c r="A80" s="0" t="s">
        <v>741</v>
      </c>
    </row>
    <row r="81" customFormat="false" ht="15" hidden="false" customHeight="false" outlineLevel="0" collapsed="false">
      <c r="A81" s="0" t="s">
        <v>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2026-08-24T16:38:14Z</dcterms:created>
  <dc:creator>openpyxl</dc:creator>
  <dc:description/>
  <dc:language>en-US</dc:language>
  <cp:lastModifiedBy/>
  <dcterms:modified xsi:type="dcterms:W3CDTF">2026-08-24T16:38:14Z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