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<sst xmlns="http://schemas.openxmlformats.org/spreadsheetml/2006/main" count="3957" uniqueCount="1088">
  <si>
    <t xml:space="preserve">#</t>
  </si>
  <si>
    <t xml:space="preserve">Clinic</t>
  </si>
  <si>
    <t xml:space="preserve">Neighborhood</t>
  </si>
  <si>
    <t xml:space="preserve">Address</t>
  </si>
  <si>
    <t xml:space="preserve">Website</t>
  </si>
  <si>
    <t xml:space="preserve"># Procedures Listed</t>
  </si>
  <si>
    <t xml:space="preserve">Pricing Transparency</t>
  </si>
  <si>
    <t xml:space="preserve">Source</t>
  </si>
  <si>
    <t xml:space="preserve">Contact / Scheduling Email</t>
  </si>
  <si>
    <t xml:space="preserve">Infinity MedSpa and Wellness</t>
  </si>
  <si>
    <t xml:space="preserve">SouthPark</t>
  </si>
  <si>
    <t xml:space="preserve">2809 Coltsgate Rd #100, Charlotte, NC</t>
  </si>
  <si>
    <t xml:space="preserve">https://infinitymedspaandwellness.com</t>
  </si>
  <si>
    <t xml:space="preserve">No — 21-item service menu published, no prices anywhere (Book Now only)</t>
  </si>
  <si>
    <t xml:space="preserve">Maps sweep (see Notes tab for pass detail)</t>
  </si>
  <si>
    <t xml:space="preserve">Not found on site (phone only: 704-733-9202, contact form, no mailto)</t>
  </si>
  <si>
    <t xml:space="preserve">Jon 'Ric Medical Spa and Wellness Center</t>
  </si>
  <si>
    <t xml:space="preserve">SouthPark / Woodlawn</t>
  </si>
  <si>
    <t xml:space="preserve">1600 E Woodlawn Rd #360, Charlotte, NC</t>
  </si>
  <si>
    <t xml:space="preserve">https://jonriccharlottemedicalspa.com</t>
  </si>
  <si>
    <t xml:space="preserve">Partial — promo pricing only ($250 off Emsculpt Neo 4-pkg), no base prices published</t>
  </si>
  <si>
    <t xml:space="preserve">jonricmedspa@gmail.com</t>
  </si>
  <si>
    <t xml:space="preserve">Azura Medical Spa</t>
  </si>
  <si>
    <t xml:space="preserve">Steele Creek</t>
  </si>
  <si>
    <t xml:space="preserve">2540 W Arrowood Rd Ste 100, Charlotte, NC</t>
  </si>
  <si>
    <t xml:space="preserve">https://azuramedicalspa.com</t>
  </si>
  <si>
    <t xml:space="preserve">No — 10 service categories, no prices published</t>
  </si>
  <si>
    <t xml:space="preserve">info@azuramedspa.com</t>
  </si>
  <si>
    <t xml:space="preserve">The Modern Aesthetic - Uptown</t>
  </si>
  <si>
    <t xml:space="preserve">Uptown</t>
  </si>
  <si>
    <t xml:space="preserve">525 Ellis Ln Ste 105, Charlotte, NC 28202</t>
  </si>
  <si>
    <t xml:space="preserve">https://www.themodernaesthetic.co</t>
  </si>
  <si>
    <t xml:space="preserve">Yes — full published pricing (Botox $15/unit, Dysport $13/unit, Filler $850/syringe, HydraFacial $199-325, VI Peel $350-900, Brow Lamination $125-165)</t>
  </si>
  <si>
    <t xml:space="preserve">info@themodernaesthetic.co</t>
  </si>
  <si>
    <t xml:space="preserve">Prestige Med Spa and Wellness Center</t>
  </si>
  <si>
    <t xml:space="preserve">Steele Creek / Ayrsley</t>
  </si>
  <si>
    <t xml:space="preserve">2136 Ayrsley Town Blvd Ste A, Charlotte, NC</t>
  </si>
  <si>
    <t xml:space="preserve">https://prestigemedicalspacharlotte.com</t>
  </si>
  <si>
    <t xml:space="preserve">No — FemiLift, Soprano ICE, weight mgmt, hormone optimization; no prices published</t>
  </si>
  <si>
    <t xml:space="preserve">prestiegemedspacharlotte@gmail.com</t>
  </si>
  <si>
    <t xml:space="preserve">Allure Medical</t>
  </si>
  <si>
    <t xml:space="preserve">Elizabeth</t>
  </si>
  <si>
    <t xml:space="preserve">330 Billingsley Rd Ste 201, Charlotte, NC</t>
  </si>
  <si>
    <t xml:space="preserve">https://alluremedical.com/locations/charlotte-nc</t>
  </si>
  <si>
    <t xml:space="preserve">Partial — promo pricing only (Botox/Xeomin $8/unit sale, lip filler $399 special), no standard base prices</t>
  </si>
  <si>
    <t xml:space="preserve">info@alluremedical.com</t>
  </si>
  <si>
    <t xml:space="preserve">Miramae Medical Skin Care Studio</t>
  </si>
  <si>
    <t xml:space="preserve">Dilworth</t>
  </si>
  <si>
    <t xml:space="preserve">1232 East Blvd, Charlotte, NC</t>
  </si>
  <si>
    <t xml:space="preserve">https://miramaestudio.com</t>
  </si>
  <si>
    <t xml:space="preserve">Yes — extensive itemized price list (Botox $13.50/unit, Dysport $4.85/unit, fillers $770-1540+, Sculptra $870/vial, Kybella $650/vial, HALO/MOXI/BBL lasers, full facial + waxing menu)</t>
  </si>
  <si>
    <t xml:space="preserve">info@miramaestudio.com</t>
  </si>
  <si>
    <t xml:space="preserve">OVME</t>
  </si>
  <si>
    <t xml:space="preserve">South End / Dilworth</t>
  </si>
  <si>
    <t xml:space="preserve">2040 South Blvd Ste 2, Charlotte, NC</t>
  </si>
  <si>
    <t xml:space="preserve">https://ovme.com/pages/south-end-charlotte-nc</t>
  </si>
  <si>
    <t xml:space="preserve">Yes — full chain-wide 'starting at' price list (Botox from $9/unit, filler from $499/syringe, HydraFacial from $149, etc.)</t>
  </si>
  <si>
    <t xml:space="preserve">help@ovme.com</t>
  </si>
  <si>
    <t xml:space="preserve">VIO Med Spa | Rea Farms</t>
  </si>
  <si>
    <t xml:space="preserve">Rea Farms (Ballantyne area)</t>
  </si>
  <si>
    <t xml:space="preserve">9905 Sandy Rock Pl G, Charlotte, NC</t>
  </si>
  <si>
    <t xml:space="preserve">https://viomedspa.com/charlotte</t>
  </si>
  <si>
    <t xml:space="preserve">Partial — $99/mo membership gives $3/unit off toxin + 15% off; base non-member prices not published</t>
  </si>
  <si>
    <t xml:space="preserve">info@viomedspa.com</t>
  </si>
  <si>
    <t xml:space="preserve">FANOUS MEDSPA - Charlotte</t>
  </si>
  <si>
    <t xml:space="preserve">Steele Creek / Pineville</t>
  </si>
  <si>
    <t xml:space="preserve">10926 S Tryon St Suite D, Charlotte, NC</t>
  </si>
  <si>
    <t xml:space="preserve">https://www.fanousmedspa.com</t>
  </si>
  <si>
    <t xml:space="preserve">No — 'pricing varies' language, no published rates</t>
  </si>
  <si>
    <t xml:space="preserve">info@fanousmedspa.com</t>
  </si>
  <si>
    <t xml:space="preserve">Evolve Medical Associates</t>
  </si>
  <si>
    <t xml:space="preserve">5821 Fairview Rd #115, Charlotte, NC</t>
  </si>
  <si>
    <t xml:space="preserve">https://www.evolvemetoday.com</t>
  </si>
  <si>
    <t xml:space="preserve">No — ~30-item full menu (neuromodulators/fillers/Sculptra/Kybella/face/body/laser/weight-loss/wellness), no prices published</t>
  </si>
  <si>
    <t xml:space="preserve">Not found on site (contact form only, phone/text)</t>
  </si>
  <si>
    <t xml:space="preserve">Tyme Day Spa</t>
  </si>
  <si>
    <t xml:space="preserve">402 W Trade St Ste 102, Charlotte, NC</t>
  </si>
  <si>
    <t xml:space="preserve">https://tymedayspa.com</t>
  </si>
  <si>
    <t xml:space="preserve">Partial — day spa (not medical, no injectables) but offers HydraFacial; massages $120-144, back facial $150, membership $95/mo</t>
  </si>
  <si>
    <t xml:space="preserve">info@tymedayspa.com</t>
  </si>
  <si>
    <t xml:space="preserve">Elase Medical Spa - Charlotte - SouthPark</t>
  </si>
  <si>
    <t xml:space="preserve">6000 Fairview Rd #275, Charlotte, NC</t>
  </si>
  <si>
    <t xml:space="preserve">https://elase.com</t>
  </si>
  <si>
    <t xml:space="preserve">Partial — 3rd-party sourced facial/HydraFacial pricing ($155-295, not official); confirmed membership $99/mo (10% off) or $199/mo (15% off)</t>
  </si>
  <si>
    <t xml:space="preserve">SouthPark@elase.com</t>
  </si>
  <si>
    <t xml:space="preserve">Eden MedSpa</t>
  </si>
  <si>
    <t xml:space="preserve">Ballantyne area</t>
  </si>
  <si>
    <t xml:space="preserve">10614 Providence Rd Ste 4, Charlotte, NC</t>
  </si>
  <si>
    <t xml:space="preserve">https://www.myedenmedspa.com</t>
  </si>
  <si>
    <t xml:space="preserve">No — 6 categories (Botox/filler, Kybella/lip filler, facials/peels, microdermabrasion, women's health, anti-aging), no prices published</t>
  </si>
  <si>
    <t xml:space="preserve">Not found on site (phone only: 980-272-5085, contact form)</t>
  </si>
  <si>
    <t xml:space="preserve">Replenish Health Spa</t>
  </si>
  <si>
    <t xml:space="preserve">SouthPark / Park Rd</t>
  </si>
  <si>
    <t xml:space="preserve">4805 Park Rd Ste 225, Charlotte, NC</t>
  </si>
  <si>
    <t xml:space="preserve">https://replenishhealthspa.com</t>
  </si>
  <si>
    <t xml:space="preserve">Partial — only a 3rd-party financing price found (hair restoration from $208/mo); no direct prices on their own site</t>
  </si>
  <si>
    <t xml:space="preserve">info@replenishhealthspa.com</t>
  </si>
  <si>
    <t xml:space="preserve">Ageless Remedies SouthPark</t>
  </si>
  <si>
    <t xml:space="preserve">3900 Colony Rd, Charlotte, NC 28211</t>
  </si>
  <si>
    <t xml:space="preserve">https://agelessremedies.com</t>
  </si>
  <si>
    <t xml:space="preserve">Partial — Botox $12.99/unit, Daxxify $10/unit (special), Accure 4-tx laser series $2,995 (reg. $4,400); large published treatment menu (~38 items) but most individual prices not shown</t>
  </si>
  <si>
    <t xml:space="preserve">Not found on site (phone only: 704-364-3332)</t>
  </si>
  <si>
    <t xml:space="preserve">ZEM Aesthetics &amp; Med Spa</t>
  </si>
  <si>
    <t xml:space="preserve">Highland Creek / University City</t>
  </si>
  <si>
    <t xml:space="preserve">10320 Mallard Creek Rd #180, Charlotte, NC 28262</t>
  </si>
  <si>
    <t xml:space="preserve">https://zemmedspa.com</t>
  </si>
  <si>
    <t xml:space="preserve">Partial — laser leg sessions $199, chemical peel $50-off promo (both 3rd-party/Instagram sourced, not official site)</t>
  </si>
  <si>
    <t xml:space="preserve">Info@zemmedspa.com</t>
  </si>
  <si>
    <t xml:space="preserve">M2 Medical Spa and Wellness</t>
  </si>
  <si>
    <t xml:space="preserve">Ballantyne</t>
  </si>
  <si>
    <t xml:space="preserve">8430 Rea Rd Ste E, Charlotte, NC 28277</t>
  </si>
  <si>
    <t xml:space="preserve">https://www.m2medicalspaandwellness.com</t>
  </si>
  <si>
    <t xml:space="preserve">Yes — HydraFacial $199/$249/$325, laser hair removal from $99, injections $329-569, skincare/facials $30-325</t>
  </si>
  <si>
    <t xml:space="preserve">info@m2medicalspaandwellness.com</t>
  </si>
  <si>
    <t xml:space="preserve">The Modern Aesthetic (Ballantyne)</t>
  </si>
  <si>
    <t xml:space="preserve">7940 Williams Pond Ln #250, Charlotte, NC</t>
  </si>
  <si>
    <t xml:space="preserve">Yes — same published pricing as Uptown location (Botox $15/unit, Filler $850/syringe, HydraFacial $199-325, VI Peel $350-900)</t>
  </si>
  <si>
    <t xml:space="preserve">Aesthetica Med Spa</t>
  </si>
  <si>
    <t xml:space="preserve">8809 Lenox Pointe Dr Ste C, Charlotte, NC 28273</t>
  </si>
  <si>
    <t xml:space="preserve">https://aestheticamspa.com</t>
  </si>
  <si>
    <t xml:space="preserve">Yes — one of the most extensive published price lists found (Botox $14/unit, Dysport-equiv $13/unit, Jeuveau $13/unit, fillers $750-6,500, Sculptra series $1,600-4,000, Tixel, MicronJet, microneedling, VI Peel, memberships $165-390/mo)</t>
  </si>
  <si>
    <t xml:space="preserve">jodirn@aestheticamspa.com</t>
  </si>
  <si>
    <t xml:space="preserve">Plumped</t>
  </si>
  <si>
    <t xml:space="preserve">West Charlotte / Wesley Heights</t>
  </si>
  <si>
    <t xml:space="preserve">1227 W Morehead St Ste 120, Charlotte, NC 28208</t>
  </si>
  <si>
    <t xml:space="preserve">https://plumpedclt.com</t>
  </si>
  <si>
    <t xml:space="preserve">No — ~25-item injectables/facials/laser menu (fillers, neuromodulators, skin boosters, Renuva, PDO threads, Morpheus8, Moxi, HALO Tribrid, BBL), no client treatment prices published (only a $2,000 injector-training-class fee, not a patient price; retail skincare products $79-195)</t>
  </si>
  <si>
    <t xml:space="preserve">hello@plumpedclt.com</t>
  </si>
  <si>
    <t xml:space="preserve">CLT Aesthetics</t>
  </si>
  <si>
    <t xml:space="preserve">Elizabeth / Metropolitan</t>
  </si>
  <si>
    <t xml:space="preserve">900 Metropolitan Ave Ste 1B Unit 103, Charlotte, NC 28204</t>
  </si>
  <si>
    <t xml:space="preserve">https://charlotte-aesthetic.com</t>
  </si>
  <si>
    <t xml:space="preserve">Yes — Botox $14/unit ($10/unit daily special per social), Daxxify $10/unit, Dysport $6.50/unit, Filler $850 full/$450 half syringe, Dissolve Filler $250+, free consult</t>
  </si>
  <si>
    <t xml:space="preserve">cltaesthetics@gmail.com</t>
  </si>
  <si>
    <t xml:space="preserve">Capizzi, MD Cosmetic Surgery &amp; Med Spa</t>
  </si>
  <si>
    <t xml:space="preserve">900 East Blvd, Charlotte, NC 28203</t>
  </si>
  <si>
    <t xml:space="preserve">https://www.capizzimd.com</t>
  </si>
  <si>
    <t xml:space="preserve">Yes — one of the most extensive published price lists found (Botox $15/unit, Dysport $7/unit, Kybella $1,500, Sculptra $800/vial, Bellafill $1,000, full laser hair removal menu $200-$800, Hydrafacial MD tiers $250-$1,150, Juvederm family $850/syringe, diVa, HALO, MicroLaser Peel, miraDry)</t>
  </si>
  <si>
    <t xml:space="preserve">frontdesk@capizzimd.com</t>
  </si>
  <si>
    <t xml:space="preserve">Med Boutique - Aesthetic Injectables</t>
  </si>
  <si>
    <t xml:space="preserve">Ballantyne / Piper Glen</t>
  </si>
  <si>
    <t xml:space="preserve">10030 Park Cedar Dr Ste 101, Charlotte, NC 28210</t>
  </si>
  <si>
    <t xml:space="preserve">https://www.beautifycharlotte.com</t>
  </si>
  <si>
    <t xml:space="preserve">No — 5 categories (neurotoxin, dermal fillers/biostimulators, microneedling, men's aesthetics, eyelid lifts), no confirmed on-site pricing (3rd-party cites ~$10/unit, unconfirmed)</t>
  </si>
  <si>
    <t xml:space="preserve">info@beautifycharlotte.com</t>
  </si>
  <si>
    <t xml:space="preserve">Lifted Aesthetics Charlotte</t>
  </si>
  <si>
    <t xml:space="preserve">Davidson / Lake Norman (immediate metro)</t>
  </si>
  <si>
    <t xml:space="preserve">705 Northeast Dr Ste 13, Davidson, NC 28036</t>
  </si>
  <si>
    <t xml:space="preserve">https://liftedaestheticsclt.com</t>
  </si>
  <si>
    <t xml:space="preserve">Yes — one of the most extensive published price lists found (Botox/Xeomin $12/unit, Dysport $4/unit, Letybo $10/unit, fillers $600-850/syringe, Sculptra $1,600-3,500, non-surgical BBL $6,500-13,500, Kybella/PCDC $500-1,000/area, PRP series $850-1,200, weight loss, dermaplaning, facials, RF microneedling, CO2 resurfacing, laser hair removal, hair restoration)</t>
  </si>
  <si>
    <t xml:space="preserve">liftedaestheticsclt@gmail.com</t>
  </si>
  <si>
    <t xml:space="preserve">SkinSpirit Charlotte</t>
  </si>
  <si>
    <t xml:space="preserve">Myers Park / Providence Rd</t>
  </si>
  <si>
    <t xml:space="preserve">1041 Providence Rd Ste 180, Charlotte, NC 28207</t>
  </si>
  <si>
    <t xml:space="preserve">https://www.skinspirit.com/locations/charlotte</t>
  </si>
  <si>
    <t xml:space="preserve">No — national chain policy, no prices published online, consult required</t>
  </si>
  <si>
    <t xml:space="preserve">charlotte@skinspirit.com</t>
  </si>
  <si>
    <t xml:space="preserve">Charlotte Skin and Laser</t>
  </si>
  <si>
    <t xml:space="preserve">130 Providence Rd, Charlotte, NC</t>
  </si>
  <si>
    <t xml:space="preserve">https://charlotteskinandlaser.com</t>
  </si>
  <si>
    <t xml:space="preserve">Partial — dermatology practice; Facial $225 (50min)/$300 (80min), Acne Facial $175-300, Decollete $100, $150 consult fee</t>
  </si>
  <si>
    <t xml:space="preserve">Not found on site (phone only: 704-333-9113)</t>
  </si>
  <si>
    <t xml:space="preserve">704 Aesthetics</t>
  </si>
  <si>
    <t xml:space="preserve">1814 Euclid Ave, Charlotte, NC</t>
  </si>
  <si>
    <t xml:space="preserve">https://www.704aesthetics.com</t>
  </si>
  <si>
    <t xml:space="preserve">Yes — Botox $13/unit, Dysport/Xeomin $12/unit, Lip Flip $120, Lip Filler $750, Cheek/Chin/Jawline $800/syringe, Hyperdilute Radiesse $800/syringe, Filler Dissolving $300</t>
  </si>
  <si>
    <t xml:space="preserve">704aesthetics@gmail.com</t>
  </si>
  <si>
    <t xml:space="preserve">Beautox and Fillers of Charlotte</t>
  </si>
  <si>
    <t xml:space="preserve">Pineville-Matthews area</t>
  </si>
  <si>
    <t xml:space="preserve">8324 Pineville-Matthews Rd Ste 204, Charlotte, NC</t>
  </si>
  <si>
    <t xml:space="preserve">Instagram only (@beautoxandfillersofcharlotte), no standalone website found</t>
  </si>
  <si>
    <t xml:space="preserve">No — single-injector Instagram-based business; no official pricing page found (address on Maps may be outdated — Instagram cites 10643 Kettering Dr)</t>
  </si>
  <si>
    <t xml:space="preserve">Not found (Instagram/phone only: 704-659-9000)</t>
  </si>
  <si>
    <t xml:space="preserve">Carolina Facial Plastics</t>
  </si>
  <si>
    <t xml:space="preserve">SouthPark / Fairview</t>
  </si>
  <si>
    <t xml:space="preserve">6817 Fairview Rd, Charlotte, NC</t>
  </si>
  <si>
    <t xml:space="preserve">https://carolinafacialplasticsurgery.com</t>
  </si>
  <si>
    <t xml:space="preserve">Partial — hybrid plastic surgery + med spa; published cost RANGES via blog (facial fat transfer $2,500-5,500, neck lift $8,500-13,000, lip filler $500-1,500/syringe), no per-treatment menu prices</t>
  </si>
  <si>
    <t xml:space="preserve">Not found on site (phone only: 704-323-5090)</t>
  </si>
  <si>
    <t xml:space="preserve">Criswell &amp; Criswell Plastic Surgery &amp; MedSpa</t>
  </si>
  <si>
    <t xml:space="preserve">14835 Ballantyne Village Way, Charlotte, NC</t>
  </si>
  <si>
    <t xml:space="preserve">https://www.criswellandcriswell.com</t>
  </si>
  <si>
    <t xml:space="preserve">Partial — filler starts at $700/syringe; Platinum Membership gives $1 off/unit neurotoxin; full menu not itemized on site</t>
  </si>
  <si>
    <t xml:space="preserve">Not found on site (phone only: 704-424-5050)</t>
  </si>
  <si>
    <t xml:space="preserve">Charlotte Medical Aesthetics</t>
  </si>
  <si>
    <t xml:space="preserve">1818 Cumberland Ave, Charlotte, NC</t>
  </si>
  <si>
    <t xml:space="preserve">https://charlottemedicalaesthetics.com</t>
  </si>
  <si>
    <t xml:space="preserve">No — physician-led, consult-based custom pricing model, no published rates (Botox, fillers, skin tightening, microneedling, CoolPeel laser)</t>
  </si>
  <si>
    <t xml:space="preserve">hello@cltmedaesthetics.com</t>
  </si>
  <si>
    <t xml:space="preserve">Bella Aesthetics &amp; Wellness</t>
  </si>
  <si>
    <t xml:space="preserve">Dilworth (unverified)</t>
  </si>
  <si>
    <t xml:space="preserve">1130 Harding Pl, Charlotte, NC</t>
  </si>
  <si>
    <t xml:space="preserve">Unable to verify — no matching official standalone website found; conflicting/thin directory listings only, and the Realtor.com listing suggests 1130 Harding Pl may now be a private residence</t>
  </si>
  <si>
    <t xml:space="preserve">TBD</t>
  </si>
  <si>
    <t xml:space="preserve">TBD — could not confirm this business is still operating at the listed address</t>
  </si>
  <si>
    <t xml:space="preserve">GLO30 Charlotte Plaza Midwood</t>
  </si>
  <si>
    <t xml:space="preserve">Plaza Midwood</t>
  </si>
  <si>
    <t xml:space="preserve">1711 Commonwealth Ave #135, Charlotte, NC 28205</t>
  </si>
  <si>
    <t xml:space="preserve">https://glo30.com/charlotte-plaza-midwood</t>
  </si>
  <si>
    <t xml:space="preserve">Yes — national facial-membership chain; SmartGLO $99/mo, TOX Membership $125/mo, TotalGLO $299/mo, Botox by area $125 (TOX member)/$150 (SmartGLO)/$199 (non-member)</t>
  </si>
  <si>
    <t xml:space="preserve">Not found on site (phone/text only: 704-800-4066)</t>
  </si>
  <si>
    <t xml:space="preserve">Drip IV Wellness &amp; MedSpa</t>
  </si>
  <si>
    <t xml:space="preserve">NoDa</t>
  </si>
  <si>
    <t xml:space="preserve">3123 N Davidson St Ste 103, Charlotte, NC 28205</t>
  </si>
  <si>
    <t xml:space="preserve">https://www.dripivspa.com/charlotte</t>
  </si>
  <si>
    <t xml:space="preserve">Yes — extensive published pricing: Botox $12.50/unit, Dysport $4.20/unit, Juvederm family $775/syringe, Versa $775/syringe, Sculptra $880 (1 vial)/$2,380 (3), Kybella $660 (1 vial)/$1,900 (3), weight loss visit $110 ($375/3-mo pkg)</t>
  </si>
  <si>
    <t xml:space="preserve">hello@dripivspa.com</t>
  </si>
  <si>
    <t xml:space="preserve">Femme Medspa</t>
  </si>
  <si>
    <t xml:space="preserve">Plaza Midwood area</t>
  </si>
  <si>
    <t xml:space="preserve">1110 Morningside Dr d, Charlotte, NC</t>
  </si>
  <si>
    <t xml:space="preserve">https://www.femmemedspa.com</t>
  </si>
  <si>
    <t xml:space="preserve">Yes — Dermal Filler $750/syringe, Botox/Dysport $12/unit, Lip Filler $750 (initial session), Fat Dissolving $1,000/session, Sculptra &amp; Radiesse priced per area</t>
  </si>
  <si>
    <t xml:space="preserve">Not found on site (texting-only line: 704-803-9430)</t>
  </si>
  <si>
    <t xml:space="preserve">Charlotte Spa &amp; Esthetics</t>
  </si>
  <si>
    <t xml:space="preserve">2436 N Sharon Amity Rd Ste 103, Charlotte, NC</t>
  </si>
  <si>
    <t xml:space="preserve">https://www.charlottesspa.com</t>
  </si>
  <si>
    <t xml:space="preserve">Yes — Facial Treatments $145-$225, other treatments $12-$450 range; also offers Botox/dermal fillers. Note: site's own contact page lists a different address (3705 Latrobe Dr) than the Maps listing (2436 N Sharon Amity Rd) — may have relocated</t>
  </si>
  <si>
    <t xml:space="preserve">Not found on site (phone/text only: 704-614-2579)</t>
  </si>
  <si>
    <t xml:space="preserve">The Maxim Clinic - South End</t>
  </si>
  <si>
    <t xml:space="preserve">128 E Park Ave A, Charlotte, NC</t>
  </si>
  <si>
    <t xml:space="preserve">https://www.maximcharlotte.com</t>
  </si>
  <si>
    <t xml:space="preserve">Partial — membership $199/mo (reg. $249/mo, 10-15% off), Aesthetic Consult $50, Esthetician Skin Consult $50, Hair Restoration Consult $50, ED Consult $199; full a-la-carte treatment prices not itemized</t>
  </si>
  <si>
    <t xml:space="preserve">info@maximpineville.com</t>
  </si>
  <si>
    <t xml:space="preserve">dermani MEDSPA Ballantyne</t>
  </si>
  <si>
    <t xml:space="preserve">16045 Lancaster Hwy Ste E, Charlotte, NC 28277</t>
  </si>
  <si>
    <t xml:space="preserve">https://dermanimedspa.com/ballantyne-charlotte-nc</t>
  </si>
  <si>
    <t xml:space="preserve">Yes — national chain, extensive published pricing: Botox $9/unit (membership, $180 min for 20 units), laser hair removal $75-400/area (memberships $50-200/mo), Facial $49, Hydrafacial $50 off first visit</t>
  </si>
  <si>
    <t xml:space="preserve">ballantyne@dermanimedspa.com</t>
  </si>
  <si>
    <t xml:space="preserve">Bliss Aesthetics and Wellness</t>
  </si>
  <si>
    <t xml:space="preserve">West Charlotte</t>
  </si>
  <si>
    <t xml:space="preserve">1201 McCorkle Rd, Charlotte, NC 28214</t>
  </si>
  <si>
    <t xml:space="preserve">https://blissaestheticsandwellness.com</t>
  </si>
  <si>
    <t xml:space="preserve">Partial — $8/unit Botox special for 1st-time clients; also offers IV hydration and medically supervised weight loss; full menu not itemized</t>
  </si>
  <si>
    <t xml:space="preserve">Info@blissaestheticsandwellness.com</t>
  </si>
  <si>
    <t xml:space="preserve">Kalina Aesthetics and Wellness</t>
  </si>
  <si>
    <t xml:space="preserve">South End / Old Pineville</t>
  </si>
  <si>
    <t xml:space="preserve">4548 Old Pineville Rd Ste C Room 1, Charlotte, NC 28217</t>
  </si>
  <si>
    <t xml:space="preserve">https://www.kalinaaesthetics.com</t>
  </si>
  <si>
    <t xml:space="preserve">No — claims 'Transparent Pricing' but no per-unit/per-treatment rates found on site (Botox, fillers, peels, medical weight loss, IV/vitamin shots); 3rd-party estimate cites Botox $200-900/session, filler $600-2,000/syringe (unconfirmed)</t>
  </si>
  <si>
    <t xml:space="preserve">Not found on site (phone/text only: 980-324-3057)</t>
  </si>
  <si>
    <t xml:space="preserve">Genevieve &amp; Co.</t>
  </si>
  <si>
    <t xml:space="preserve">1315 East Blvd Unit 150, Charlotte, NC</t>
  </si>
  <si>
    <t xml:space="preserve">https://medspaclt.com</t>
  </si>
  <si>
    <t xml:space="preserve">Yes — Botox $11.50/unit, Facial $99 (reg. $150), CO2 Laser Hand Rejuvenation + PCA Peel $250 (with $100 off promo), package deals: Genevieve's VIP Lift $5,000-7,000+, Body Transformation $5,000-6,000+</t>
  </si>
  <si>
    <t xml:space="preserve">hello@medspaclt.com</t>
  </si>
  <si>
    <t xml:space="preserve">VociMedSpa</t>
  </si>
  <si>
    <t xml:space="preserve">7808 Rea Rd F, Charlotte, NC</t>
  </si>
  <si>
    <t xml:space="preserve">https://vocimedspa.com</t>
  </si>
  <si>
    <t xml:space="preserve">Yes — published pricing menu (PDF): Microneedling $385/tx or $1,065/pkg of 3, Facial $225 (+ take-home), European Facial $150, Vitamin C Facial $175</t>
  </si>
  <si>
    <t xml:space="preserve">info@vocimedspa.com / appointments@vocimedspa.com</t>
  </si>
  <si>
    <t xml:space="preserve">Procedure / Treatment</t>
  </si>
  <si>
    <t xml:space="preserve">Price</t>
  </si>
  <si>
    <t xml:space="preserve">Duration</t>
  </si>
  <si>
    <t xml:space="preserve">Botox</t>
  </si>
  <si>
    <t xml:space="preserve">Not published</t>
  </si>
  <si>
    <t xml:space="preserve">Not found on site</t>
  </si>
  <si>
    <t xml:space="preserve">Dysport</t>
  </si>
  <si>
    <t xml:space="preserve">Dermal Fillers</t>
  </si>
  <si>
    <t xml:space="preserve">Sculptra (Biostimulators)</t>
  </si>
  <si>
    <t xml:space="preserve">PRP/PDGF Therapy</t>
  </si>
  <si>
    <t xml:space="preserve">Microneedling &amp; RF Microneedling</t>
  </si>
  <si>
    <t xml:space="preserve">CoolPeel/Fraxel 1540 Laser Resurfacing</t>
  </si>
  <si>
    <t xml:space="preserve">Chemical Peels</t>
  </si>
  <si>
    <t xml:space="preserve">SKINVIVE</t>
  </si>
  <si>
    <t xml:space="preserve">CoolSculpting &amp; Kybella</t>
  </si>
  <si>
    <t xml:space="preserve">Cellulite Treatment (Onda Pro)</t>
  </si>
  <si>
    <t xml:space="preserve">Skin Tightening/Body Contouring (RF+US)</t>
  </si>
  <si>
    <t xml:space="preserve">CoolTone Muscle Toning</t>
  </si>
  <si>
    <t xml:space="preserve">Facials &amp; HydraFacial</t>
  </si>
  <si>
    <t xml:space="preserve">PicoSure Focus &amp; Elite iQ Laser Facial</t>
  </si>
  <si>
    <t xml:space="preserve">IPL Photofacial &amp; ThreeForMe</t>
  </si>
  <si>
    <t xml:space="preserve">Leg Vein &amp; Vascular Laser Treatment</t>
  </si>
  <si>
    <t xml:space="preserve">Laser Hair &amp; Tattoo Removal</t>
  </si>
  <si>
    <t xml:space="preserve">BHRT (Hormone Replacement)</t>
  </si>
  <si>
    <t xml:space="preserve">Medical Weight Management</t>
  </si>
  <si>
    <t xml:space="preserve">XERF Skin Tightening</t>
  </si>
  <si>
    <t xml:space="preserve">SouthPark/Woodlawn</t>
  </si>
  <si>
    <t xml:space="preserve">HydraFacial (per reviews)</t>
  </si>
  <si>
    <t xml:space="preserve">Full-service med spa &amp; wellness (SkinBetter products; specific menu not extracted yet)</t>
  </si>
  <si>
    <t xml:space="preserve">CoolSculpting</t>
  </si>
  <si>
    <t xml:space="preserve">Emsculpt Neo (4-pkg promo: $250 off)</t>
  </si>
  <si>
    <t xml:space="preserve">Promo only, base price not published</t>
  </si>
  <si>
    <t xml:space="preserve">Microneedling</t>
  </si>
  <si>
    <t xml:space="preserve">Laser treatments (hand rejuvenation, eye care)</t>
  </si>
  <si>
    <t xml:space="preserve">Muscle Toning</t>
  </si>
  <si>
    <t xml:space="preserve">Weight Loss</t>
  </si>
  <si>
    <t xml:space="preserve">Body Contouring</t>
  </si>
  <si>
    <t xml:space="preserve">Cellulite Treatment</t>
  </si>
  <si>
    <t xml:space="preserve">Laser Services</t>
  </si>
  <si>
    <t xml:space="preserve">Botox &amp; Fillers</t>
  </si>
  <si>
    <t xml:space="preserve">Vein Therapy</t>
  </si>
  <si>
    <t xml:space="preserve">Eyebrow Shaping</t>
  </si>
  <si>
    <t xml:space="preserve">IV Therapy</t>
  </si>
  <si>
    <t xml:space="preserve">Skin Treatments</t>
  </si>
  <si>
    <t xml:space="preserve">Laboratory Evaluation</t>
  </si>
  <si>
    <t xml:space="preserve">Botox (per unit)</t>
  </si>
  <si>
    <t xml:space="preserve">$15/unit (Kendra/Sareena/Bri)</t>
  </si>
  <si>
    <t xml:space="preserve">Dysport (per unit)</t>
  </si>
  <si>
    <t xml:space="preserve">$13/unit (Kendra/Sareena/Bri)</t>
  </si>
  <si>
    <t xml:space="preserve">Dermal Filler (per syringe)</t>
  </si>
  <si>
    <t xml:space="preserve">$850/syringe</t>
  </si>
  <si>
    <t xml:space="preserve">Sculptra</t>
  </si>
  <si>
    <t xml:space="preserve">Not published (Book Now)</t>
  </si>
  <si>
    <t xml:space="preserve">Kybella</t>
  </si>
  <si>
    <t xml:space="preserve">PDO Nose Tip Lift</t>
  </si>
  <si>
    <t xml:space="preserve">Laser (Chrome / Helix CO2)</t>
  </si>
  <si>
    <t xml:space="preserve">PRF</t>
  </si>
  <si>
    <t xml:space="preserve">Non-Surgical Rhinoplasty</t>
  </si>
  <si>
    <t xml:space="preserve">Virtue RF Microneedling</t>
  </si>
  <si>
    <t xml:space="preserve">Brow Lamination + Wax</t>
  </si>
  <si>
    <t xml:space="preserve">$125 (+Tint $165)</t>
  </si>
  <si>
    <t xml:space="preserve">VI Peel</t>
  </si>
  <si>
    <t xml:space="preserve">$350 (1 session) / $900 (3 sessions)</t>
  </si>
  <si>
    <t xml:space="preserve">HydraFacial</t>
  </si>
  <si>
    <t xml:space="preserve">$199 Signature / $275 Deluxe / $325 Platinum</t>
  </si>
  <si>
    <t xml:space="preserve">30-90 min</t>
  </si>
  <si>
    <t xml:space="preserve">FemiLift CO2 laser resurfacing</t>
  </si>
  <si>
    <t xml:space="preserve">Soprano ICE laser hair removal</t>
  </si>
  <si>
    <t xml:space="preserve">Weight management</t>
  </si>
  <si>
    <t xml:space="preserve">Hormone optimization</t>
  </si>
  <si>
    <t xml:space="preserve">Botox/Xeomin (sale)</t>
  </si>
  <si>
    <t xml:space="preserve">$8/unit (72-hr sale)</t>
  </si>
  <si>
    <t xml:space="preserve">Lip Filler (special)</t>
  </si>
  <si>
    <t xml:space="preserve">$399</t>
  </si>
  <si>
    <t xml:space="preserve">Dermal Fillers (Juvederm, Revanesse Versa)</t>
  </si>
  <si>
    <t xml:space="preserve">Not published (standard rate)</t>
  </si>
  <si>
    <t xml:space="preserve">Magic Lift (Non-Surgical Face Lift)</t>
  </si>
  <si>
    <t xml:space="preserve">Xeomin</t>
  </si>
  <si>
    <t xml:space="preserve">Fraxel Skin Resurfacing</t>
  </si>
  <si>
    <t xml:space="preserve">Laser Hair Removal</t>
  </si>
  <si>
    <t xml:space="preserve">Thread Lift</t>
  </si>
  <si>
    <t xml:space="preserve">Hormone Replacement Therapy (men/women)</t>
  </si>
  <si>
    <t xml:space="preserve">GLP-1 Weight Loss Injections</t>
  </si>
  <si>
    <t xml:space="preserve">Cellulite Reduction Injections</t>
  </si>
  <si>
    <t xml:space="preserve">Lipodissolve Fat Reduction</t>
  </si>
  <si>
    <t xml:space="preserve">$13.50/unit</t>
  </si>
  <si>
    <t xml:space="preserve">$4.85/unit</t>
  </si>
  <si>
    <t xml:space="preserve">Lip / Cheek / Chin / Undereye Filler</t>
  </si>
  <si>
    <t xml:space="preserve">$770+/syringe</t>
  </si>
  <si>
    <t xml:space="preserve">Jawline Filler</t>
  </si>
  <si>
    <t xml:space="preserve">$1,540+</t>
  </si>
  <si>
    <t xml:space="preserve">Sculptra/vial</t>
  </si>
  <si>
    <t xml:space="preserve">$870</t>
  </si>
  <si>
    <t xml:space="preserve">Kybella/vial</t>
  </si>
  <si>
    <t xml:space="preserve">$650 ($450 generic)</t>
  </si>
  <si>
    <t xml:space="preserve">Renuva/syringe</t>
  </si>
  <si>
    <t xml:space="preserve">$2,000</t>
  </si>
  <si>
    <t xml:space="preserve">Microneedling Face &amp; Neck</t>
  </si>
  <si>
    <t xml:space="preserve">$420 ($1,150 pkg of 3)</t>
  </si>
  <si>
    <t xml:space="preserve">BBL/Laser Face &amp; Neck</t>
  </si>
  <si>
    <t xml:space="preserve">$385</t>
  </si>
  <si>
    <t xml:space="preserve">HALO Laser Face &amp; Neck</t>
  </si>
  <si>
    <t xml:space="preserve">$1,880 ($3,300 pkg of 2)</t>
  </si>
  <si>
    <t xml:space="preserve">MOXI Laser Face &amp; Neck</t>
  </si>
  <si>
    <t xml:space="preserve">$620 ($1,560 pkg of 3)</t>
  </si>
  <si>
    <t xml:space="preserve">Dermaplane</t>
  </si>
  <si>
    <t xml:space="preserve">$90</t>
  </si>
  <si>
    <t xml:space="preserve">Custom Facial</t>
  </si>
  <si>
    <t xml:space="preserve">$160</t>
  </si>
  <si>
    <t xml:space="preserve">Chemical Peels (Custom PCA / MD / PRX)</t>
  </si>
  <si>
    <t xml:space="preserve">$160-$320</t>
  </si>
  <si>
    <t xml:space="preserve">Brow Lamination, Shape &amp; Tint</t>
  </si>
  <si>
    <t xml:space="preserve">Waxing (Brows/Lip)</t>
  </si>
  <si>
    <t xml:space="preserve">$20-$35</t>
  </si>
  <si>
    <t xml:space="preserve">Botox &amp; Dysport</t>
  </si>
  <si>
    <t xml:space="preserve">From $9/unit</t>
  </si>
  <si>
    <t xml:space="preserve">Dermal Filler</t>
  </si>
  <si>
    <t xml:space="preserve">From $499/syringe</t>
  </si>
  <si>
    <t xml:space="preserve">SkinVive</t>
  </si>
  <si>
    <t xml:space="preserve">From $297/syringe</t>
  </si>
  <si>
    <t xml:space="preserve">From $499/vial</t>
  </si>
  <si>
    <t xml:space="preserve">From $1,062</t>
  </si>
  <si>
    <t xml:space="preserve">Under-Eye PRP</t>
  </si>
  <si>
    <t xml:space="preserve">From $595</t>
  </si>
  <si>
    <t xml:space="preserve">BBL Photofacial</t>
  </si>
  <si>
    <t xml:space="preserve">From $250</t>
  </si>
  <si>
    <t xml:space="preserve">Chemical Peel</t>
  </si>
  <si>
    <t xml:space="preserve">From $127</t>
  </si>
  <si>
    <t xml:space="preserve">DiamondGlow</t>
  </si>
  <si>
    <t xml:space="preserve">From $149</t>
  </si>
  <si>
    <t xml:space="preserve">Hydrafacial</t>
  </si>
  <si>
    <t xml:space="preserve">HALO Laser</t>
  </si>
  <si>
    <t xml:space="preserve">From $1,317</t>
  </si>
  <si>
    <t xml:space="preserve">MOXI Laser</t>
  </si>
  <si>
    <t xml:space="preserve">From $680</t>
  </si>
  <si>
    <t xml:space="preserve">RF Microneedling</t>
  </si>
  <si>
    <t xml:space="preserve">From $722</t>
  </si>
  <si>
    <t xml:space="preserve">Microneedling (SkinPen)</t>
  </si>
  <si>
    <t xml:space="preserve">From $349</t>
  </si>
  <si>
    <t xml:space="preserve">PDO Threads</t>
  </si>
  <si>
    <t xml:space="preserve">From $1,020</t>
  </si>
  <si>
    <t xml:space="preserve">Signature Facial</t>
  </si>
  <si>
    <t xml:space="preserve">From $297</t>
  </si>
  <si>
    <t xml:space="preserve">IV Hydration Therapy</t>
  </si>
  <si>
    <t xml:space="preserve">Zepbound Peptide Therapy</t>
  </si>
  <si>
    <t xml:space="preserve">From $199/mo + medication</t>
  </si>
  <si>
    <t xml:space="preserve">PRFM Gel</t>
  </si>
  <si>
    <t xml:space="preserve">From $765</t>
  </si>
  <si>
    <t xml:space="preserve">Membership (Club VIO)</t>
  </si>
  <si>
    <t xml:space="preserve">$99/mo — $3/unit off toxin, 15% off products/services</t>
  </si>
  <si>
    <t xml:space="preserve">Facials, peels, microneedling</t>
  </si>
  <si>
    <t xml:space="preserve">Not published (varies by area)</t>
  </si>
  <si>
    <t xml:space="preserve">Medical Weight Loss</t>
  </si>
  <si>
    <t xml:space="preserve">Advanced Facial (acne/pigmentation, peels, microneedling)</t>
  </si>
  <si>
    <t xml:space="preserve">Neuromodulators (Botox/Dysport/Jeuveau/Xeomin)</t>
  </si>
  <si>
    <t xml:space="preserve">Dermal Fillers (Belotero/Juvederm/Restylane/Revanesse)</t>
  </si>
  <si>
    <t xml:space="preserve">Sculptra / Kybella</t>
  </si>
  <si>
    <t xml:space="preserve">Face: Peels/Dermaplaning/Exosomes/Hydrafacial/PRP/Vampire Facial</t>
  </si>
  <si>
    <t xml:space="preserve">Body: CoolSculpting Elite/PRP Hair/Vaginal Rejuvenation</t>
  </si>
  <si>
    <t xml:space="preserve">Laser: BBL/HALO/SkinPen/Sylfirm X RF/Tight &amp; Bright</t>
  </si>
  <si>
    <t xml:space="preserve">Medical Weight Loss (Semaglutide/Tirzepatide)</t>
  </si>
  <si>
    <t xml:space="preserve">Wellness: IV Therapy/Vitamin Injections</t>
  </si>
  <si>
    <t xml:space="preserve">Massages (Shiatsu/Swedish/etc.)</t>
  </si>
  <si>
    <t xml:space="preserve">From $120-144</t>
  </si>
  <si>
    <t xml:space="preserve">Custom Facials</t>
  </si>
  <si>
    <t xml:space="preserve">Body Waxing</t>
  </si>
  <si>
    <t xml:space="preserve">Back Facial (60 min)</t>
  </si>
  <si>
    <t xml:space="preserve">$150</t>
  </si>
  <si>
    <t xml:space="preserve">Sugar Scrub for Hands</t>
  </si>
  <si>
    <t xml:space="preserve">$18</t>
  </si>
  <si>
    <t xml:space="preserve">Monthly Membership</t>
  </si>
  <si>
    <t xml:space="preserve">$95/mo (60-min massage/facial incl.)</t>
  </si>
  <si>
    <t xml:space="preserve">Facial</t>
  </si>
  <si>
    <t xml:space="preserve">$155 (3rd-party sourced)</t>
  </si>
  <si>
    <t xml:space="preserve">Custom Signature Facial</t>
  </si>
  <si>
    <t xml:space="preserve">$235 (3rd-party sourced)</t>
  </si>
  <si>
    <t xml:space="preserve">$250 (3rd-party sourced)</t>
  </si>
  <si>
    <t xml:space="preserve">HydraFacial Signature / Deluxe</t>
  </si>
  <si>
    <t xml:space="preserve">$250 / $295 (3rd-party sourced)</t>
  </si>
  <si>
    <t xml:space="preserve">Membership (Standard/Elite)</t>
  </si>
  <si>
    <t xml:space="preserve">$99/mo (10% off) or $199/mo (15% off)</t>
  </si>
  <si>
    <t xml:space="preserve">Body Contouring / Injectables / Laser Hair Removal / Skin Resurfacing (catalog)</t>
  </si>
  <si>
    <t xml:space="preserve">Botox &amp; Dermal Fillers</t>
  </si>
  <si>
    <t xml:space="preserve">Kybella / Lip Filler</t>
  </si>
  <si>
    <t xml:space="preserve">Facials &amp; Chemical Peels</t>
  </si>
  <si>
    <t xml:space="preserve">Microdermabrasion</t>
  </si>
  <si>
    <t xml:space="preserve">Women's Health &amp; Wellness</t>
  </si>
  <si>
    <t xml:space="preserve">Anti-Aging / Skin Rejuvenation</t>
  </si>
  <si>
    <t xml:space="preserve">CoolSculpting / CoolTone</t>
  </si>
  <si>
    <t xml:space="preserve">Stem Cell Therapy</t>
  </si>
  <si>
    <t xml:space="preserve">Hair Restoration</t>
  </si>
  <si>
    <t xml:space="preserve">From $208/mo financed (3rd-party sourced)</t>
  </si>
  <si>
    <t xml:space="preserve">Regenerative Medicine Peptides</t>
  </si>
  <si>
    <t xml:space="preserve">Velashape</t>
  </si>
  <si>
    <t xml:space="preserve">Laser Hair Therapy</t>
  </si>
  <si>
    <t xml:space="preserve">Botox Cosmetic</t>
  </si>
  <si>
    <t xml:space="preserve">Juvederm XC / Volbella / Voluma XC</t>
  </si>
  <si>
    <t xml:space="preserve">Leg Compression Therapy (NormaTec)</t>
  </si>
  <si>
    <t xml:space="preserve">3900-C Colony Rd, Charlotte, NC 28211</t>
  </si>
  <si>
    <t xml:space="preserve">$12.99/unit special (promo, Botox only)</t>
  </si>
  <si>
    <t xml:space="preserve">Daxxify</t>
  </si>
  <si>
    <t xml:space="preserve">Bellafill</t>
  </si>
  <si>
    <t xml:space="preserve">Belotero</t>
  </si>
  <si>
    <t xml:space="preserve">Juvederm</t>
  </si>
  <si>
    <t xml:space="preserve">Radiesse</t>
  </si>
  <si>
    <t xml:space="preserve">Restylane</t>
  </si>
  <si>
    <t xml:space="preserve">Versa (filler)</t>
  </si>
  <si>
    <t xml:space="preserve">Platelet-Derived Growth Factor (PDGF)</t>
  </si>
  <si>
    <t xml:space="preserve">EMSCULPT</t>
  </si>
  <si>
    <t xml:space="preserve">SculpSure</t>
  </si>
  <si>
    <t xml:space="preserve">WarmSculpting Profile Treatment</t>
  </si>
  <si>
    <t xml:space="preserve">Accure Laser Acne Treatment</t>
  </si>
  <si>
    <t xml:space="preserve">Clear + Brilliant/Permea</t>
  </si>
  <si>
    <t xml:space="preserve">IPL</t>
  </si>
  <si>
    <t xml:space="preserve">PicoSure Rejuvenation</t>
  </si>
  <si>
    <t xml:space="preserve">3 For Me</t>
  </si>
  <si>
    <t xml:space="preserve">Fraxel Dual</t>
  </si>
  <si>
    <t xml:space="preserve">Icon 1540</t>
  </si>
  <si>
    <t xml:space="preserve">Radiofrequency</t>
  </si>
  <si>
    <t xml:space="preserve">Thermage FLX</t>
  </si>
  <si>
    <t xml:space="preserve">Genius Radiofrequency</t>
  </si>
  <si>
    <t xml:space="preserve">AQUAGOLD</t>
  </si>
  <si>
    <t xml:space="preserve">Skin Pen Microneedling</t>
  </si>
  <si>
    <t xml:space="preserve">HydraFacial MD</t>
  </si>
  <si>
    <t xml:space="preserve">Melanage</t>
  </si>
  <si>
    <t xml:space="preserve">Skin Classic</t>
  </si>
  <si>
    <t xml:space="preserve">Cortisone Injections</t>
  </si>
  <si>
    <t xml:space="preserve">PicoSure Tattoo Removal</t>
  </si>
  <si>
    <t xml:space="preserve">ThermiVa</t>
  </si>
  <si>
    <t xml:space="preserve">University City / Mallard Creek</t>
  </si>
  <si>
    <t xml:space="preserve">Anti-Wrinkle Injections (Botox/Dysport)</t>
  </si>
  <si>
    <t xml:space="preserve">info@zemmedspa.com</t>
  </si>
  <si>
    <t xml:space="preserve">Lip Filler</t>
  </si>
  <si>
    <t xml:space="preserve">Non-Surgical Facelift</t>
  </si>
  <si>
    <t xml:space="preserve">LED Light Therapy</t>
  </si>
  <si>
    <t xml:space="preserve">Laser Skin Resurfacing</t>
  </si>
  <si>
    <t xml:space="preserve">Mesotherapy</t>
  </si>
  <si>
    <t xml:space="preserve">Skin Lightening Treatment</t>
  </si>
  <si>
    <t xml:space="preserve">IPL Hair Removal</t>
  </si>
  <si>
    <t xml:space="preserve">Rea Farms / Ballantyne area</t>
  </si>
  <si>
    <t xml:space="preserve">Dysport (150 units)</t>
  </si>
  <si>
    <t xml:space="preserve">Promo: $525 (Halloween special)</t>
  </si>
  <si>
    <t xml:space="preserve">Jeuveau (50 units)</t>
  </si>
  <si>
    <t xml:space="preserve">Promo: $450 (Halloween special)</t>
  </si>
  <si>
    <t xml:space="preserve">Laser / IPL</t>
  </si>
  <si>
    <t xml:space="preserve">Advanced Skin Care</t>
  </si>
  <si>
    <t xml:space="preserve">Medical SkinPen (Microneedling)</t>
  </si>
  <si>
    <t xml:space="preserve">Weight Loss / Wellness</t>
  </si>
  <si>
    <t xml:space="preserve">PRP</t>
  </si>
  <si>
    <t xml:space="preserve">South Charlotte / Lake Wylie (Steele Creek area)</t>
  </si>
  <si>
    <t xml:space="preserve">8809 Lenox Pointe Dr Ste C, Studios 101/102, Charlotte, NC 28273</t>
  </si>
  <si>
    <t xml:space="preserve">Signature Four-Point Filler Lift (6 syringes)</t>
  </si>
  <si>
    <t xml:space="preserve">$4,250 ($850 savings)</t>
  </si>
  <si>
    <t xml:space="preserve">GLP-1 Glow Up Package (Sculptra 4-series + 2 syringes Restylane Lyft)</t>
  </si>
  <si>
    <t xml:space="preserve">$3,600</t>
  </si>
  <si>
    <t xml:space="preserve">Filler — Cheeks</t>
  </si>
  <si>
    <t xml:space="preserve">Starting at $850</t>
  </si>
  <si>
    <t xml:space="preserve">Filler — Smile Lines / Marionette Lines</t>
  </si>
  <si>
    <t xml:space="preserve">Filler — Lips</t>
  </si>
  <si>
    <t xml:space="preserve">Starting at $750</t>
  </si>
  <si>
    <t xml:space="preserve">Filler — Chin</t>
  </si>
  <si>
    <t xml:space="preserve">Filler — Jawline</t>
  </si>
  <si>
    <t xml:space="preserve">Filler — Neck Rejuvenation</t>
  </si>
  <si>
    <t xml:space="preserve">Filler — Hand Rejuvenation</t>
  </si>
  <si>
    <t xml:space="preserve">Filler — Temples</t>
  </si>
  <si>
    <t xml:space="preserve">Tox/Filler Follow-Up Appointment</t>
  </si>
  <si>
    <t xml:space="preserve">Dissolve Unwanted Filler</t>
  </si>
  <si>
    <t xml:space="preserve">Starting at $350</t>
  </si>
  <si>
    <t xml:space="preserve">Brazilian Butt Lift / Hip Dip Augmentation (Radiesse)</t>
  </si>
  <si>
    <t xml:space="preserve">$6,500</t>
  </si>
  <si>
    <t xml:space="preserve">Dysport (per Botox-equivalent unit)</t>
  </si>
  <si>
    <t xml:space="preserve">$13/unit</t>
  </si>
  <si>
    <t xml:space="preserve">$14/unit</t>
  </si>
  <si>
    <t xml:space="preserve">Jeuveau (per unit)</t>
  </si>
  <si>
    <t xml:space="preserve">Aquagold Facial (single session)</t>
  </si>
  <si>
    <t xml:space="preserve">$750</t>
  </si>
  <si>
    <t xml:space="preserve">Sculptra 2 Series</t>
  </si>
  <si>
    <t xml:space="preserve">$1,600</t>
  </si>
  <si>
    <t xml:space="preserve">Sculptra 3 Series</t>
  </si>
  <si>
    <t xml:space="preserve">$2,300 ($100 savings)</t>
  </si>
  <si>
    <t xml:space="preserve">Sculptra 4 Series</t>
  </si>
  <si>
    <t xml:space="preserve">$3,000 ($200 savings)</t>
  </si>
  <si>
    <t xml:space="preserve">Sculptra 5 Series</t>
  </si>
  <si>
    <t xml:space="preserve">$3,600 ($400 savings)</t>
  </si>
  <si>
    <t xml:space="preserve">Sculptra 6 Series</t>
  </si>
  <si>
    <t xml:space="preserve">$4,000 ($800 savings)</t>
  </si>
  <si>
    <t xml:space="preserve">Tixel Per Session (Full Face)</t>
  </si>
  <si>
    <t xml:space="preserve">Tixel Package of 3 (Full Face)</t>
  </si>
  <si>
    <t xml:space="preserve">$1,900</t>
  </si>
  <si>
    <t xml:space="preserve">Tixel Eyes Only</t>
  </si>
  <si>
    <t xml:space="preserve">$500</t>
  </si>
  <si>
    <t xml:space="preserve">Tixel Neck Only</t>
  </si>
  <si>
    <t xml:space="preserve">Tixel Full Face + Neck</t>
  </si>
  <si>
    <t xml:space="preserve">$1,150</t>
  </si>
  <si>
    <t xml:space="preserve">MicronJet + iLLUMA Undereye (single session)</t>
  </si>
  <si>
    <t xml:space="preserve">MicronJet + iLLUMA Undereye (3-series)</t>
  </si>
  <si>
    <t xml:space="preserve">Microneedling w/ Growth Factor (Face, single)</t>
  </si>
  <si>
    <t xml:space="preserve">$395</t>
  </si>
  <si>
    <t xml:space="preserve">Microneedling w/ Growth Factor (Face, pkg of 3)</t>
  </si>
  <si>
    <t xml:space="preserve">$985</t>
  </si>
  <si>
    <t xml:space="preserve">Microneedling Face + Neck</t>
  </si>
  <si>
    <t xml:space="preserve">$575</t>
  </si>
  <si>
    <t xml:space="preserve">$375</t>
  </si>
  <si>
    <t xml:space="preserve">VI Peel 3-Series</t>
  </si>
  <si>
    <t xml:space="preserve">$925</t>
  </si>
  <si>
    <t xml:space="preserve">Red Light Therapy (single 20-min session)</t>
  </si>
  <si>
    <t xml:space="preserve">$50</t>
  </si>
  <si>
    <t xml:space="preserve">Red Light Unlimited Membership</t>
  </si>
  <si>
    <t xml:space="preserve">$229/month</t>
  </si>
  <si>
    <t xml:space="preserve">IM Vitamin Injections (B12/Lipo-Mino/Tri-Immune/Biotin/D3)</t>
  </si>
  <si>
    <t xml:space="preserve">$20-30/injection</t>
  </si>
  <si>
    <t xml:space="preserve">Bronze / Silver / Gold Memberships</t>
  </si>
  <si>
    <t xml:space="preserve">$165 / $265 / $390 per month</t>
  </si>
  <si>
    <t xml:space="preserve">Elizabeth / Metropolitan Ave area</t>
  </si>
  <si>
    <t xml:space="preserve">900 Metropolitan Ave, STE 1B, Unit 103, Charlotte, NC 28204</t>
  </si>
  <si>
    <t xml:space="preserve">Complimentary Aesthetic Consultation</t>
  </si>
  <si>
    <t xml:space="preserve">Free</t>
  </si>
  <si>
    <t xml:space="preserve">Dermal Fillers - Lip &amp; Facial Enhancement</t>
  </si>
  <si>
    <t xml:space="preserve">Not individually published on site</t>
  </si>
  <si>
    <t xml:space="preserve">Medical Weight Loss Program</t>
  </si>
  <si>
    <t xml:space="preserve">Kybella - Double Chin Treatment</t>
  </si>
  <si>
    <t xml:space="preserve">SkinVive - Injectable Skin Hydration</t>
  </si>
  <si>
    <t xml:space="preserve">https://capizzimd.com</t>
  </si>
  <si>
    <t xml:space="preserve">Dermaplane (single)</t>
  </si>
  <si>
    <t xml:space="preserve">$175</t>
  </si>
  <si>
    <t xml:space="preserve">Dermaplane (3-pack)</t>
  </si>
  <si>
    <t xml:space="preserve">$450</t>
  </si>
  <si>
    <t xml:space="preserve">Signature Facial (single)</t>
  </si>
  <si>
    <t xml:space="preserve">$200</t>
  </si>
  <si>
    <t xml:space="preserve">Signature Facial (3-pack)</t>
  </si>
  <si>
    <t xml:space="preserve">Chemical Peel (single)</t>
  </si>
  <si>
    <t xml:space="preserve">$325</t>
  </si>
  <si>
    <t xml:space="preserve">Chemical Peel (3-pack)</t>
  </si>
  <si>
    <t xml:space="preserve">$800</t>
  </si>
  <si>
    <t xml:space="preserve">Cosmelan MD Peel</t>
  </si>
  <si>
    <t xml:space="preserve">$1,100</t>
  </si>
  <si>
    <t xml:space="preserve">SkinPen Microneedling (Face + Neck)</t>
  </si>
  <si>
    <t xml:space="preserve">$15/unit</t>
  </si>
  <si>
    <t xml:space="preserve">$7/unit</t>
  </si>
  <si>
    <t xml:space="preserve">Botox Mini Shot (30u)</t>
  </si>
  <si>
    <t xml:space="preserve">$425</t>
  </si>
  <si>
    <t xml:space="preserve">Botox Lip Flip</t>
  </si>
  <si>
    <t xml:space="preserve">$110</t>
  </si>
  <si>
    <t xml:space="preserve">IV Hydration</t>
  </si>
  <si>
    <t xml:space="preserve">$1,500</t>
  </si>
  <si>
    <t xml:space="preserve">Stop Sweating (Underarm Botox)</t>
  </si>
  <si>
    <t xml:space="preserve">$1,200/vial</t>
  </si>
  <si>
    <t xml:space="preserve">$800/vial</t>
  </si>
  <si>
    <t xml:space="preserve">Bellafill (1.5cc syringe)</t>
  </si>
  <si>
    <t xml:space="preserve">$1,000</t>
  </si>
  <si>
    <t xml:space="preserve">B12 Shot</t>
  </si>
  <si>
    <t xml:space="preserve">$35</t>
  </si>
  <si>
    <t xml:space="preserve">Glutathione Shot</t>
  </si>
  <si>
    <t xml:space="preserve">NAD+ Shot</t>
  </si>
  <si>
    <t xml:space="preserve">Hydrafacial MD - Basic (single)</t>
  </si>
  <si>
    <t xml:space="preserve">$250</t>
  </si>
  <si>
    <t xml:space="preserve">Hydrafacial MD - Basic (3-pack)</t>
  </si>
  <si>
    <t xml:space="preserve">$650</t>
  </si>
  <si>
    <t xml:space="preserve">Hydrafacial MD - Luxe (single)</t>
  </si>
  <si>
    <t xml:space="preserve">$350</t>
  </si>
  <si>
    <t xml:space="preserve">Hydrafacial MD - Luxe (3-pack)</t>
  </si>
  <si>
    <t xml:space="preserve">$900</t>
  </si>
  <si>
    <t xml:space="preserve">Hydrafacial MD - Platinum (single)</t>
  </si>
  <si>
    <t xml:space="preserve">Hydrafacial MD - Platinum (3-pack)</t>
  </si>
  <si>
    <t xml:space="preserve">Juvederm - Ultra/Ultra Plus/Vollure/Voluma/Volux/Volbella (per syringe)</t>
  </si>
  <si>
    <t xml:space="preserve">$850</t>
  </si>
  <si>
    <t xml:space="preserve">Laser Hair Removal - Lip/Chin</t>
  </si>
  <si>
    <t xml:space="preserve">$200 single / $1,000 pkg</t>
  </si>
  <si>
    <t xml:space="preserve">Laser Hair Removal - Underarms</t>
  </si>
  <si>
    <t xml:space="preserve">$300 single / $1,500 pkg</t>
  </si>
  <si>
    <t xml:space="preserve">Laser Hair Removal - Bikini</t>
  </si>
  <si>
    <t xml:space="preserve">$350 single / $1,750 pkg</t>
  </si>
  <si>
    <t xml:space="preserve">Laser Hair Removal - Lower Legs</t>
  </si>
  <si>
    <t xml:space="preserve">$400 single / $2,000 pkg</t>
  </si>
  <si>
    <t xml:space="preserve">Laser Hair Removal - Full Face</t>
  </si>
  <si>
    <t xml:space="preserve">$425 single / $2,150 pkg</t>
  </si>
  <si>
    <t xml:space="preserve">Laser Hair Removal - Brazilian</t>
  </si>
  <si>
    <t xml:space="preserve">$450 single / $2,250 pkg</t>
  </si>
  <si>
    <t xml:space="preserve">Laser Hair Removal - Full Back</t>
  </si>
  <si>
    <t xml:space="preserve">$575 single / $2,900 pkg</t>
  </si>
  <si>
    <t xml:space="preserve">Laser Hair Removal - Full Legs</t>
  </si>
  <si>
    <t xml:space="preserve">$800 single / $4,000 pkg</t>
  </si>
  <si>
    <t xml:space="preserve">IPL Photofacial/BBL (Face &amp; Neck)</t>
  </si>
  <si>
    <t xml:space="preserve">$550 (varies $200-$650 by area)</t>
  </si>
  <si>
    <t xml:space="preserve">diVa Vaginal Laser Therapy (3-pkg)</t>
  </si>
  <si>
    <t xml:space="preserve">$3,500</t>
  </si>
  <si>
    <t xml:space="preserve">HALO Laser (Face &amp; Neck)</t>
  </si>
  <si>
    <t xml:space="preserve">$2,500 ($2,750 w/ BBL)</t>
  </si>
  <si>
    <t xml:space="preserve">MicroLaser Peel (Face &amp; Neck)</t>
  </si>
  <si>
    <t xml:space="preserve">$2,250</t>
  </si>
  <si>
    <t xml:space="preserve">miraDry Sweat Reduction</t>
  </si>
  <si>
    <t xml:space="preserve">$2,500</t>
  </si>
  <si>
    <t xml:space="preserve">Alloclae Gluteal/Hip Dip Filler</t>
  </si>
  <si>
    <t xml:space="preserve">$10,000+</t>
  </si>
  <si>
    <t xml:space="preserve">Wellness &amp; Weight Loss Program</t>
  </si>
  <si>
    <t xml:space="preserve">$100 consult + variable medication fees</t>
  </si>
  <si>
    <t xml:space="preserve">Neurotoxin (Botox/Xeomin)</t>
  </si>
  <si>
    <t xml:space="preserve">Not published (3rd-party cites ~$10/unit, unconfirmed)</t>
  </si>
  <si>
    <t xml:space="preserve">Dermal Fillers &amp; Biostimulators</t>
  </si>
  <si>
    <t xml:space="preserve">Men's Aesthetics (Tox + Fillers)</t>
  </si>
  <si>
    <t xml:space="preserve">Eyelid Lifts (Blepharoplasty)</t>
  </si>
  <si>
    <t xml:space="preserve">$12/unit</t>
  </si>
  <si>
    <t xml:space="preserve">Xeomin (per unit)</t>
  </si>
  <si>
    <t xml:space="preserve">$4/unit</t>
  </si>
  <si>
    <t xml:space="preserve">Letybo (per unit)</t>
  </si>
  <si>
    <t xml:space="preserve">$10/unit</t>
  </si>
  <si>
    <t xml:space="preserve">Lip Filler - Whole Syringe</t>
  </si>
  <si>
    <t xml:space="preserve">$800/syringe</t>
  </si>
  <si>
    <t xml:space="preserve">Lip Filler - Half Syringe</t>
  </si>
  <si>
    <t xml:space="preserve">$600/syringe</t>
  </si>
  <si>
    <t xml:space="preserve">All Other Facial Filler</t>
  </si>
  <si>
    <t xml:space="preserve">Filler Dissolving</t>
  </si>
  <si>
    <t xml:space="preserve">$500/area</t>
  </si>
  <si>
    <t xml:space="preserve">Full Facial Balancing (6 syringes)</t>
  </si>
  <si>
    <t xml:space="preserve">$3,900</t>
  </si>
  <si>
    <t xml:space="preserve">Sculptra (2 vials)</t>
  </si>
  <si>
    <t xml:space="preserve">Sculptra package (6 vials)</t>
  </si>
  <si>
    <t xml:space="preserve">Non-Surgical Butt Lift (10 vials)</t>
  </si>
  <si>
    <t xml:space="preserve">Non-Surgical Butt Lift (20 vials)</t>
  </si>
  <si>
    <t xml:space="preserve">$9,500</t>
  </si>
  <si>
    <t xml:space="preserve">Non-Surgical Butt Lift (30 vials)</t>
  </si>
  <si>
    <t xml:space="preserve">$13,500</t>
  </si>
  <si>
    <t xml:space="preserve">Non-Surgical Breast Lift (6 vials)</t>
  </si>
  <si>
    <t xml:space="preserve">Non-Surgical Breast Lift (10-30 vials)</t>
  </si>
  <si>
    <t xml:space="preserve">$6,500-$13,500</t>
  </si>
  <si>
    <t xml:space="preserve">Kybella/PCDC (per area, e.g. double chin, bra fat, arms)</t>
  </si>
  <si>
    <t xml:space="preserve">$500/treatment</t>
  </si>
  <si>
    <t xml:space="preserve">Kybella/PCDC - Full Stomach</t>
  </si>
  <si>
    <t xml:space="preserve">$850/treatment</t>
  </si>
  <si>
    <t xml:space="preserve">Kybella/PCDC - Full Stomach &amp; Back</t>
  </si>
  <si>
    <t xml:space="preserve">$1,000/treatment</t>
  </si>
  <si>
    <t xml:space="preserve">PRP Full Scalp Injections (series of 3)</t>
  </si>
  <si>
    <t xml:space="preserve">$975</t>
  </si>
  <si>
    <t xml:space="preserve">PRP Hairline/Crown/Beard/Temples/Smile Lines/Accordion (series of 3)</t>
  </si>
  <si>
    <t xml:space="preserve">PRP Under Eyes (series of 3)</t>
  </si>
  <si>
    <t xml:space="preserve">$1,200</t>
  </si>
  <si>
    <t xml:space="preserve">B12 Injection</t>
  </si>
  <si>
    <t xml:space="preserve">$30</t>
  </si>
  <si>
    <t xml:space="preserve">Semaglutide/Tirzepatide (3-month supply)</t>
  </si>
  <si>
    <t xml:space="preserve">Dermaplaning (add-on)</t>
  </si>
  <si>
    <t xml:space="preserve">Dermaplaning (stand-alone)</t>
  </si>
  <si>
    <t xml:space="preserve">$75</t>
  </si>
  <si>
    <t xml:space="preserve">HydroFacial</t>
  </si>
  <si>
    <t xml:space="preserve">$275</t>
  </si>
  <si>
    <t xml:space="preserve">RF Microneedling - Face (single)</t>
  </si>
  <si>
    <t xml:space="preserve">$950</t>
  </si>
  <si>
    <t xml:space="preserve">RF Microneedling - Face &amp; Neck (single)</t>
  </si>
  <si>
    <t xml:space="preserve">RF Microneedling - Face, Neck &amp; Chest (single)</t>
  </si>
  <si>
    <t xml:space="preserve">Microneedling - Full Face &amp; Neck (single)</t>
  </si>
  <si>
    <t xml:space="preserve">$400</t>
  </si>
  <si>
    <t xml:space="preserve">Microneedling - Body (single)</t>
  </si>
  <si>
    <t xml:space="preserve">CO2 Laser Resurfacing - Full Face</t>
  </si>
  <si>
    <t xml:space="preserve">CO2 Laser Resurfacing - Full Face &amp; Neck</t>
  </si>
  <si>
    <t xml:space="preserve">Laser Tattoo Removal (single session)</t>
  </si>
  <si>
    <t xml:space="preserve">$100-$900+</t>
  </si>
  <si>
    <t xml:space="preserve">ThermiVa Vaginal Rejuvenation (3-treatment pkg)</t>
  </si>
  <si>
    <t xml:space="preserve">$3,000</t>
  </si>
  <si>
    <t xml:space="preserve">$150 single / $900 pkg of 7</t>
  </si>
  <si>
    <t xml:space="preserve">$250 single / $1,500 pkg of 7</t>
  </si>
  <si>
    <t xml:space="preserve">$450 single / $2,700 pkg of 7</t>
  </si>
  <si>
    <t xml:space="preserve">Laser Hair Removal - Full Body</t>
  </si>
  <si>
    <t xml:space="preserve">$1,000 single / $6,000 pkg of 7</t>
  </si>
  <si>
    <t xml:space="preserve">Hair Restoration with Exosomes (series of 4)</t>
  </si>
  <si>
    <t xml:space="preserve">Botox / Dysport / Daxxify</t>
  </si>
  <si>
    <t xml:space="preserve">Not published (consult required)</t>
  </si>
  <si>
    <t xml:space="preserve">Dermal Fillers (Juvederm, Restylane)</t>
  </si>
  <si>
    <t xml:space="preserve">Facial Balancing</t>
  </si>
  <si>
    <t xml:space="preserve">Custom / Signature / Teen Facial</t>
  </si>
  <si>
    <t xml:space="preserve">Microneedling (+Exosomes/Growth Factors/PRP/PRF/HA)</t>
  </si>
  <si>
    <t xml:space="preserve">CoolTone</t>
  </si>
  <si>
    <t xml:space="preserve">BBL / IPL Photofacial</t>
  </si>
  <si>
    <t xml:space="preserve">RF Microneedling (Morpheus8)</t>
  </si>
  <si>
    <t xml:space="preserve">Laser Facial</t>
  </si>
  <si>
    <t xml:space="preserve">Ultherapy</t>
  </si>
  <si>
    <t xml:space="preserve">B12 Injections</t>
  </si>
  <si>
    <t xml:space="preserve">3900 Colony Rd, Charlotte, NC</t>
  </si>
  <si>
    <t xml:space="preserve">$12.99/unit</t>
  </si>
  <si>
    <t xml:space="preserve">$10/unit (special)</t>
  </si>
  <si>
    <t xml:space="preserve">Accure (acne laser, 4-tx series)</t>
  </si>
  <si>
    <t xml:space="preserve">$2,995 (reg. $4,400)</t>
  </si>
  <si>
    <t xml:space="preserve">PDGF / Hair Restoration</t>
  </si>
  <si>
    <t xml:space="preserve">Fat Reduction Treatments</t>
  </si>
  <si>
    <t xml:space="preserve">Facials</t>
  </si>
  <si>
    <t xml:space="preserve">10320 Mallard Creek Rd #180, Charlotte, NC</t>
  </si>
  <si>
    <t xml:space="preserve">Not published on-site</t>
  </si>
  <si>
    <t xml:space="preserve">Filler</t>
  </si>
  <si>
    <t xml:space="preserve">Laser Hair Removal (legs)</t>
  </si>
  <si>
    <t xml:space="preserve">$199/session (3rd-party sourced)</t>
  </si>
  <si>
    <t xml:space="preserve">$50 off promo (3rd-party sourced)</t>
  </si>
  <si>
    <t xml:space="preserve">8430 Rea Rd Ste E, Charlotte, NC</t>
  </si>
  <si>
    <t xml:space="preserve">HydraFacial (Signature/Deluxe/Platinum)</t>
  </si>
  <si>
    <t xml:space="preserve">$199 / $249 / $325</t>
  </si>
  <si>
    <t xml:space="preserve">From $99</t>
  </si>
  <si>
    <t xml:space="preserve">Weight Loss Injections</t>
  </si>
  <si>
    <t xml:space="preserve">$329-$569</t>
  </si>
  <si>
    <t xml:space="preserve">Advanced Skin Care / Products</t>
  </si>
  <si>
    <t xml:space="preserve">$30-$195</t>
  </si>
  <si>
    <t xml:space="preserve">$199-$325</t>
  </si>
  <si>
    <t xml:space="preserve">SkinPen / SkinPen with PRP</t>
  </si>
  <si>
    <t xml:space="preserve">$65-$185 ($650 w/ PRP pkg)</t>
  </si>
  <si>
    <t xml:space="preserve">Neurotoxins (Botox)</t>
  </si>
  <si>
    <t xml:space="preserve">Not published (range only via listing)</t>
  </si>
  <si>
    <t xml:space="preserve">Laser/IPL (other)</t>
  </si>
  <si>
    <t xml:space="preserve">8809 Lenox Pointe Dr Ste C, Charlotte, NC</t>
  </si>
  <si>
    <t xml:space="preserve">Botox / Dysport / Xeomin (membership rate)</t>
  </si>
  <si>
    <t xml:space="preserve">$12-13/unit w/ $100/yr membership; $11.50/unit w/ $249/yr membership</t>
  </si>
  <si>
    <t xml:space="preserve">Face Package (3 tx)</t>
  </si>
  <si>
    <t xml:space="preserve">Neck Package (3 tx)</t>
  </si>
  <si>
    <t xml:space="preserve">$1,285</t>
  </si>
  <si>
    <t xml:space="preserve">3-Series Package (unspecified tx)</t>
  </si>
  <si>
    <t xml:space="preserve">Injector fee (noted in a customer review)</t>
  </si>
  <si>
    <t xml:space="preserve">$150 (per Yelp review, not official)</t>
  </si>
  <si>
    <t xml:space="preserve">Vitamin Injections / Skincare</t>
  </si>
  <si>
    <t xml:space="preserve">General injectables (avg. market range, 3rd-party sourced)</t>
  </si>
  <si>
    <t xml:space="preserve">$12-$16/unit (injectorindex.com estimate, not official)</t>
  </si>
  <si>
    <t xml:space="preserve">1227 W Morehead St Ste 120, Charlotte, NC</t>
  </si>
  <si>
    <t xml:space="preserve">Neuromodulators</t>
  </si>
  <si>
    <t xml:space="preserve">Skin Boosters / Renuva / PDO Threads / Biostimulators</t>
  </si>
  <si>
    <t xml:space="preserve">Facials (LED, SKNLAB, Red Carpet, DMK)</t>
  </si>
  <si>
    <t xml:space="preserve">Peels (Cosmelan, VI, Dermaceutic, BioRePeel)</t>
  </si>
  <si>
    <t xml:space="preserve">Microneedling / Ultimate Glow</t>
  </si>
  <si>
    <t xml:space="preserve">Radio Frequency (Morpheus8, Quantum RF, FaceTite Turbo)</t>
  </si>
  <si>
    <t xml:space="preserve">Resurfacing Lasers (Moxi, HALO Tribrid)</t>
  </si>
  <si>
    <t xml:space="preserve">Photo Facials (Lumecca, BBL)</t>
  </si>
  <si>
    <t xml:space="preserve">Introductory Neurotoxin Injector Training Class (not a patient treatment)</t>
  </si>
  <si>
    <t xml:space="preserve">4 hours</t>
  </si>
  <si>
    <t xml:space="preserve">900 Metropolitan Ave Ste 1B Unit 103, Charlotte, NC</t>
  </si>
  <si>
    <t xml:space="preserve">$14/unit ($10/unit daily special per social media)</t>
  </si>
  <si>
    <t xml:space="preserve">$6.50/unit</t>
  </si>
  <si>
    <t xml:space="preserve">Dermal Filler (full/half syringe)</t>
  </si>
  <si>
    <t xml:space="preserve">$850 full / $450 half</t>
  </si>
  <si>
    <t xml:space="preserve">$250+</t>
  </si>
  <si>
    <t xml:space="preserve">Retail Skincare Products</t>
  </si>
  <si>
    <t xml:space="preserve">$79-195</t>
  </si>
  <si>
    <t xml:space="preserve">Facial (50 min)</t>
  </si>
  <si>
    <t xml:space="preserve">$225</t>
  </si>
  <si>
    <t xml:space="preserve">50 min</t>
  </si>
  <si>
    <t xml:space="preserve">Facial (80 min)</t>
  </si>
  <si>
    <t xml:space="preserve">$300</t>
  </si>
  <si>
    <t xml:space="preserve">80 min</t>
  </si>
  <si>
    <t xml:space="preserve">Acne Facial</t>
  </si>
  <si>
    <t xml:space="preserve">$175 (50 min) - $300 (60 min)</t>
  </si>
  <si>
    <t xml:space="preserve">Decollete Treatment</t>
  </si>
  <si>
    <t xml:space="preserve">$100</t>
  </si>
  <si>
    <t xml:space="preserve">Dermatology Consultation</t>
  </si>
  <si>
    <t xml:space="preserve">Medical Dermatology Treatments (general)</t>
  </si>
  <si>
    <t xml:space="preserve">Dysport or Xeomin (per unit)</t>
  </si>
  <si>
    <t xml:space="preserve">Lip Flip</t>
  </si>
  <si>
    <t xml:space="preserve">$120</t>
  </si>
  <si>
    <t xml:space="preserve">Lip Filler &amp; Lip Flip Combo</t>
  </si>
  <si>
    <t xml:space="preserve">Cheek/Chin/Jawline Filler (per syringe)</t>
  </si>
  <si>
    <t xml:space="preserve">Chin Filler &amp; Chin Botox Combo</t>
  </si>
  <si>
    <t xml:space="preserve">$875</t>
  </si>
  <si>
    <t xml:space="preserve">Hyperdilute Radiesse (per syringe)</t>
  </si>
  <si>
    <t xml:space="preserve">8324 Pineville-Matthews Rd Ste 204, Charlotte, NC (Instagram cites 10643 Kettering Dr)</t>
  </si>
  <si>
    <t xml:space="preserve">Instagram only</t>
  </si>
  <si>
    <t xml:space="preserve">Lip Filler / Russian Lips / Full Face Filler</t>
  </si>
  <si>
    <t xml:space="preserve">Not found (Instagram/phone only)</t>
  </si>
  <si>
    <t xml:space="preserve">Botox / Jeuveau / Dysport (Facial Balancing)</t>
  </si>
  <si>
    <t xml:space="preserve">Model-day promo: $100 off treatment</t>
  </si>
  <si>
    <t xml:space="preserve">Facial Fat Transfer</t>
  </si>
  <si>
    <t xml:space="preserve">$2,500-$5,500 (blog-published range)</t>
  </si>
  <si>
    <t xml:space="preserve">Neck Lift (surgical)</t>
  </si>
  <si>
    <t xml:space="preserve">$8,500-$13,000 (blog-published range)</t>
  </si>
  <si>
    <t xml:space="preserve">Lip Filler (per syringe)</t>
  </si>
  <si>
    <t xml:space="preserve">$500-$1,500/syringe (blog-published range)</t>
  </si>
  <si>
    <t xml:space="preserve">Facelift (surgical)</t>
  </si>
  <si>
    <t xml:space="preserve">Not published (consult-dependent)</t>
  </si>
  <si>
    <t xml:space="preserve">Medical-Grade Skincare / Hair Loss Treatment</t>
  </si>
  <si>
    <t xml:space="preserve">Starting at $700/syringe</t>
  </si>
  <si>
    <t xml:space="preserve">Platinum Membership (Neurotoxin discount)</t>
  </si>
  <si>
    <t xml:space="preserve">$1 off/unit neurotoxin + other member pricing</t>
  </si>
  <si>
    <t xml:space="preserve">Laser Center / MedSpa Treatments (general)</t>
  </si>
  <si>
    <t xml:space="preserve">Not published (consult-based)</t>
  </si>
  <si>
    <t xml:space="preserve">Dermal Fillers (Restylane, RHA, Radiesse)</t>
  </si>
  <si>
    <t xml:space="preserve">Not published (depends on product/syringes)</t>
  </si>
  <si>
    <t xml:space="preserve">Skin Tightening</t>
  </si>
  <si>
    <t xml:space="preserve">CoolPeel Laser / Chemical Peels</t>
  </si>
  <si>
    <t xml:space="preserve">SmartGLO Membership (monthly facial)</t>
  </si>
  <si>
    <t xml:space="preserve">$99/month ($1,188 paid in full)</t>
  </si>
  <si>
    <t xml:space="preserve">TOX Membership</t>
  </si>
  <si>
    <t xml:space="preserve">$125/month ($1,500 paid in full)</t>
  </si>
  <si>
    <t xml:space="preserve">TotalGLO Membership</t>
  </si>
  <si>
    <t xml:space="preserve">$299/month ($256/treatment)</t>
  </si>
  <si>
    <t xml:space="preserve">Botox (per area)</t>
  </si>
  <si>
    <t xml:space="preserve">$125 (TOX member) / $150 (SmartGLO member) / $199 (non-member)</t>
  </si>
  <si>
    <t xml:space="preserve">3123 N Davidson St Ste 103, Charlotte, NC</t>
  </si>
  <si>
    <t xml:space="preserve">$12.50/unit</t>
  </si>
  <si>
    <t xml:space="preserve">$4.20/unit</t>
  </si>
  <si>
    <t xml:space="preserve">Juvederm family (Ultra/Ultra Plus/Vollure/Volbella/Voluma/Vollux) per syringe</t>
  </si>
  <si>
    <t xml:space="preserve">$775/syringe</t>
  </si>
  <si>
    <t xml:space="preserve">Revanesse Versa / Versa Lips (per syringe)</t>
  </si>
  <si>
    <t xml:space="preserve">$880 (1 vial) / $2,380 (3 vials)</t>
  </si>
  <si>
    <t xml:space="preserve">$660 (1 vial) / $1,900 (3 vials, most need 2+)</t>
  </si>
  <si>
    <t xml:space="preserve">Wellness Visit (Weight Loss)</t>
  </si>
  <si>
    <t xml:space="preserve">$110 single / $375 (3-month package)</t>
  </si>
  <si>
    <t xml:space="preserve">IV Hydration / Cryotherapy / Red Light Therapy</t>
  </si>
  <si>
    <t xml:space="preserve">Not published (varies by promo, e.g. 20% off Fridays)</t>
  </si>
  <si>
    <t xml:space="preserve">1110 Morningside Dr Ste D, Charlotte, NC</t>
  </si>
  <si>
    <t xml:space="preserve">$750/syringe</t>
  </si>
  <si>
    <t xml:space="preserve">Botox / Dysport (per unit)</t>
  </si>
  <si>
    <t xml:space="preserve">Lip Filler (initial session)</t>
  </si>
  <si>
    <t xml:space="preserve">Fat Dissolving (per session)</t>
  </si>
  <si>
    <t xml:space="preserve">$1,000/session</t>
  </si>
  <si>
    <t xml:space="preserve">Sculptra &amp; Radiesse</t>
  </si>
  <si>
    <t xml:space="preserve">Priced per area (not published)</t>
  </si>
  <si>
    <t xml:space="preserve">2436 N Sharon Amity Rd Ste 103, Charlotte, NC (site lists 3705 Latrobe Dr Ste 310 — possible relocation)</t>
  </si>
  <si>
    <t xml:space="preserve">Facial Treatments</t>
  </si>
  <si>
    <t xml:space="preserve">$145-$225</t>
  </si>
  <si>
    <t xml:space="preserve">AgeSmart Skin Treatment w/LED Therapy</t>
  </si>
  <si>
    <t xml:space="preserve">Dermalogica Skin Treatment / Skin Works</t>
  </si>
  <si>
    <t xml:space="preserve">Chemical Peels / Dermaplaning</t>
  </si>
  <si>
    <t xml:space="preserve">$12-$450 range (varies by service)</t>
  </si>
  <si>
    <t xml:space="preserve">Botox &amp; Derma Fillers</t>
  </si>
  <si>
    <t xml:space="preserve">Intimate Bleaching / Teeth Whitening / Weight Loss (RF)</t>
  </si>
  <si>
    <t xml:space="preserve">Membership</t>
  </si>
  <si>
    <t xml:space="preserve">$199/month (reg. $249/month), 10-15% off products/services</t>
  </si>
  <si>
    <t xml:space="preserve">Aesthetic Consult</t>
  </si>
  <si>
    <t xml:space="preserve">Esthetician Skin Consult</t>
  </si>
  <si>
    <t xml:space="preserve">Hair Restoration Consult</t>
  </si>
  <si>
    <t xml:space="preserve">Erectile Dysfunction Consult</t>
  </si>
  <si>
    <t xml:space="preserve">$199</t>
  </si>
  <si>
    <t xml:space="preserve">Botox (membership)</t>
  </si>
  <si>
    <t xml:space="preserve">$9/unit over 20 units ($180 min for 20 units, $45/mo membership, 6-mo min)</t>
  </si>
  <si>
    <t xml:space="preserve">$75-$400/area (memberships $50-$200/mo)</t>
  </si>
  <si>
    <t xml:space="preserve">Facial / Skin Rejuvenation</t>
  </si>
  <si>
    <t xml:space="preserve">$49 (new client) / $75/mo (membership)</t>
  </si>
  <si>
    <t xml:space="preserve">$50 off first visit (base price not published)</t>
  </si>
  <si>
    <t xml:space="preserve">Botox (1st-time client special)</t>
  </si>
  <si>
    <t xml:space="preserve">$8/unit</t>
  </si>
  <si>
    <t xml:space="preserve">Medically Supervised Weight Loss</t>
  </si>
  <si>
    <t xml:space="preserve">Botox / Fillers / Peels</t>
  </si>
  <si>
    <t xml:space="preserve">Not published on-site; 3rd-party estimate: Botox $200-900/session, filler $600-2,000/syringe (unconfirmed)</t>
  </si>
  <si>
    <t xml:space="preserve">Medical Weight Loss (GLP-1)</t>
  </si>
  <si>
    <t xml:space="preserve">IV / Vitamin Injections</t>
  </si>
  <si>
    <t xml:space="preserve">$11.50/unit</t>
  </si>
  <si>
    <t xml:space="preserve">$99 (regularly $150)</t>
  </si>
  <si>
    <t xml:space="preserve">CO2 Laser Hand Rejuvenation + PCA Peel</t>
  </si>
  <si>
    <t xml:space="preserve">$250 ($100 off promo)</t>
  </si>
  <si>
    <t xml:space="preserve">Genevieve's VIP Lift (3 tx + 3 CO2/microneedling)</t>
  </si>
  <si>
    <t xml:space="preserve">$5,000 (reg. $7,000+)</t>
  </si>
  <si>
    <t xml:space="preserve">Body Transformation Package (2 tx)</t>
  </si>
  <si>
    <t xml:space="preserve">$5,000 (reg. $6,000+)</t>
  </si>
  <si>
    <t xml:space="preserve">Monthly Skin Membership</t>
  </si>
  <si>
    <t xml:space="preserve">Not published (custom facials/dermaplaning/skin analysis)</t>
  </si>
  <si>
    <t xml:space="preserve">7808 Rea Rd Ste F, Charlotte, NC</t>
  </si>
  <si>
    <t xml:space="preserve">$385/treatment ($1,065 pkg of 3)</t>
  </si>
  <si>
    <t xml:space="preserve">info@vocimedspa.com</t>
  </si>
  <si>
    <t xml:space="preserve">Facial (with take-home)</t>
  </si>
  <si>
    <t xml:space="preserve">European Facial (50 min)</t>
  </si>
  <si>
    <t xml:space="preserve">Vitamin C (Anti-Aging) Facial (50 min)</t>
  </si>
  <si>
    <t xml:space="preserve">Botox / Xeomin (affordable injectables, chain-marketed)</t>
  </si>
  <si>
    <t xml:space="preserve">Not published (see pricing menu PDF)</t>
  </si>
  <si>
    <t xml:space="preserve">Waxing / Massage</t>
  </si>
  <si>
    <t xml:space="preserve">Not published (promo: 20% off custom massage seen)</t>
  </si>
  <si>
    <t xml:space="preserve">Charlotte Med Spa Market Dashboard</t>
  </si>
  <si>
    <t xml:space="preserve">Live summary of tracked clinics, pricing outreach, and procedure popularity  |  Source workbook updated 8/18/26</t>
  </si>
  <si>
    <t xml:space="preserve">Total Clinics Tracked</t>
  </si>
  <si>
    <t xml:space="preserve">Clinics w/ Published Pricing</t>
  </si>
  <si>
    <t xml:space="preserve">Clinics w/ No Public Pricing</t>
  </si>
  <si>
    <t xml:space="preserve">Procedure Line Items Logged</t>
  </si>
  <si>
    <t xml:space="preserve">Most Popular Procedures (by # of clinics offering, across 43 tracked clinics)</t>
  </si>
  <si>
    <t xml:space="preserve">Procedure</t>
  </si>
  <si>
    <t xml:space="preserve"># Clinics Offering</t>
  </si>
  <si>
    <t xml:space="preserve">Typical Price Range</t>
  </si>
  <si>
    <t xml:space="preserve">Median Price</t>
  </si>
  <si>
    <t xml:space="preserve">Notes</t>
  </si>
  <si>
    <t xml:space="preserve">Botox / Neuromodulators</t>
  </si>
  <si>
    <t xml:space="preserve">$8-$15/unit; some flat per-area</t>
  </si>
  <si>
    <t xml:space="preserve">~$12.50/unit</t>
  </si>
  <si>
    <t xml:space="preserve">By far the most common single offering; Charlotte pricing is unusually transparent per-unit vs. flat-rate</t>
  </si>
  <si>
    <t xml:space="preserve">Dermal / Lip Fillers</t>
  </si>
  <si>
    <t xml:space="preserve">$450-$1,540/syringe</t>
  </si>
  <si>
    <t xml:space="preserve">~$800/syringe</t>
  </si>
  <si>
    <t xml:space="preserve">Wide range by brand (Juvederm, Restylane, Versa, Radiesse) and treatment area</t>
  </si>
  <si>
    <t xml:space="preserve">Microneedling / RF Microneedling</t>
  </si>
  <si>
    <t xml:space="preserve">$65-$1,500/session</t>
  </si>
  <si>
    <t xml:space="preserve">~$400/session</t>
  </si>
  <si>
    <t xml:space="preserve">RF variants (Virtue RF, Sylfirm X, Morpheus8) priced much higher than basic microneedling</t>
  </si>
  <si>
    <t xml:space="preserve">$90-$925/session</t>
  </si>
  <si>
    <t xml:space="preserve">~$300/session</t>
  </si>
  <si>
    <t xml:space="preserve">VI Peel is the most frequently named specific brand</t>
  </si>
  <si>
    <t xml:space="preserve">IPL / Photofacial</t>
  </si>
  <si>
    <t xml:space="preserve">$250-$550/session</t>
  </si>
  <si>
    <t xml:space="preserve">~$385/session</t>
  </si>
  <si>
    <t xml:space="preserve">Often bundled into laser/BBL packages</t>
  </si>
  <si>
    <t xml:space="preserve">$50-$800/area/session</t>
  </si>
  <si>
    <t xml:space="preserve">~$250/session</t>
  </si>
  <si>
    <t xml:space="preserve">Almost always sold as multi-session packages at a discount</t>
  </si>
  <si>
    <t xml:space="preserve">Sculptra / Biostimulators</t>
  </si>
  <si>
    <t xml:space="preserve">$650-$2,300/vial or series</t>
  </si>
  <si>
    <t xml:space="preserve">~$880/vial</t>
  </si>
  <si>
    <t xml:space="preserve">Radiesse increasingly offered 'hyperdilute' as a biostimulator rather than volumizer</t>
  </si>
  <si>
    <t xml:space="preserve">$149-$325/session</t>
  </si>
  <si>
    <t xml:space="preserve">~$225/session</t>
  </si>
  <si>
    <t xml:space="preserve">Tiered pricing (Signature/Deluxe/Platinum) is the norm</t>
  </si>
  <si>
    <t xml:space="preserve">PRP Therapy</t>
  </si>
  <si>
    <t xml:space="preserve">$595-$1,200/series</t>
  </si>
  <si>
    <t xml:space="preserve">~$975/series</t>
  </si>
  <si>
    <t xml:space="preserve">Commonly sold as a 3-session series (hair, under-eye, or facial rejuvenation)</t>
  </si>
  <si>
    <t xml:space="preserve">Not widely published</t>
  </si>
  <si>
    <t xml:space="preserve">N/A</t>
  </si>
  <si>
    <t xml:space="preserve">Pricing rarely disclosed publicly; usually requires a consult</t>
  </si>
  <si>
    <t xml:space="preserve">Microdermabrasion / Dermaplaning</t>
  </si>
  <si>
    <t xml:space="preserve">$50-$450/session</t>
  </si>
  <si>
    <t xml:space="preserve">~$90/session</t>
  </si>
  <si>
    <t xml:space="preserve">Frequently offered as an add-on to a facial rather than standalone</t>
  </si>
  <si>
    <t xml:space="preserve">Emsculpt / Body Contouring</t>
  </si>
  <si>
    <t xml:space="preserve">Promo-only pricing common (e.g. '$250 off a package')</t>
  </si>
  <si>
    <t xml:space="preserve">$450-$1,900/vial or package</t>
  </si>
  <si>
    <t xml:space="preserve">~$800/vial</t>
  </si>
  <si>
    <t xml:space="preserve">Priced per vial; most patients need 2+ vials</t>
  </si>
  <si>
    <t xml:space="preserve">Rare in the Charlotte dataset compared to newer RF/laser skin-tightening alternatives</t>
  </si>
  <si>
    <t xml:space="preserve">PDO Thread Lift</t>
  </si>
  <si>
    <t xml:space="preserve">$500-$1,500/area</t>
  </si>
  <si>
    <t xml:space="preserve">~$1,020/treatment</t>
  </si>
  <si>
    <t xml:space="preserve">Less commonly offered than in Manhattan's dataset</t>
  </si>
  <si>
    <t xml:space="preserve">Note: "# Clinics Offering" is a live formula scanning the All Procedures sheet, counting DISTINCT CLINICS (not raw line items) that mention the keyword. Price ranges/medians are derived from a one-time manual parse of published prices across the dataset (outliers and training/consult fees excluded) - not a live formula, since pricing is stored as free text that cannot be reliably parsed by spreadsheet formulas. Re-run the analysis after major data updates. Compiled 2026-08-18.</t>
  </si>
  <si>
    <t xml:space="preserve">Charlotte Med Spa Procedures Report — Methodology &amp; Notes</t>
  </si>
  <si>
    <t xml:space="preserve">STATUS: Maps sweep pass 1 complete (run 1, 2026-08-18). 33 candidate clinics identified via Google</t>
  </si>
  <si>
    <t xml:space="preserve">Maps searches for 'med spa near Uptown Charlotte NC', 'botox Charlotte NC', and 'medical aesthetics</t>
  </si>
  <si>
    <t xml:space="preserve">Charlotte NC'. These searches returned a wide metro radius (map auto-zoomed to city/regional level),</t>
  </si>
  <si>
    <t xml:space="preserve">so coverage already spans Uptown, South End, SouthPark, Dilworth/East Blvd corridor, Ballantyne,</t>
  </si>
  <si>
    <t xml:space="preserve">Steele Creek, and University City areas.</t>
  </si>
  <si>
    <t xml:space="preserve">NOT YET DONE (next run should pick up here):</t>
  </si>
  <si>
    <t xml:space="preserve">1. Additional Maps search passes for: Plaza Midwood, NoDa, Myers Park, Dilworth (named-neighborhood</t>
  </si>
  <si>
    <t xml:space="preserve">   searches specifically, in case they surface businesses missed by the broader terms above).</t>
  </si>
  <si>
    <t xml:space="preserve">2. Follow up on map-pin candidates glimpsed but not yet confirmed via listing text: dermani MEDSPA</t>
  </si>
  <si>
    <t xml:space="preserve">   (Ballantyne), Bliss Aesthetics and Wellness, Kalina Aesthetics and Wellness.</t>
  </si>
  <si>
    <t xml:space="preserve">3. Visit each clinic's Google Maps listing to capture its website URL (not captured in list view).</t>
  </si>
  <si>
    <t xml:space="preserve">4. Visit each clinic website to extract procedures + published pricing (or check booking-flow pages</t>
  </si>
  <si>
    <t xml:space="preserve">   for visible pricing without booking/entering payment info), and find a contact/scheduling email.</t>
  </si>
  <si>
    <t xml:space="preserve">5. Populate Website / # Procedures Listed / Pricing Transparency / Contact columns in Clinics Overview,</t>
  </si>
  <si>
    <t xml:space="preserve">   and populate All Procedures with one row per procedure per clinic.</t>
  </si>
  <si>
    <t xml:space="preserve">6. Send outreach emails (batches of ~10-15, staggered) to clinics with no published pricing.</t>
  </si>
  <si>
    <t xml:space="preserve">7. Build Dashboard formulas (mirror Manhattan workbook pattern) once All Procedures is populated.</t>
  </si>
  <si>
    <t xml:space="preserve">8. Google Trends research (15 procedure categories, Botox as anchor term) for Charlotte/NC geo.</t>
  </si>
  <si>
    <t xml:space="preserve">9. Build Charlotte_Med_Spa_Market_Report.html mirroring Manhattan_Med_Spa_Market_Report.html design.</t>
  </si>
  <si>
    <t xml:space="preserve">IMPORTANT: '# clinics offering X' must count DISTINCT CLINICS (deduplicated), never raw line-item</t>
  </si>
  <si>
    <t xml:space="preserve">counts — this was a bug found and fixed in the NYC report.</t>
  </si>
  <si>
    <t xml:space="preserve">RUN 2 UPDATE (2026-08-18): Maps sweep pass 2 complete — targeted searches for Plaza Midwood, NoDa,</t>
  </si>
  <si>
    <t xml:space="preserve">Myers Park, Dilworth run. Confirmed dermani MEDSPA Ballantyne, Bliss Aesthetics and Wellness, Kalina</t>
  </si>
  <si>
    <t xml:space="preserve">Aesthetics and Wellness were already logged (rows 39-41). Added 1 new clinic: Genevieve &amp; Co (row 42).</t>
  </si>
  <si>
    <t xml:space="preserve">Considered and EXCLUDED as non-medspa: Toccare Skin Spa (day spa, not med spa category), Om Spa</t>
  </si>
  <si>
    <t xml:space="preserve">Charlotte (wellness/massage center), Restore Hyper Wellness / FLUID HYDRATION &amp; WELLNESS / Hydrate</t>
  </si>
  <si>
    <t xml:space="preserve">Medical / Flo Hydration &amp; Wellness (IV hydration clinics, not aesthetics-focused med spas).</t>
  </si>
  <si>
    <t xml:space="preserve">Maps sweep now judged COMPLETE at 42 clinics. Started website procedures/pricing pass:</t>
  </si>
  <si>
    <t xml:space="preserve">  Clinic #1 Infinity MedSpa and Wellness — DONE. Full services menu (21 procedures) pulled, no</t>
  </si>
  <si>
    <t xml:space="preserve">  published pricing anywhere on site, no email found (contact form only) — outreach candidate.</t>
  </si>
  <si>
    <t xml:space="preserve">  Clinic #2 Jon'Ric Medical Spa and Wellness Center — PARTIAL. Contact email captured</t>
  </si>
  <si>
    <t xml:space="preserve">  (jonricmedspa@gmail.com), no pricing published; full services menu page did not load cleanly</t>
  </si>
  <si>
    <t xml:space="preserve">  (client-side routing issue) — revisit services/spa-treatments page next run for full list.</t>
  </si>
  <si>
    <t xml:space="preserve">NEXT: continue procedures/pricing pass starting at clinic #3 (Azura Medical Spa).</t>
  </si>
  <si>
    <t xml:space="preserve">RUN 3 UPDATE (2026-08-18, same day continuation): Procedures/pricing pass continued for</t>
  </si>
  <si>
    <t xml:space="preserve">clinics #2 (refined), #3 Azura Medical Spa, #4/#19 The Modern Aesthetic (Uptown + Ballantyne,</t>
  </si>
  <si>
    <t xml:space="preserve">same brand/site/menu), #5 Prestige Med Spa. The Modern Aesthetic is the FIRST Charlotte clinic</t>
  </si>
  <si>
    <t xml:space="preserve">with full transparent published pricing (per-unit Botox/Dysport, per-syringe filler, HydraFacial</t>
  </si>
  <si>
    <t xml:space="preserve">tiers, VI Peel, brow lamination, massage add-ons) — valuable anchor for pricing comparisons.</t>
  </si>
  <si>
    <t xml:space="preserve">NEXT: continue procedures/pricing pass at clinic #6 (Allure Medical, 330 Billingsley Rd).</t>
  </si>
  <si>
    <t xml:space="preserve">RUN 4 UPDATE (2026-08-18, same day continuation): Completed clinics #6-10 (Allure Medical,</t>
  </si>
  <si>
    <t xml:space="preserve">Miramae Medical Skin Care Studio, OVME, VIO Med Spa Rea Farms, FANOUS MEDSPA). Miramae and OVME</t>
  </si>
  <si>
    <t xml:space="preserve">both have extensive itemized published pricing — strong data points for the pricing table.</t>
  </si>
  <si>
    <t xml:space="preserve">Discovered 1 more new clinic via VIO's Google Maps local pack: VociMedSpa (7808 Rea Rd F,</t>
  </si>
  <si>
    <t xml:space="preserve">Rea Farms area, 15+ years in business, 4.7/423 reviews) — added as row 43, procedures/pricing</t>
  </si>
  <si>
    <t xml:space="preserve">not yet researched. Clinic count now 43.</t>
  </si>
  <si>
    <t xml:space="preserve">NEXT: continue procedures/pricing pass at clinic #11 (Evolve Medical Associates, 5821 Fairview</t>
  </si>
  <si>
    <t xml:space="preserve">Rd #115), then eventually loop back to research VociMedSpa (row 43).</t>
  </si>
  <si>
    <t xml:space="preserve">RUN 5 UPDATE (2026-08-18, same day continuation): Completed clinics #11-15 (Evolve Medical</t>
  </si>
  <si>
    <t xml:space="preserve">Associates, Tyme Day Spa, Elase Medical Spa SouthPark, Eden MedSpa, Replenish Health Spa).</t>
  </si>
  <si>
    <t xml:space="preserve">Elase pricing sourced from a 3rd-party Instagram post (not official site) — flagged as such,</t>
  </si>
  <si>
    <t xml:space="preserve">treat cautiously in the report. Replenish hair-restoration price sourced from a franchise page,</t>
  </si>
  <si>
    <t xml:space="preserve">not the clinic's own site — also flagged. Evolve and Eden both have no findable email (contact</t>
  </si>
  <si>
    <t xml:space="preserve">form / phone only) — both outreach candidates once outreach phase starts, same caveat as</t>
  </si>
  <si>
    <t xml:space="preserve">Infinity MedSpa (#1): may need a different channel than Gmail since methodology requires email.</t>
  </si>
  <si>
    <t xml:space="preserve">Spotted but NOT added: KUR Health Spa (3928 Park Rd, 'Health spa' category) — looks like a</t>
  </si>
  <si>
    <t xml:space="preserve">general wellness/massage spa, not aesthetics-focused; needs a quick site check before deciding</t>
  </si>
  <si>
    <t xml:space="preserve">whether to include.</t>
  </si>
  <si>
    <t xml:space="preserve">NEXT: continue procedures/pricing pass at clinic #16 (Ageless Remedies SouthPark, 3900 Colony</t>
  </si>
  <si>
    <t xml:space="preserve">Rd). Also revisit KUR Health Spa inclusion decision and VociMedSpa (row 43) research.</t>
  </si>
  <si>
    <t xml:space="preserve">RUN 6 UPDATE (2026-08-18, scheduled run): Completed clinics #16-21 (Ageless Remedies SouthPark,</t>
  </si>
  <si>
    <t xml:space="preserve">ZEM Aesthetics &amp; Med Spa, M2 Medical Spa and Wellness, Aesthetica Med Spa, Plumped). Note: #19 was</t>
  </si>
  <si>
    <t xml:space="preserve">already done as a Modern Aesthetic dupe, so this batch is #16,17,18,20,21 = 5 new clinics + 1 skip.</t>
  </si>
  <si>
    <t xml:space="preserve">Aesthetica Med Spa yielded a large, fully transparent published price list (37+ line items) — third</t>
  </si>
  <si>
    <t xml:space="preserve">strong anchor clinic alongside The Modern Aesthetic and Miramae. Ageless Remedies has no findable</t>
  </si>
  <si>
    <t xml:space="preserve">email (contact form via forms.liine.com only) — 4th no-email clinic (with Infinity MedSpa, Evolve,</t>
  </si>
  <si>
    <t xml:space="preserve">Eden). 20 of 43 clinics now fully done.</t>
  </si>
  <si>
    <t xml:space="preserve">NEXT: continue procedures/pricing pass at clinic #22 (CLT Aesthetics, 900 Metropolitan Ave Ste 1B).</t>
  </si>
  <si>
    <t xml:space="preserve">Still open: (a) KUR Health Spa inclusion decision, (b) VociMedSpa (row 43) research.</t>
  </si>
  <si>
    <t xml:space="preserve">RUN 6 UPDATE (2026-08-18, same-day continuation, immediate back-to-back per Elias's request to</t>
  </si>
  <si>
    <t xml:space="preserve">skip waiting on the schedule): Completed clinics #16-18, #20-22 (Ageless Remedies SouthPark, ZEM</t>
  </si>
  <si>
    <t xml:space="preserve">Aesthetics, M2 Medical Spa, Aesthetica Med Spa, Plumped, CLT Aesthetics). M2 and CLT Aesthetics</t>
  </si>
  <si>
    <t xml:space="preserve">both have strong published pricing. IMPORTANT CORRECTION: initially found lip-filler pricing</t>
  </si>
  <si>
    <t xml:space="preserve">($450/$600/$850) attributed to 'Plumped' via search snippets from getplump.com and</t>
  </si>
  <si>
    <t xml:space="preserve">plumprefresh.squarespace.com — on closer check these appear to be a DIFFERENT business ('Plump'),</t>
  </si>
  <si>
    <t xml:space="preserve">not this clinic (plumpedclt.com/'Plumped'). Excluded that pricing from Plumped's row to avoid</t>
  </si>
  <si>
    <t xml:space="preserve">misattribution; only confirmed the $2,000 injector-training-class fee (not a patient price) for</t>
  </si>
  <si>
    <t xml:space="preserve">Plumped. Also noted: 'Lifted Aesthetics' (clinic #25 in our list) appears in an Instagram post</t>
  </si>
  <si>
    <t xml:space="preserve">using the SAME address as CLT Aesthetics (900 Metropolitan Ave) rather than the 705 Northeast Dr</t>
  </si>
  <si>
    <t xml:space="preserve">address currently on file for #25 — flag to double check when #25 is researched.</t>
  </si>
  <si>
    <t xml:space="preserve">NEXT: continue procedures/pricing pass at clinic #23 (Med Boutique - Aesthetic Injectables,</t>
  </si>
  <si>
    <t xml:space="preserve">10030 Park Cedar Dr #101), skipping #19 (already done).</t>
  </si>
  <si>
    <t xml:space="preserve">RECONCILIATION (2026-08-18)</t>
  </si>
  <si>
    <t xml:space="preserve">DISCOVERY: The scheduled task (multi-city-medspa-report, running every 30 min) was executing</t>
  </si>
  <si>
    <t xml:space="preserve">CONCURRENTLY with Elias's direct chat requests to 'do the next task' in this same session. Both</t>
  </si>
  <si>
    <t xml:space="preserve">processes were independently researching Charlotte clinics and writing to this same file at the</t>
  </si>
  <si>
    <t xml:space="preserve">same time, using position-based row updates in the 'Clinics Overview' sheet. This caused several</t>
  </si>
  <si>
    <t xml:space="preserve">rows in Clinics Overview to become scrambled (clinic name in column B not matching the</t>
  </si>
  <si>
    <t xml:space="preserve">website/pricing data in the same row) for rows covering clinics #15-23 roughly. The 'All</t>
  </si>
  <si>
    <t xml:space="preserve">Procedures' detail sheet was NOT corrupted (each row independently states its own clinic name), so</t>
  </si>
  <si>
    <t xml:space="preserve">no procedure/pricing data was actually lost or misattributed there — only the summary sheet had</t>
  </si>
  <si>
    <t xml:space="preserve">row-alignment errors.</t>
  </si>
  <si>
    <t xml:space="preserve">ACTION TAKEN: Disabled the scheduled task (was enabled, every 30 min) to stop further concurrent</t>
  </si>
  <si>
    <t xml:space="preserve">writes. Fully rebuilt the 'Clinics Overview' sheet from scratch using the (uncorrupted) 'All</t>
  </si>
  <si>
    <t xml:space="preserve">Procedures' sheet as ground truth, cross-checked against my own direct research in this session.</t>
  </si>
  <si>
    <t xml:space="preserve">Restored 'The Modern Aesthetic (Ballantyne)' (clinic #19), which had been dropped entirely during</t>
  </si>
  <si>
    <t xml:space="preserve">the collision. Removed a duplicate SkinSpirit Charlotte row. Deduped ~13 redundant/near-duplicate</t>
  </si>
  <si>
    <t xml:space="preserve">line items in All Procedures (mostly Ageless Remedies and CLT Aesthetics, which had been</t>
  </si>
  <si>
    <t xml:space="preserve">researched independently by both processes).</t>
  </si>
  <si>
    <t xml:space="preserve">GOOD NEWS: the concurrent scheduled-task run actually completed substantial legitimate research</t>
  </si>
  <si>
    <t xml:space="preserve">beyond what was tracked — clinics #20, #23, #24, #25, #26 (Aesthetica, Capizzi MD, Med Boutique,</t>
  </si>
  <si>
    <t xml:space="preserve">Lifted Aesthetics, SkinSpirit) all now have full procedure + pricing data, including two of the</t>
  </si>
  <si>
    <t xml:space="preserve">most extensive published price lists found in Charlotte so far (Capizzi MD and Lifted Aesthetics).</t>
  </si>
  <si>
    <t xml:space="preserve">CURRENT STATE: 26 of 43 Charlotte clinics now have procedures/pricing data (clinics #1-26, all</t>
  </si>
  <si>
    <t xml:space="preserve">present and clean). Remaining: #27-38 (12 clinics, Charlotte Skin and Laser through The Maxim</t>
  </si>
  <si>
    <t xml:space="preserve">Clinic) and #39-43 (5 clinics: dermani, Bliss, Kalina, Genevieve &amp; Co., VociMedSpa) still need the</t>
  </si>
  <si>
    <t xml:space="preserve">website/procedures/pricing pass.</t>
  </si>
  <si>
    <t xml:space="preserve">OPEN ITEMS CARRIED FORWARD: (a) KUR Health Spa (3928 Park Rd) inclusion decision still pending;</t>
  </si>
  <si>
    <t xml:space="preserve">(b) address discrepancy for Lifted Aesthetics Charlotte — this reconciliation kept the scheduled</t>
  </si>
  <si>
    <t xml:space="preserve">task's finding of 705 Northeast Dr, Davidson NC 28036 (immediate metro, real site content</t>
  </si>
  <si>
    <t xml:space="preserve">confirmed), but an earlier manual search also spotted a 'Lifted Aesthetics' Instagram account</t>
  </si>
  <si>
    <t xml:space="preserve">posting from 900 Metropolitan Ave (CLT Aesthetics' address) — possibly a second location, a</t>
  </si>
  <si>
    <t xml:space="preserve">coincidence of similar branding, or an error on one platform. Worth a quick double-check before</t>
  </si>
  <si>
    <t xml:space="preserve">finalizing the report, not blocking.</t>
  </si>
  <si>
    <t xml:space="preserve">GOING FORWARD: the scheduled task remains DISABLED. Do not re-enable it while also doing manual</t>
  </si>
  <si>
    <t xml:space="preserve">chat-based work on the same city in parallel — pick one mode at a time to avoid this recurring.</t>
  </si>
  <si>
    <t xml:space="preserve">Elias should re-enable the schedule explicitly when he wants background-only progress again.</t>
  </si>
  <si>
    <t xml:space="preserve">NEXT: continue the procedures/pricing pass at clinic #27 (Charlotte Skin and Laser, 130</t>
  </si>
  <si>
    <t xml:space="preserve">Providence Rd).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</si>
</sst>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21</v>
      </c>
      <c r="G2" s="0" t="s">
        <v>13</v>
      </c>
      <c r="H2" s="0" t="s">
        <v>14</v>
      </c>
      <c r="I2" s="0" t="s">
        <v>15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17</v>
      </c>
      <c r="D3" s="0" t="s">
        <v>18</v>
      </c>
      <c r="E3" s="0" t="s">
        <v>19</v>
      </c>
      <c r="F3" s="0" t="n">
        <v>6</v>
      </c>
      <c r="G3" s="0" t="s">
        <v>20</v>
      </c>
      <c r="H3" s="0" t="s">
        <v>14</v>
      </c>
      <c r="I3" s="0" t="s">
        <v>21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s">
        <v>23</v>
      </c>
      <c r="D4" s="0" t="s">
        <v>24</v>
      </c>
      <c r="E4" s="0" t="s">
        <v>25</v>
      </c>
      <c r="F4" s="0" t="n">
        <v>10</v>
      </c>
      <c r="G4" s="0" t="s">
        <v>26</v>
      </c>
      <c r="H4" s="0" t="s">
        <v>14</v>
      </c>
      <c r="I4" s="0" t="s">
        <v>27</v>
      </c>
    </row>
    <row r="5" customFormat="false" ht="15" hidden="false" customHeight="false" outlineLevel="0" collapsed="false">
      <c r="A5" s="0" t="n">
        <v>4</v>
      </c>
      <c r="B5" s="0" t="s">
        <v>28</v>
      </c>
      <c r="C5" s="0" t="s">
        <v>29</v>
      </c>
      <c r="D5" s="0" t="s">
        <v>30</v>
      </c>
      <c r="E5" s="0" t="s">
        <v>31</v>
      </c>
      <c r="F5" s="0" t="n">
        <v>13</v>
      </c>
      <c r="G5" s="0" t="s">
        <v>32</v>
      </c>
      <c r="H5" s="0" t="s">
        <v>14</v>
      </c>
      <c r="I5" s="0" t="s">
        <v>33</v>
      </c>
    </row>
    <row r="6" customFormat="false" ht="15" hidden="false" customHeight="false" outlineLevel="0" collapsed="false">
      <c r="A6" s="0" t="n">
        <v>5</v>
      </c>
      <c r="B6" s="0" t="s">
        <v>34</v>
      </c>
      <c r="C6" s="0" t="s">
        <v>35</v>
      </c>
      <c r="D6" s="0" t="s">
        <v>36</v>
      </c>
      <c r="E6" s="0" t="s">
        <v>37</v>
      </c>
      <c r="F6" s="0" t="n">
        <v>4</v>
      </c>
      <c r="G6" s="0" t="s">
        <v>38</v>
      </c>
      <c r="H6" s="0" t="s">
        <v>14</v>
      </c>
      <c r="I6" s="0" t="s">
        <v>39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s">
        <v>41</v>
      </c>
      <c r="D7" s="0" t="s">
        <v>42</v>
      </c>
      <c r="E7" s="0" t="s">
        <v>43</v>
      </c>
      <c r="F7" s="0" t="n">
        <v>13</v>
      </c>
      <c r="G7" s="0" t="s">
        <v>44</v>
      </c>
      <c r="H7" s="0" t="s">
        <v>14</v>
      </c>
      <c r="I7" s="0" t="s">
        <v>45</v>
      </c>
    </row>
    <row r="8" customFormat="false" ht="15" hidden="false" customHeight="false" outlineLevel="0" collapsed="false">
      <c r="A8" s="0" t="n">
        <v>7</v>
      </c>
      <c r="B8" s="0" t="s">
        <v>46</v>
      </c>
      <c r="C8" s="0" t="s">
        <v>47</v>
      </c>
      <c r="D8" s="0" t="s">
        <v>48</v>
      </c>
      <c r="E8" s="0" t="s">
        <v>49</v>
      </c>
      <c r="F8" s="0" t="n">
        <v>16</v>
      </c>
      <c r="G8" s="0" t="s">
        <v>50</v>
      </c>
      <c r="H8" s="0" t="s">
        <v>14</v>
      </c>
      <c r="I8" s="0" t="s">
        <v>51</v>
      </c>
    </row>
    <row r="9" customFormat="false" ht="15" hidden="false" customHeight="false" outlineLevel="0" collapsed="false">
      <c r="A9" s="0" t="n">
        <v>8</v>
      </c>
      <c r="B9" s="0" t="s">
        <v>52</v>
      </c>
      <c r="C9" s="0" t="s">
        <v>53</v>
      </c>
      <c r="D9" s="0" t="s">
        <v>54</v>
      </c>
      <c r="E9" s="0" t="s">
        <v>55</v>
      </c>
      <c r="F9" s="0" t="n">
        <v>20</v>
      </c>
      <c r="G9" s="0" t="s">
        <v>56</v>
      </c>
      <c r="H9" s="0" t="s">
        <v>14</v>
      </c>
      <c r="I9" s="0" t="s">
        <v>57</v>
      </c>
    </row>
    <row r="10" customFormat="false" ht="15" hidden="false" customHeight="false" outlineLevel="0" collapsed="false">
      <c r="A10" s="0" t="n">
        <v>9</v>
      </c>
      <c r="B10" s="0" t="s">
        <v>58</v>
      </c>
      <c r="C10" s="0" t="s">
        <v>59</v>
      </c>
      <c r="D10" s="0" t="s">
        <v>60</v>
      </c>
      <c r="E10" s="0" t="s">
        <v>61</v>
      </c>
      <c r="F10" s="0" t="n">
        <v>2</v>
      </c>
      <c r="G10" s="0" t="s">
        <v>62</v>
      </c>
      <c r="H10" s="0" t="s">
        <v>14</v>
      </c>
      <c r="I10" s="0" t="s">
        <v>63</v>
      </c>
    </row>
    <row r="11" customFormat="false" ht="15" hidden="false" customHeight="false" outlineLevel="0" collapsed="false">
      <c r="A11" s="0" t="n">
        <v>10</v>
      </c>
      <c r="B11" s="0" t="s">
        <v>64</v>
      </c>
      <c r="C11" s="0" t="s">
        <v>65</v>
      </c>
      <c r="D11" s="0" t="s">
        <v>66</v>
      </c>
      <c r="E11" s="0" t="s">
        <v>67</v>
      </c>
      <c r="F11" s="0" t="n">
        <v>5</v>
      </c>
      <c r="G11" s="0" t="s">
        <v>68</v>
      </c>
      <c r="H11" s="0" t="s">
        <v>14</v>
      </c>
      <c r="I11" s="0" t="s">
        <v>69</v>
      </c>
    </row>
    <row r="12" customFormat="false" ht="15" hidden="false" customHeight="false" outlineLevel="0" collapsed="false">
      <c r="A12" s="0" t="n">
        <v>11</v>
      </c>
      <c r="B12" s="0" t="s">
        <v>70</v>
      </c>
      <c r="C12" s="0" t="s">
        <v>10</v>
      </c>
      <c r="D12" s="0" t="s">
        <v>71</v>
      </c>
      <c r="E12" s="0" t="s">
        <v>72</v>
      </c>
      <c r="F12" s="0" t="n">
        <v>8</v>
      </c>
      <c r="G12" s="0" t="s">
        <v>73</v>
      </c>
      <c r="H12" s="0" t="s">
        <v>14</v>
      </c>
      <c r="I12" s="0" t="s">
        <v>74</v>
      </c>
    </row>
    <row r="13" customFormat="false" ht="15" hidden="false" customHeight="false" outlineLevel="0" collapsed="false">
      <c r="A13" s="0" t="n">
        <v>12</v>
      </c>
      <c r="B13" s="0" t="s">
        <v>75</v>
      </c>
      <c r="C13" s="0" t="s">
        <v>29</v>
      </c>
      <c r="D13" s="0" t="s">
        <v>76</v>
      </c>
      <c r="E13" s="0" t="s">
        <v>77</v>
      </c>
      <c r="F13" s="0" t="n">
        <v>7</v>
      </c>
      <c r="G13" s="0" t="s">
        <v>78</v>
      </c>
      <c r="H13" s="0" t="s">
        <v>14</v>
      </c>
      <c r="I13" s="0" t="s">
        <v>79</v>
      </c>
    </row>
    <row r="14" customFormat="false" ht="15" hidden="false" customHeight="false" outlineLevel="0" collapsed="false">
      <c r="A14" s="0" t="n">
        <v>13</v>
      </c>
      <c r="B14" s="0" t="s">
        <v>80</v>
      </c>
      <c r="C14" s="0" t="s">
        <v>10</v>
      </c>
      <c r="D14" s="0" t="s">
        <v>81</v>
      </c>
      <c r="E14" s="0" t="s">
        <v>82</v>
      </c>
      <c r="F14" s="0" t="n">
        <v>6</v>
      </c>
      <c r="G14" s="0" t="s">
        <v>83</v>
      </c>
      <c r="H14" s="0" t="s">
        <v>14</v>
      </c>
      <c r="I14" s="0" t="s">
        <v>84</v>
      </c>
    </row>
    <row r="15" customFormat="false" ht="15" hidden="false" customHeight="false" outlineLevel="0" collapsed="false">
      <c r="A15" s="0" t="n">
        <v>14</v>
      </c>
      <c r="B15" s="0" t="s">
        <v>85</v>
      </c>
      <c r="C15" s="0" t="s">
        <v>86</v>
      </c>
      <c r="D15" s="0" t="s">
        <v>87</v>
      </c>
      <c r="E15" s="0" t="s">
        <v>88</v>
      </c>
      <c r="F15" s="0" t="n">
        <v>6</v>
      </c>
      <c r="G15" s="0" t="s">
        <v>89</v>
      </c>
      <c r="H15" s="0" t="s">
        <v>14</v>
      </c>
      <c r="I15" s="0" t="s">
        <v>90</v>
      </c>
    </row>
    <row r="16" customFormat="false" ht="15" hidden="false" customHeight="false" outlineLevel="0" collapsed="false">
      <c r="A16" s="0" t="n">
        <v>15</v>
      </c>
      <c r="B16" s="0" t="s">
        <v>91</v>
      </c>
      <c r="C16" s="0" t="s">
        <v>92</v>
      </c>
      <c r="D16" s="0" t="s">
        <v>93</v>
      </c>
      <c r="E16" s="0" t="s">
        <v>94</v>
      </c>
      <c r="F16" s="0" t="n">
        <v>10</v>
      </c>
      <c r="G16" s="0" t="s">
        <v>95</v>
      </c>
      <c r="H16" s="0" t="s">
        <v>14</v>
      </c>
      <c r="I16" s="0" t="s">
        <v>96</v>
      </c>
    </row>
    <row r="17" customFormat="false" ht="15" hidden="false" customHeight="false" outlineLevel="0" collapsed="false">
      <c r="A17" s="0" t="n">
        <v>16</v>
      </c>
      <c r="B17" s="0" t="s">
        <v>97</v>
      </c>
      <c r="C17" s="0" t="s">
        <v>10</v>
      </c>
      <c r="D17" s="0" t="s">
        <v>98</v>
      </c>
      <c r="E17" s="0" t="s">
        <v>99</v>
      </c>
      <c r="F17" s="0" t="n">
        <v>38</v>
      </c>
      <c r="G17" s="0" t="s">
        <v>100</v>
      </c>
      <c r="H17" s="0" t="s">
        <v>14</v>
      </c>
      <c r="I17" s="0" t="s">
        <v>101</v>
      </c>
    </row>
    <row r="18" customFormat="false" ht="15" hidden="false" customHeight="false" outlineLevel="0" collapsed="false">
      <c r="A18" s="0" t="n">
        <v>17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n">
        <v>5</v>
      </c>
      <c r="G18" s="0" t="s">
        <v>106</v>
      </c>
      <c r="H18" s="0" t="s">
        <v>14</v>
      </c>
      <c r="I18" s="0" t="s">
        <v>107</v>
      </c>
    </row>
    <row r="19" customFormat="false" ht="15" hidden="false" customHeight="false" outlineLevel="0" collapsed="false">
      <c r="A19" s="0" t="n">
        <v>18</v>
      </c>
      <c r="B19" s="0" t="s">
        <v>108</v>
      </c>
      <c r="C19" s="0" t="s">
        <v>109</v>
      </c>
      <c r="D19" s="0" t="s">
        <v>110</v>
      </c>
      <c r="E19" s="0" t="s">
        <v>111</v>
      </c>
      <c r="F19" s="0" t="n">
        <v>10</v>
      </c>
      <c r="G19" s="0" t="s">
        <v>112</v>
      </c>
      <c r="H19" s="0" t="s">
        <v>14</v>
      </c>
      <c r="I19" s="0" t="s">
        <v>113</v>
      </c>
    </row>
    <row r="20" customFormat="false" ht="15" hidden="false" customHeight="false" outlineLevel="0" collapsed="false">
      <c r="A20" s="0" t="n">
        <v>19</v>
      </c>
      <c r="B20" s="0" t="s">
        <v>114</v>
      </c>
      <c r="C20" s="0" t="s">
        <v>109</v>
      </c>
      <c r="D20" s="0" t="s">
        <v>115</v>
      </c>
      <c r="E20" s="0" t="s">
        <v>31</v>
      </c>
      <c r="F20" s="0" t="n">
        <v>5</v>
      </c>
      <c r="G20" s="0" t="s">
        <v>116</v>
      </c>
      <c r="H20" s="0" t="s">
        <v>14</v>
      </c>
      <c r="I20" s="0" t="s">
        <v>33</v>
      </c>
    </row>
    <row r="21" customFormat="false" ht="15" hidden="false" customHeight="false" outlineLevel="0" collapsed="false">
      <c r="A21" s="0" t="n">
        <v>20</v>
      </c>
      <c r="B21" s="0" t="s">
        <v>117</v>
      </c>
      <c r="C21" s="0" t="s">
        <v>23</v>
      </c>
      <c r="D21" s="0" t="s">
        <v>118</v>
      </c>
      <c r="E21" s="0" t="s">
        <v>119</v>
      </c>
      <c r="F21" s="0" t="n">
        <v>38</v>
      </c>
      <c r="G21" s="0" t="s">
        <v>120</v>
      </c>
      <c r="H21" s="0" t="s">
        <v>14</v>
      </c>
      <c r="I21" s="0" t="s">
        <v>121</v>
      </c>
    </row>
    <row r="22" customFormat="false" ht="15" hidden="false" customHeight="false" outlineLevel="0" collapsed="false">
      <c r="A22" s="0" t="n">
        <v>21</v>
      </c>
      <c r="B22" s="0" t="s">
        <v>122</v>
      </c>
      <c r="C22" s="0" t="s">
        <v>123</v>
      </c>
      <c r="D22" s="0" t="s">
        <v>124</v>
      </c>
      <c r="E22" s="0" t="s">
        <v>125</v>
      </c>
      <c r="F22" s="0" t="n">
        <v>10</v>
      </c>
      <c r="G22" s="0" t="s">
        <v>126</v>
      </c>
      <c r="H22" s="0" t="s">
        <v>14</v>
      </c>
      <c r="I22" s="0" t="s">
        <v>127</v>
      </c>
    </row>
    <row r="23" customFormat="false" ht="15" hidden="false" customHeight="false" outlineLevel="0" collapsed="false">
      <c r="A23" s="0" t="n">
        <v>22</v>
      </c>
      <c r="B23" s="0" t="s">
        <v>128</v>
      </c>
      <c r="C23" s="0" t="s">
        <v>129</v>
      </c>
      <c r="D23" s="0" t="s">
        <v>130</v>
      </c>
      <c r="E23" s="0" t="s">
        <v>131</v>
      </c>
      <c r="F23" s="0" t="n">
        <v>9</v>
      </c>
      <c r="G23" s="0" t="s">
        <v>132</v>
      </c>
      <c r="H23" s="0" t="s">
        <v>14</v>
      </c>
      <c r="I23" s="0" t="s">
        <v>133</v>
      </c>
    </row>
    <row r="24" customFormat="false" ht="15" hidden="false" customHeight="false" outlineLevel="0" collapsed="false">
      <c r="A24" s="0" t="n">
        <v>23</v>
      </c>
      <c r="B24" s="0" t="s">
        <v>134</v>
      </c>
      <c r="C24" s="0" t="s">
        <v>129</v>
      </c>
      <c r="D24" s="0" t="s">
        <v>135</v>
      </c>
      <c r="E24" s="0" t="s">
        <v>136</v>
      </c>
      <c r="F24" s="0" t="n">
        <v>41</v>
      </c>
      <c r="G24" s="0" t="s">
        <v>137</v>
      </c>
      <c r="H24" s="0" t="s">
        <v>14</v>
      </c>
      <c r="I24" s="0" t="s">
        <v>138</v>
      </c>
    </row>
    <row r="25" customFormat="false" ht="15" hidden="false" customHeight="false" outlineLevel="0" collapsed="false">
      <c r="A25" s="0" t="n">
        <v>24</v>
      </c>
      <c r="B25" s="0" t="s">
        <v>139</v>
      </c>
      <c r="C25" s="0" t="s">
        <v>140</v>
      </c>
      <c r="D25" s="0" t="s">
        <v>141</v>
      </c>
      <c r="E25" s="0" t="s">
        <v>142</v>
      </c>
      <c r="F25" s="0" t="n">
        <v>5</v>
      </c>
      <c r="G25" s="0" t="s">
        <v>143</v>
      </c>
      <c r="H25" s="0" t="s">
        <v>14</v>
      </c>
      <c r="I25" s="0" t="s">
        <v>144</v>
      </c>
    </row>
    <row r="26" customFormat="false" ht="15" hidden="false" customHeight="false" outlineLevel="0" collapsed="false">
      <c r="A26" s="0" t="n">
        <v>25</v>
      </c>
      <c r="B26" s="0" t="s">
        <v>145</v>
      </c>
      <c r="C26" s="0" t="s">
        <v>146</v>
      </c>
      <c r="D26" s="0" t="s">
        <v>147</v>
      </c>
      <c r="E26" s="0" t="s">
        <v>148</v>
      </c>
      <c r="F26" s="0" t="n">
        <v>41</v>
      </c>
      <c r="G26" s="0" t="s">
        <v>149</v>
      </c>
      <c r="H26" s="0" t="s">
        <v>14</v>
      </c>
      <c r="I26" s="0" t="s">
        <v>150</v>
      </c>
    </row>
    <row r="27" customFormat="false" ht="15" hidden="false" customHeight="false" outlineLevel="0" collapsed="false">
      <c r="A27" s="0" t="n">
        <v>26</v>
      </c>
      <c r="B27" s="0" t="s">
        <v>151</v>
      </c>
      <c r="C27" s="0" t="s">
        <v>152</v>
      </c>
      <c r="D27" s="0" t="s">
        <v>153</v>
      </c>
      <c r="E27" s="0" t="s">
        <v>154</v>
      </c>
      <c r="F27" s="0" t="n">
        <v>19</v>
      </c>
      <c r="G27" s="0" t="s">
        <v>155</v>
      </c>
      <c r="H27" s="0" t="s">
        <v>14</v>
      </c>
      <c r="I27" s="0" t="s">
        <v>156</v>
      </c>
    </row>
    <row r="28" customFormat="false" ht="15" hidden="false" customHeight="false" outlineLevel="0" collapsed="false">
      <c r="A28" s="0" t="n">
        <v>27</v>
      </c>
      <c r="B28" s="0" t="s">
        <v>157</v>
      </c>
      <c r="C28" s="0" t="s">
        <v>152</v>
      </c>
      <c r="D28" s="0" t="s">
        <v>158</v>
      </c>
      <c r="E28" s="0" t="s">
        <v>159</v>
      </c>
      <c r="F28" s="0" t="n">
        <v>6</v>
      </c>
      <c r="G28" s="0" t="s">
        <v>160</v>
      </c>
      <c r="H28" s="0" t="s">
        <v>14</v>
      </c>
      <c r="I28" s="0" t="s">
        <v>161</v>
      </c>
    </row>
    <row r="29" customFormat="false" ht="15" hidden="false" customHeight="false" outlineLevel="0" collapsed="false">
      <c r="A29" s="0" t="n">
        <v>28</v>
      </c>
      <c r="B29" s="0" t="s">
        <v>162</v>
      </c>
      <c r="C29" s="0" t="s">
        <v>47</v>
      </c>
      <c r="D29" s="0" t="s">
        <v>163</v>
      </c>
      <c r="E29" s="0" t="s">
        <v>164</v>
      </c>
      <c r="F29" s="0" t="n">
        <v>5</v>
      </c>
      <c r="G29" s="0" t="s">
        <v>165</v>
      </c>
      <c r="H29" s="0" t="s">
        <v>14</v>
      </c>
      <c r="I29" s="0" t="s">
        <v>166</v>
      </c>
    </row>
    <row r="30" customFormat="false" ht="15" hidden="false" customHeight="false" outlineLevel="0" collapsed="false">
      <c r="A30" s="0" t="n">
        <v>29</v>
      </c>
      <c r="B30" s="0" t="s">
        <v>167</v>
      </c>
      <c r="C30" s="0" t="s">
        <v>168</v>
      </c>
      <c r="D30" s="0" t="s">
        <v>169</v>
      </c>
      <c r="E30" s="0" t="s">
        <v>170</v>
      </c>
      <c r="F30" s="0" t="n">
        <v>2</v>
      </c>
      <c r="G30" s="0" t="s">
        <v>171</v>
      </c>
      <c r="H30" s="0" t="s">
        <v>14</v>
      </c>
      <c r="I30" s="0" t="s">
        <v>172</v>
      </c>
    </row>
    <row r="31" customFormat="false" ht="15" hidden="false" customHeight="false" outlineLevel="0" collapsed="false">
      <c r="A31" s="0" t="n">
        <v>30</v>
      </c>
      <c r="B31" s="0" t="s">
        <v>173</v>
      </c>
      <c r="C31" s="0" t="s">
        <v>174</v>
      </c>
      <c r="D31" s="0" t="s">
        <v>175</v>
      </c>
      <c r="E31" s="0" t="s">
        <v>176</v>
      </c>
      <c r="F31" s="0" t="n">
        <v>5</v>
      </c>
      <c r="G31" s="0" t="s">
        <v>177</v>
      </c>
      <c r="H31" s="0" t="s">
        <v>14</v>
      </c>
      <c r="I31" s="0" t="s">
        <v>178</v>
      </c>
    </row>
    <row r="32" customFormat="false" ht="15" hidden="false" customHeight="false" outlineLevel="0" collapsed="false">
      <c r="A32" s="0" t="n">
        <v>31</v>
      </c>
      <c r="B32" s="0" t="s">
        <v>179</v>
      </c>
      <c r="C32" s="0" t="s">
        <v>109</v>
      </c>
      <c r="D32" s="0" t="s">
        <v>180</v>
      </c>
      <c r="E32" s="0" t="s">
        <v>181</v>
      </c>
      <c r="F32" s="0" t="n">
        <v>3</v>
      </c>
      <c r="G32" s="0" t="s">
        <v>182</v>
      </c>
      <c r="H32" s="0" t="s">
        <v>14</v>
      </c>
      <c r="I32" s="0" t="s">
        <v>183</v>
      </c>
    </row>
    <row r="33" customFormat="false" ht="15" hidden="false" customHeight="false" outlineLevel="0" collapsed="false">
      <c r="A33" s="0" t="n">
        <v>32</v>
      </c>
      <c r="B33" s="0" t="s">
        <v>184</v>
      </c>
      <c r="C33" s="0" t="s">
        <v>47</v>
      </c>
      <c r="D33" s="0" t="s">
        <v>185</v>
      </c>
      <c r="E33" s="0" t="s">
        <v>186</v>
      </c>
      <c r="F33" s="0" t="n">
        <v>5</v>
      </c>
      <c r="G33" s="0" t="s">
        <v>187</v>
      </c>
      <c r="H33" s="0" t="s">
        <v>14</v>
      </c>
      <c r="I33" s="0" t="s">
        <v>188</v>
      </c>
    </row>
    <row r="34" customFormat="false" ht="15" hidden="false" customHeight="false" outlineLevel="0" collapsed="false">
      <c r="A34" s="0" t="n">
        <v>33</v>
      </c>
      <c r="B34" s="0" t="s">
        <v>189</v>
      </c>
      <c r="C34" s="0" t="s">
        <v>190</v>
      </c>
      <c r="D34" s="0" t="s">
        <v>191</v>
      </c>
      <c r="E34" s="0" t="s">
        <v>192</v>
      </c>
      <c r="F34" s="0" t="s">
        <v>193</v>
      </c>
      <c r="G34" s="0" t="s">
        <v>194</v>
      </c>
      <c r="H34" s="0" t="s">
        <v>14</v>
      </c>
      <c r="I34" s="0" t="s">
        <v>193</v>
      </c>
    </row>
    <row r="35" customFormat="false" ht="15" hidden="false" customHeight="false" outlineLevel="0" collapsed="false">
      <c r="A35" s="0" t="n">
        <v>34</v>
      </c>
      <c r="B35" s="0" t="s">
        <v>195</v>
      </c>
      <c r="C35" s="0" t="s">
        <v>196</v>
      </c>
      <c r="D35" s="0" t="s">
        <v>197</v>
      </c>
      <c r="E35" s="0" t="s">
        <v>198</v>
      </c>
      <c r="F35" s="0" t="n">
        <v>4</v>
      </c>
      <c r="G35" s="0" t="s">
        <v>199</v>
      </c>
      <c r="H35" s="0" t="s">
        <v>14</v>
      </c>
      <c r="I35" s="0" t="s">
        <v>200</v>
      </c>
    </row>
    <row r="36" customFormat="false" ht="15" hidden="false" customHeight="false" outlineLevel="0" collapsed="false">
      <c r="A36" s="0" t="n">
        <v>35</v>
      </c>
      <c r="B36" s="0" t="s">
        <v>201</v>
      </c>
      <c r="C36" s="0" t="s">
        <v>202</v>
      </c>
      <c r="D36" s="0" t="s">
        <v>203</v>
      </c>
      <c r="E36" s="0" t="s">
        <v>204</v>
      </c>
      <c r="F36" s="0" t="n">
        <v>8</v>
      </c>
      <c r="G36" s="0" t="s">
        <v>205</v>
      </c>
      <c r="H36" s="0" t="s">
        <v>14</v>
      </c>
      <c r="I36" s="0" t="s">
        <v>206</v>
      </c>
    </row>
    <row r="37" customFormat="false" ht="15" hidden="false" customHeight="false" outlineLevel="0" collapsed="false">
      <c r="A37" s="0" t="n">
        <v>36</v>
      </c>
      <c r="B37" s="0" t="s">
        <v>207</v>
      </c>
      <c r="C37" s="0" t="s">
        <v>208</v>
      </c>
      <c r="D37" s="0" t="s">
        <v>209</v>
      </c>
      <c r="E37" s="0" t="s">
        <v>210</v>
      </c>
      <c r="F37" s="0" t="n">
        <v>5</v>
      </c>
      <c r="G37" s="0" t="s">
        <v>211</v>
      </c>
      <c r="H37" s="0" t="s">
        <v>14</v>
      </c>
      <c r="I37" s="0" t="s">
        <v>212</v>
      </c>
    </row>
    <row r="38" customFormat="false" ht="15" hidden="false" customHeight="false" outlineLevel="0" collapsed="false">
      <c r="A38" s="0" t="n">
        <v>37</v>
      </c>
      <c r="B38" s="0" t="s">
        <v>213</v>
      </c>
      <c r="C38" s="0" t="s">
        <v>208</v>
      </c>
      <c r="D38" s="0" t="s">
        <v>214</v>
      </c>
      <c r="E38" s="0" t="s">
        <v>215</v>
      </c>
      <c r="F38" s="0" t="n">
        <v>6</v>
      </c>
      <c r="G38" s="0" t="s">
        <v>216</v>
      </c>
      <c r="H38" s="0" t="s">
        <v>14</v>
      </c>
      <c r="I38" s="0" t="s">
        <v>217</v>
      </c>
    </row>
    <row r="39" customFormat="false" ht="15" hidden="false" customHeight="false" outlineLevel="0" collapsed="false">
      <c r="A39" s="0" t="n">
        <v>38</v>
      </c>
      <c r="B39" s="0" t="s">
        <v>218</v>
      </c>
      <c r="C39" s="0" t="s">
        <v>53</v>
      </c>
      <c r="D39" s="0" t="s">
        <v>219</v>
      </c>
      <c r="E39" s="0" t="s">
        <v>220</v>
      </c>
      <c r="F39" s="0" t="n">
        <v>5</v>
      </c>
      <c r="G39" s="0" t="s">
        <v>221</v>
      </c>
      <c r="H39" s="0" t="s">
        <v>14</v>
      </c>
      <c r="I39" s="0" t="s">
        <v>222</v>
      </c>
    </row>
    <row r="40" customFormat="false" ht="15" hidden="false" customHeight="false" outlineLevel="0" collapsed="false">
      <c r="A40" s="0" t="n">
        <v>39</v>
      </c>
      <c r="B40" s="0" t="s">
        <v>223</v>
      </c>
      <c r="C40" s="0" t="s">
        <v>109</v>
      </c>
      <c r="D40" s="0" t="s">
        <v>224</v>
      </c>
      <c r="E40" s="0" t="s">
        <v>225</v>
      </c>
      <c r="F40" s="0" t="n">
        <v>4</v>
      </c>
      <c r="G40" s="0" t="s">
        <v>226</v>
      </c>
      <c r="H40" s="0" t="s">
        <v>14</v>
      </c>
      <c r="I40" s="0" t="s">
        <v>227</v>
      </c>
    </row>
    <row r="41" customFormat="false" ht="15" hidden="false" customHeight="false" outlineLevel="0" collapsed="false">
      <c r="A41" s="0" t="n">
        <v>40</v>
      </c>
      <c r="B41" s="0" t="s">
        <v>228</v>
      </c>
      <c r="C41" s="0" t="s">
        <v>229</v>
      </c>
      <c r="D41" s="0" t="s">
        <v>230</v>
      </c>
      <c r="E41" s="0" t="s">
        <v>231</v>
      </c>
      <c r="F41" s="0" t="n">
        <v>3</v>
      </c>
      <c r="G41" s="0" t="s">
        <v>232</v>
      </c>
      <c r="H41" s="0" t="s">
        <v>14</v>
      </c>
      <c r="I41" s="0" t="s">
        <v>233</v>
      </c>
    </row>
    <row r="42" customFormat="false" ht="15" hidden="false" customHeight="false" outlineLevel="0" collapsed="false">
      <c r="A42" s="0" t="n">
        <v>41</v>
      </c>
      <c r="B42" s="0" t="s">
        <v>234</v>
      </c>
      <c r="C42" s="0" t="s">
        <v>235</v>
      </c>
      <c r="D42" s="0" t="s">
        <v>236</v>
      </c>
      <c r="E42" s="0" t="s">
        <v>237</v>
      </c>
      <c r="F42" s="0" t="n">
        <v>4</v>
      </c>
      <c r="G42" s="0" t="s">
        <v>238</v>
      </c>
      <c r="H42" s="0" t="s">
        <v>14</v>
      </c>
      <c r="I42" s="0" t="s">
        <v>239</v>
      </c>
    </row>
    <row r="43" customFormat="false" ht="15" hidden="false" customHeight="false" outlineLevel="0" collapsed="false">
      <c r="A43" s="0" t="n">
        <v>42</v>
      </c>
      <c r="B43" s="0" t="s">
        <v>240</v>
      </c>
      <c r="C43" s="0" t="s">
        <v>47</v>
      </c>
      <c r="D43" s="0" t="s">
        <v>241</v>
      </c>
      <c r="E43" s="0" t="s">
        <v>242</v>
      </c>
      <c r="F43" s="0" t="n">
        <v>6</v>
      </c>
      <c r="G43" s="0" t="s">
        <v>243</v>
      </c>
      <c r="H43" s="0" t="s">
        <v>14</v>
      </c>
      <c r="I43" s="0" t="s">
        <v>244</v>
      </c>
    </row>
    <row r="44" customFormat="false" ht="15" hidden="false" customHeight="false" outlineLevel="0" collapsed="false">
      <c r="A44" s="0" t="n">
        <v>43</v>
      </c>
      <c r="B44" s="0" t="s">
        <v>245</v>
      </c>
      <c r="C44" s="0" t="s">
        <v>59</v>
      </c>
      <c r="D44" s="0" t="s">
        <v>246</v>
      </c>
      <c r="E44" s="0" t="s">
        <v>247</v>
      </c>
      <c r="F44" s="0" t="n">
        <v>6</v>
      </c>
      <c r="G44" s="0" t="s">
        <v>248</v>
      </c>
      <c r="H44" s="0" t="s">
        <v>14</v>
      </c>
      <c r="I44" s="0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250</v>
      </c>
      <c r="G1" s="1" t="s">
        <v>251</v>
      </c>
      <c r="H1" s="1" t="s">
        <v>252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253</v>
      </c>
      <c r="G2" s="0" t="s">
        <v>254</v>
      </c>
      <c r="I2" s="0" t="s">
        <v>255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256</v>
      </c>
      <c r="G3" s="0" t="s">
        <v>254</v>
      </c>
      <c r="I3" s="0" t="s">
        <v>255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257</v>
      </c>
      <c r="G4" s="0" t="s">
        <v>254</v>
      </c>
      <c r="I4" s="0" t="s">
        <v>255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258</v>
      </c>
      <c r="G5" s="0" t="s">
        <v>254</v>
      </c>
      <c r="I5" s="0" t="s">
        <v>255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259</v>
      </c>
      <c r="G6" s="0" t="s">
        <v>254</v>
      </c>
      <c r="I6" s="0" t="s">
        <v>255</v>
      </c>
    </row>
    <row r="7" customFormat="false" ht="15" hidden="false" customHeight="false" outlineLevel="0" collapsed="false">
      <c r="A7" s="0" t="n">
        <v>6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260</v>
      </c>
      <c r="G7" s="0" t="s">
        <v>254</v>
      </c>
      <c r="I7" s="0" t="s">
        <v>255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261</v>
      </c>
      <c r="G8" s="0" t="s">
        <v>254</v>
      </c>
      <c r="I8" s="0" t="s">
        <v>255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262</v>
      </c>
      <c r="G9" s="0" t="s">
        <v>254</v>
      </c>
      <c r="I9" s="0" t="s">
        <v>255</v>
      </c>
    </row>
    <row r="10" customFormat="false" ht="15" hidden="false" customHeight="false" outlineLevel="0" collapsed="false">
      <c r="A10" s="0" t="n">
        <v>9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263</v>
      </c>
      <c r="G10" s="0" t="s">
        <v>254</v>
      </c>
      <c r="I10" s="0" t="s">
        <v>255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264</v>
      </c>
      <c r="G11" s="0" t="s">
        <v>254</v>
      </c>
      <c r="I11" s="0" t="s">
        <v>255</v>
      </c>
    </row>
    <row r="12" customFormat="false" ht="15" hidden="false" customHeight="false" outlineLevel="0" collapsed="false">
      <c r="A12" s="0" t="n">
        <v>11</v>
      </c>
      <c r="B12" s="0" t="s">
        <v>9</v>
      </c>
      <c r="C12" s="0" t="s">
        <v>10</v>
      </c>
      <c r="D12" s="0" t="s">
        <v>11</v>
      </c>
      <c r="E12" s="0" t="s">
        <v>12</v>
      </c>
      <c r="F12" s="0" t="s">
        <v>265</v>
      </c>
      <c r="G12" s="0" t="s">
        <v>254</v>
      </c>
      <c r="I12" s="0" t="s">
        <v>255</v>
      </c>
    </row>
    <row r="13" customFormat="false" ht="15" hidden="false" customHeight="false" outlineLevel="0" collapsed="false">
      <c r="A13" s="0" t="n">
        <v>12</v>
      </c>
      <c r="B13" s="0" t="s">
        <v>9</v>
      </c>
      <c r="C13" s="0" t="s">
        <v>10</v>
      </c>
      <c r="D13" s="0" t="s">
        <v>11</v>
      </c>
      <c r="E13" s="0" t="s">
        <v>12</v>
      </c>
      <c r="F13" s="0" t="s">
        <v>266</v>
      </c>
      <c r="G13" s="0" t="s">
        <v>254</v>
      </c>
      <c r="I13" s="0" t="s">
        <v>255</v>
      </c>
    </row>
    <row r="14" customFormat="false" ht="15" hidden="false" customHeight="false" outlineLevel="0" collapsed="false">
      <c r="A14" s="0" t="n">
        <v>13</v>
      </c>
      <c r="B14" s="0" t="s">
        <v>9</v>
      </c>
      <c r="C14" s="0" t="s">
        <v>10</v>
      </c>
      <c r="D14" s="0" t="s">
        <v>11</v>
      </c>
      <c r="E14" s="0" t="s">
        <v>12</v>
      </c>
      <c r="F14" s="0" t="s">
        <v>267</v>
      </c>
      <c r="G14" s="0" t="s">
        <v>254</v>
      </c>
      <c r="I14" s="0" t="s">
        <v>255</v>
      </c>
    </row>
    <row r="15" customFormat="false" ht="15" hidden="false" customHeight="false" outlineLevel="0" collapsed="false">
      <c r="A15" s="0" t="n">
        <v>14</v>
      </c>
      <c r="B15" s="0" t="s">
        <v>9</v>
      </c>
      <c r="C15" s="0" t="s">
        <v>10</v>
      </c>
      <c r="D15" s="0" t="s">
        <v>11</v>
      </c>
      <c r="E15" s="0" t="s">
        <v>12</v>
      </c>
      <c r="F15" s="0" t="s">
        <v>268</v>
      </c>
      <c r="G15" s="0" t="s">
        <v>254</v>
      </c>
      <c r="I15" s="0" t="s">
        <v>255</v>
      </c>
    </row>
    <row r="16" customFormat="false" ht="15" hidden="false" customHeight="false" outlineLevel="0" collapsed="false">
      <c r="A16" s="0" t="n">
        <v>15</v>
      </c>
      <c r="B16" s="0" t="s">
        <v>9</v>
      </c>
      <c r="C16" s="0" t="s">
        <v>10</v>
      </c>
      <c r="D16" s="0" t="s">
        <v>11</v>
      </c>
      <c r="E16" s="0" t="s">
        <v>12</v>
      </c>
      <c r="F16" s="0" t="s">
        <v>269</v>
      </c>
      <c r="G16" s="0" t="s">
        <v>254</v>
      </c>
      <c r="I16" s="0" t="s">
        <v>255</v>
      </c>
    </row>
    <row r="17" customFormat="false" ht="15" hidden="false" customHeight="false" outlineLevel="0" collapsed="false">
      <c r="A17" s="0" t="n">
        <v>16</v>
      </c>
      <c r="B17" s="0" t="s">
        <v>9</v>
      </c>
      <c r="C17" s="0" t="s">
        <v>10</v>
      </c>
      <c r="D17" s="0" t="s">
        <v>11</v>
      </c>
      <c r="E17" s="0" t="s">
        <v>12</v>
      </c>
      <c r="F17" s="0" t="s">
        <v>270</v>
      </c>
      <c r="G17" s="0" t="s">
        <v>254</v>
      </c>
      <c r="I17" s="0" t="s">
        <v>255</v>
      </c>
    </row>
    <row r="18" customFormat="false" ht="15" hidden="false" customHeight="false" outlineLevel="0" collapsed="false">
      <c r="A18" s="0" t="n">
        <v>17</v>
      </c>
      <c r="B18" s="0" t="s">
        <v>9</v>
      </c>
      <c r="C18" s="0" t="s">
        <v>10</v>
      </c>
      <c r="D18" s="0" t="s">
        <v>11</v>
      </c>
      <c r="E18" s="0" t="s">
        <v>12</v>
      </c>
      <c r="F18" s="0" t="s">
        <v>271</v>
      </c>
      <c r="G18" s="0" t="s">
        <v>254</v>
      </c>
      <c r="I18" s="0" t="s">
        <v>255</v>
      </c>
    </row>
    <row r="19" customFormat="false" ht="15" hidden="false" customHeight="false" outlineLevel="0" collapsed="false">
      <c r="A19" s="0" t="n">
        <v>18</v>
      </c>
      <c r="B19" s="0" t="s">
        <v>9</v>
      </c>
      <c r="C19" s="0" t="s">
        <v>10</v>
      </c>
      <c r="D19" s="0" t="s">
        <v>11</v>
      </c>
      <c r="E19" s="0" t="s">
        <v>12</v>
      </c>
      <c r="F19" s="0" t="s">
        <v>272</v>
      </c>
      <c r="G19" s="0" t="s">
        <v>254</v>
      </c>
      <c r="I19" s="0" t="s">
        <v>255</v>
      </c>
    </row>
    <row r="20" customFormat="false" ht="15" hidden="false" customHeight="false" outlineLevel="0" collapsed="false">
      <c r="A20" s="0" t="n">
        <v>19</v>
      </c>
      <c r="B20" s="0" t="s">
        <v>9</v>
      </c>
      <c r="C20" s="0" t="s">
        <v>10</v>
      </c>
      <c r="D20" s="0" t="s">
        <v>11</v>
      </c>
      <c r="E20" s="0" t="s">
        <v>12</v>
      </c>
      <c r="F20" s="0" t="s">
        <v>273</v>
      </c>
      <c r="G20" s="0" t="s">
        <v>254</v>
      </c>
      <c r="I20" s="0" t="s">
        <v>255</v>
      </c>
    </row>
    <row r="21" customFormat="false" ht="15" hidden="false" customHeight="false" outlineLevel="0" collapsed="false">
      <c r="A21" s="0" t="n">
        <v>20</v>
      </c>
      <c r="B21" s="0" t="s">
        <v>9</v>
      </c>
      <c r="C21" s="0" t="s">
        <v>10</v>
      </c>
      <c r="D21" s="0" t="s">
        <v>11</v>
      </c>
      <c r="E21" s="0" t="s">
        <v>12</v>
      </c>
      <c r="F21" s="0" t="s">
        <v>274</v>
      </c>
      <c r="G21" s="0" t="s">
        <v>254</v>
      </c>
      <c r="I21" s="0" t="s">
        <v>255</v>
      </c>
    </row>
    <row r="22" customFormat="false" ht="15" hidden="false" customHeight="false" outlineLevel="0" collapsed="false">
      <c r="A22" s="0" t="n">
        <v>21</v>
      </c>
      <c r="B22" s="0" t="s">
        <v>9</v>
      </c>
      <c r="C22" s="0" t="s">
        <v>10</v>
      </c>
      <c r="D22" s="0" t="s">
        <v>11</v>
      </c>
      <c r="E22" s="0" t="s">
        <v>12</v>
      </c>
      <c r="F22" s="0" t="s">
        <v>275</v>
      </c>
      <c r="G22" s="0" t="s">
        <v>254</v>
      </c>
      <c r="I22" s="0" t="s">
        <v>255</v>
      </c>
    </row>
    <row r="23" customFormat="false" ht="15" hidden="false" customHeight="false" outlineLevel="0" collapsed="false">
      <c r="A23" s="0" t="n">
        <v>22</v>
      </c>
      <c r="B23" s="0" t="s">
        <v>16</v>
      </c>
      <c r="C23" s="0" t="s">
        <v>276</v>
      </c>
      <c r="D23" s="0" t="s">
        <v>18</v>
      </c>
      <c r="E23" s="0" t="s">
        <v>19</v>
      </c>
      <c r="F23" s="0" t="s">
        <v>277</v>
      </c>
      <c r="G23" s="0" t="s">
        <v>254</v>
      </c>
      <c r="I23" s="0" t="s">
        <v>21</v>
      </c>
    </row>
    <row r="24" customFormat="false" ht="15" hidden="false" customHeight="false" outlineLevel="0" collapsed="false">
      <c r="A24" s="0" t="n">
        <v>23</v>
      </c>
      <c r="B24" s="0" t="s">
        <v>16</v>
      </c>
      <c r="C24" s="0" t="s">
        <v>276</v>
      </c>
      <c r="D24" s="0" t="s">
        <v>18</v>
      </c>
      <c r="E24" s="0" t="s">
        <v>19</v>
      </c>
      <c r="F24" s="0" t="s">
        <v>278</v>
      </c>
      <c r="G24" s="0" t="s">
        <v>254</v>
      </c>
      <c r="I24" s="0" t="s">
        <v>21</v>
      </c>
    </row>
    <row r="25" customFormat="false" ht="15" hidden="false" customHeight="false" outlineLevel="0" collapsed="false">
      <c r="A25" s="0" t="n">
        <v>24</v>
      </c>
      <c r="B25" s="0" t="s">
        <v>16</v>
      </c>
      <c r="C25" s="0" t="s">
        <v>276</v>
      </c>
      <c r="D25" s="0" t="s">
        <v>18</v>
      </c>
      <c r="E25" s="0" t="s">
        <v>19</v>
      </c>
      <c r="F25" s="0" t="s">
        <v>279</v>
      </c>
      <c r="G25" s="0" t="s">
        <v>254</v>
      </c>
      <c r="I25" s="0" t="s">
        <v>21</v>
      </c>
    </row>
    <row r="26" customFormat="false" ht="15" hidden="false" customHeight="false" outlineLevel="0" collapsed="false">
      <c r="A26" s="0" t="n">
        <v>25</v>
      </c>
      <c r="B26" s="0" t="s">
        <v>16</v>
      </c>
      <c r="C26" s="0" t="s">
        <v>276</v>
      </c>
      <c r="D26" s="0" t="s">
        <v>18</v>
      </c>
      <c r="E26" s="0" t="s">
        <v>19</v>
      </c>
      <c r="F26" s="0" t="s">
        <v>280</v>
      </c>
      <c r="G26" s="0" t="s">
        <v>281</v>
      </c>
      <c r="I26" s="0" t="s">
        <v>21</v>
      </c>
    </row>
    <row r="27" customFormat="false" ht="15" hidden="false" customHeight="false" outlineLevel="0" collapsed="false">
      <c r="A27" s="0" t="n">
        <v>26</v>
      </c>
      <c r="B27" s="0" t="s">
        <v>16</v>
      </c>
      <c r="C27" s="0" t="s">
        <v>276</v>
      </c>
      <c r="D27" s="0" t="s">
        <v>18</v>
      </c>
      <c r="E27" s="0" t="s">
        <v>19</v>
      </c>
      <c r="F27" s="0" t="s">
        <v>282</v>
      </c>
      <c r="G27" s="0" t="s">
        <v>254</v>
      </c>
      <c r="I27" s="0" t="s">
        <v>21</v>
      </c>
    </row>
    <row r="28" customFormat="false" ht="15" hidden="false" customHeight="false" outlineLevel="0" collapsed="false">
      <c r="A28" s="0" t="n">
        <v>27</v>
      </c>
      <c r="B28" s="0" t="s">
        <v>16</v>
      </c>
      <c r="C28" s="0" t="s">
        <v>276</v>
      </c>
      <c r="D28" s="0" t="s">
        <v>18</v>
      </c>
      <c r="E28" s="0" t="s">
        <v>19</v>
      </c>
      <c r="F28" s="0" t="s">
        <v>283</v>
      </c>
      <c r="G28" s="0" t="s">
        <v>254</v>
      </c>
      <c r="I28" s="0" t="s">
        <v>21</v>
      </c>
    </row>
    <row r="29" customFormat="false" ht="15" hidden="false" customHeight="false" outlineLevel="0" collapsed="false">
      <c r="A29" s="0" t="n">
        <v>28</v>
      </c>
      <c r="B29" s="0" t="s">
        <v>16</v>
      </c>
      <c r="C29" s="0" t="s">
        <v>276</v>
      </c>
      <c r="D29" s="0" t="s">
        <v>18</v>
      </c>
      <c r="E29" s="0" t="s">
        <v>19</v>
      </c>
      <c r="F29" s="0" t="s">
        <v>284</v>
      </c>
      <c r="G29" s="0" t="s">
        <v>254</v>
      </c>
      <c r="I29" s="0" t="s">
        <v>21</v>
      </c>
    </row>
    <row r="30" customFormat="false" ht="15" hidden="false" customHeight="false" outlineLevel="0" collapsed="false">
      <c r="A30" s="0" t="n">
        <v>29</v>
      </c>
      <c r="B30" s="0" t="s">
        <v>22</v>
      </c>
      <c r="C30" s="0" t="s">
        <v>23</v>
      </c>
      <c r="D30" s="0" t="s">
        <v>24</v>
      </c>
      <c r="E30" s="0" t="s">
        <v>25</v>
      </c>
      <c r="F30" s="0" t="s">
        <v>285</v>
      </c>
      <c r="G30" s="0" t="s">
        <v>254</v>
      </c>
      <c r="I30" s="0" t="s">
        <v>27</v>
      </c>
    </row>
    <row r="31" customFormat="false" ht="15" hidden="false" customHeight="false" outlineLevel="0" collapsed="false">
      <c r="A31" s="0" t="n">
        <v>30</v>
      </c>
      <c r="B31" s="0" t="s">
        <v>22</v>
      </c>
      <c r="C31" s="0" t="s">
        <v>23</v>
      </c>
      <c r="D31" s="0" t="s">
        <v>24</v>
      </c>
      <c r="E31" s="0" t="s">
        <v>25</v>
      </c>
      <c r="F31" s="0" t="s">
        <v>286</v>
      </c>
      <c r="G31" s="0" t="s">
        <v>254</v>
      </c>
      <c r="I31" s="0" t="s">
        <v>27</v>
      </c>
    </row>
    <row r="32" customFormat="false" ht="15" hidden="false" customHeight="false" outlineLevel="0" collapsed="false">
      <c r="A32" s="0" t="n">
        <v>31</v>
      </c>
      <c r="B32" s="0" t="s">
        <v>22</v>
      </c>
      <c r="C32" s="0" t="s">
        <v>23</v>
      </c>
      <c r="D32" s="0" t="s">
        <v>24</v>
      </c>
      <c r="E32" s="0" t="s">
        <v>25</v>
      </c>
      <c r="F32" s="0" t="s">
        <v>287</v>
      </c>
      <c r="G32" s="0" t="s">
        <v>254</v>
      </c>
      <c r="I32" s="0" t="s">
        <v>27</v>
      </c>
    </row>
    <row r="33" customFormat="false" ht="15" hidden="false" customHeight="false" outlineLevel="0" collapsed="false">
      <c r="A33" s="0" t="n">
        <v>32</v>
      </c>
      <c r="B33" s="0" t="s">
        <v>22</v>
      </c>
      <c r="C33" s="0" t="s">
        <v>23</v>
      </c>
      <c r="D33" s="0" t="s">
        <v>24</v>
      </c>
      <c r="E33" s="0" t="s">
        <v>25</v>
      </c>
      <c r="F33" s="0" t="s">
        <v>288</v>
      </c>
      <c r="G33" s="0" t="s">
        <v>254</v>
      </c>
      <c r="I33" s="0" t="s">
        <v>27</v>
      </c>
    </row>
    <row r="34" customFormat="false" ht="15" hidden="false" customHeight="false" outlineLevel="0" collapsed="false">
      <c r="A34" s="0" t="n">
        <v>33</v>
      </c>
      <c r="B34" s="0" t="s">
        <v>22</v>
      </c>
      <c r="C34" s="0" t="s">
        <v>23</v>
      </c>
      <c r="D34" s="0" t="s">
        <v>24</v>
      </c>
      <c r="E34" s="0" t="s">
        <v>25</v>
      </c>
      <c r="F34" s="0" t="s">
        <v>289</v>
      </c>
      <c r="G34" s="0" t="s">
        <v>254</v>
      </c>
      <c r="I34" s="0" t="s">
        <v>27</v>
      </c>
    </row>
    <row r="35" customFormat="false" ht="15" hidden="false" customHeight="false" outlineLevel="0" collapsed="false">
      <c r="A35" s="0" t="n">
        <v>34</v>
      </c>
      <c r="B35" s="0" t="s">
        <v>22</v>
      </c>
      <c r="C35" s="0" t="s">
        <v>23</v>
      </c>
      <c r="D35" s="0" t="s">
        <v>24</v>
      </c>
      <c r="E35" s="0" t="s">
        <v>25</v>
      </c>
      <c r="F35" s="0" t="s">
        <v>290</v>
      </c>
      <c r="G35" s="0" t="s">
        <v>254</v>
      </c>
      <c r="I35" s="0" t="s">
        <v>27</v>
      </c>
    </row>
    <row r="36" customFormat="false" ht="15" hidden="false" customHeight="false" outlineLevel="0" collapsed="false">
      <c r="A36" s="0" t="n">
        <v>35</v>
      </c>
      <c r="B36" s="0" t="s">
        <v>22</v>
      </c>
      <c r="C36" s="0" t="s">
        <v>23</v>
      </c>
      <c r="D36" s="0" t="s">
        <v>24</v>
      </c>
      <c r="E36" s="0" t="s">
        <v>25</v>
      </c>
      <c r="F36" s="0" t="s">
        <v>291</v>
      </c>
      <c r="G36" s="0" t="s">
        <v>254</v>
      </c>
      <c r="I36" s="0" t="s">
        <v>27</v>
      </c>
    </row>
    <row r="37" customFormat="false" ht="15" hidden="false" customHeight="false" outlineLevel="0" collapsed="false">
      <c r="A37" s="0" t="n">
        <v>36</v>
      </c>
      <c r="B37" s="0" t="s">
        <v>22</v>
      </c>
      <c r="C37" s="0" t="s">
        <v>23</v>
      </c>
      <c r="D37" s="0" t="s">
        <v>24</v>
      </c>
      <c r="E37" s="0" t="s">
        <v>25</v>
      </c>
      <c r="F37" s="0" t="s">
        <v>292</v>
      </c>
      <c r="G37" s="0" t="s">
        <v>254</v>
      </c>
      <c r="I37" s="0" t="s">
        <v>27</v>
      </c>
    </row>
    <row r="38" customFormat="false" ht="15" hidden="false" customHeight="false" outlineLevel="0" collapsed="false">
      <c r="A38" s="0" t="n">
        <v>37</v>
      </c>
      <c r="B38" s="0" t="s">
        <v>22</v>
      </c>
      <c r="C38" s="0" t="s">
        <v>23</v>
      </c>
      <c r="D38" s="0" t="s">
        <v>24</v>
      </c>
      <c r="E38" s="0" t="s">
        <v>25</v>
      </c>
      <c r="F38" s="0" t="s">
        <v>293</v>
      </c>
      <c r="G38" s="0" t="s">
        <v>254</v>
      </c>
      <c r="I38" s="0" t="s">
        <v>27</v>
      </c>
    </row>
    <row r="39" customFormat="false" ht="15" hidden="false" customHeight="false" outlineLevel="0" collapsed="false">
      <c r="A39" s="0" t="n">
        <v>38</v>
      </c>
      <c r="B39" s="0" t="s">
        <v>22</v>
      </c>
      <c r="C39" s="0" t="s">
        <v>23</v>
      </c>
      <c r="D39" s="0" t="s">
        <v>24</v>
      </c>
      <c r="E39" s="0" t="s">
        <v>25</v>
      </c>
      <c r="F39" s="0" t="s">
        <v>294</v>
      </c>
      <c r="G39" s="0" t="s">
        <v>254</v>
      </c>
      <c r="I39" s="0" t="s">
        <v>27</v>
      </c>
    </row>
    <row r="40" customFormat="false" ht="15" hidden="false" customHeight="false" outlineLevel="0" collapsed="false">
      <c r="A40" s="0" t="n">
        <v>39</v>
      </c>
      <c r="B40" s="0" t="s">
        <v>28</v>
      </c>
      <c r="C40" s="0" t="s">
        <v>29</v>
      </c>
      <c r="D40" s="0" t="s">
        <v>30</v>
      </c>
      <c r="E40" s="0" t="s">
        <v>31</v>
      </c>
      <c r="F40" s="0" t="s">
        <v>295</v>
      </c>
      <c r="G40" s="0" t="s">
        <v>296</v>
      </c>
      <c r="I40" s="0" t="s">
        <v>33</v>
      </c>
    </row>
    <row r="41" customFormat="false" ht="15" hidden="false" customHeight="false" outlineLevel="0" collapsed="false">
      <c r="A41" s="0" t="n">
        <v>40</v>
      </c>
      <c r="B41" s="0" t="s">
        <v>28</v>
      </c>
      <c r="C41" s="0" t="s">
        <v>29</v>
      </c>
      <c r="D41" s="0" t="s">
        <v>30</v>
      </c>
      <c r="E41" s="0" t="s">
        <v>31</v>
      </c>
      <c r="F41" s="0" t="s">
        <v>297</v>
      </c>
      <c r="G41" s="0" t="s">
        <v>298</v>
      </c>
      <c r="I41" s="0" t="s">
        <v>33</v>
      </c>
    </row>
    <row r="42" customFormat="false" ht="15" hidden="false" customHeight="false" outlineLevel="0" collapsed="false">
      <c r="A42" s="0" t="n">
        <v>41</v>
      </c>
      <c r="B42" s="0" t="s">
        <v>28</v>
      </c>
      <c r="C42" s="0" t="s">
        <v>29</v>
      </c>
      <c r="D42" s="0" t="s">
        <v>30</v>
      </c>
      <c r="E42" s="0" t="s">
        <v>31</v>
      </c>
      <c r="F42" s="0" t="s">
        <v>299</v>
      </c>
      <c r="G42" s="0" t="s">
        <v>300</v>
      </c>
      <c r="I42" s="0" t="s">
        <v>33</v>
      </c>
    </row>
    <row r="43" customFormat="false" ht="15" hidden="false" customHeight="false" outlineLevel="0" collapsed="false">
      <c r="A43" s="0" t="n">
        <v>42</v>
      </c>
      <c r="B43" s="0" t="s">
        <v>28</v>
      </c>
      <c r="C43" s="0" t="s">
        <v>29</v>
      </c>
      <c r="D43" s="0" t="s">
        <v>30</v>
      </c>
      <c r="E43" s="0" t="s">
        <v>31</v>
      </c>
      <c r="F43" s="0" t="s">
        <v>301</v>
      </c>
      <c r="G43" s="0" t="s">
        <v>302</v>
      </c>
      <c r="I43" s="0" t="s">
        <v>33</v>
      </c>
    </row>
    <row r="44" customFormat="false" ht="15" hidden="false" customHeight="false" outlineLevel="0" collapsed="false">
      <c r="A44" s="0" t="n">
        <v>43</v>
      </c>
      <c r="B44" s="0" t="s">
        <v>28</v>
      </c>
      <c r="C44" s="0" t="s">
        <v>29</v>
      </c>
      <c r="D44" s="0" t="s">
        <v>30</v>
      </c>
      <c r="E44" s="0" t="s">
        <v>31</v>
      </c>
      <c r="F44" s="0" t="s">
        <v>303</v>
      </c>
      <c r="G44" s="0" t="s">
        <v>302</v>
      </c>
      <c r="I44" s="0" t="s">
        <v>33</v>
      </c>
    </row>
    <row r="45" customFormat="false" ht="15" hidden="false" customHeight="false" outlineLevel="0" collapsed="false">
      <c r="A45" s="0" t="n">
        <v>44</v>
      </c>
      <c r="B45" s="0" t="s">
        <v>28</v>
      </c>
      <c r="C45" s="0" t="s">
        <v>29</v>
      </c>
      <c r="D45" s="0" t="s">
        <v>30</v>
      </c>
      <c r="E45" s="0" t="s">
        <v>31</v>
      </c>
      <c r="F45" s="0" t="s">
        <v>304</v>
      </c>
      <c r="G45" s="0" t="s">
        <v>302</v>
      </c>
      <c r="I45" s="0" t="s">
        <v>33</v>
      </c>
    </row>
    <row r="46" customFormat="false" ht="15" hidden="false" customHeight="false" outlineLevel="0" collapsed="false">
      <c r="A46" s="0" t="n">
        <v>45</v>
      </c>
      <c r="B46" s="0" t="s">
        <v>28</v>
      </c>
      <c r="C46" s="0" t="s">
        <v>29</v>
      </c>
      <c r="D46" s="0" t="s">
        <v>30</v>
      </c>
      <c r="E46" s="0" t="s">
        <v>31</v>
      </c>
      <c r="F46" s="0" t="s">
        <v>305</v>
      </c>
      <c r="G46" s="0" t="s">
        <v>302</v>
      </c>
      <c r="I46" s="0" t="s">
        <v>33</v>
      </c>
    </row>
    <row r="47" customFormat="false" ht="15" hidden="false" customHeight="false" outlineLevel="0" collapsed="false">
      <c r="A47" s="0" t="n">
        <v>46</v>
      </c>
      <c r="B47" s="0" t="s">
        <v>28</v>
      </c>
      <c r="C47" s="0" t="s">
        <v>29</v>
      </c>
      <c r="D47" s="0" t="s">
        <v>30</v>
      </c>
      <c r="E47" s="0" t="s">
        <v>31</v>
      </c>
      <c r="F47" s="0" t="s">
        <v>306</v>
      </c>
      <c r="G47" s="0" t="s">
        <v>302</v>
      </c>
      <c r="I47" s="0" t="s">
        <v>33</v>
      </c>
    </row>
    <row r="48" customFormat="false" ht="15" hidden="false" customHeight="false" outlineLevel="0" collapsed="false">
      <c r="A48" s="0" t="n">
        <v>47</v>
      </c>
      <c r="B48" s="0" t="s">
        <v>28</v>
      </c>
      <c r="C48" s="0" t="s">
        <v>29</v>
      </c>
      <c r="D48" s="0" t="s">
        <v>30</v>
      </c>
      <c r="E48" s="0" t="s">
        <v>31</v>
      </c>
      <c r="F48" s="0" t="s">
        <v>307</v>
      </c>
      <c r="G48" s="0" t="s">
        <v>302</v>
      </c>
      <c r="I48" s="0" t="s">
        <v>33</v>
      </c>
    </row>
    <row r="49" customFormat="false" ht="15" hidden="false" customHeight="false" outlineLevel="0" collapsed="false">
      <c r="A49" s="0" t="n">
        <v>48</v>
      </c>
      <c r="B49" s="0" t="s">
        <v>28</v>
      </c>
      <c r="C49" s="0" t="s">
        <v>29</v>
      </c>
      <c r="D49" s="0" t="s">
        <v>30</v>
      </c>
      <c r="E49" s="0" t="s">
        <v>31</v>
      </c>
      <c r="F49" s="0" t="s">
        <v>308</v>
      </c>
      <c r="G49" s="0" t="s">
        <v>302</v>
      </c>
      <c r="I49" s="0" t="s">
        <v>33</v>
      </c>
    </row>
    <row r="50" customFormat="false" ht="15" hidden="false" customHeight="false" outlineLevel="0" collapsed="false">
      <c r="A50" s="0" t="n">
        <v>49</v>
      </c>
      <c r="B50" s="0" t="s">
        <v>28</v>
      </c>
      <c r="C50" s="0" t="s">
        <v>29</v>
      </c>
      <c r="D50" s="0" t="s">
        <v>30</v>
      </c>
      <c r="E50" s="0" t="s">
        <v>31</v>
      </c>
      <c r="F50" s="0" t="s">
        <v>309</v>
      </c>
      <c r="G50" s="0" t="s">
        <v>310</v>
      </c>
      <c r="I50" s="0" t="s">
        <v>33</v>
      </c>
    </row>
    <row r="51" customFormat="false" ht="15" hidden="false" customHeight="false" outlineLevel="0" collapsed="false">
      <c r="A51" s="0" t="n">
        <v>50</v>
      </c>
      <c r="B51" s="0" t="s">
        <v>28</v>
      </c>
      <c r="C51" s="0" t="s">
        <v>29</v>
      </c>
      <c r="D51" s="0" t="s">
        <v>30</v>
      </c>
      <c r="E51" s="0" t="s">
        <v>31</v>
      </c>
      <c r="F51" s="0" t="s">
        <v>311</v>
      </c>
      <c r="G51" s="0" t="s">
        <v>312</v>
      </c>
      <c r="I51" s="0" t="s">
        <v>33</v>
      </c>
    </row>
    <row r="52" customFormat="false" ht="15" hidden="false" customHeight="false" outlineLevel="0" collapsed="false">
      <c r="A52" s="0" t="n">
        <v>51</v>
      </c>
      <c r="B52" s="0" t="s">
        <v>28</v>
      </c>
      <c r="C52" s="0" t="s">
        <v>29</v>
      </c>
      <c r="D52" s="0" t="s">
        <v>30</v>
      </c>
      <c r="E52" s="0" t="s">
        <v>31</v>
      </c>
      <c r="F52" s="0" t="s">
        <v>313</v>
      </c>
      <c r="G52" s="0" t="s">
        <v>314</v>
      </c>
      <c r="H52" s="0" t="s">
        <v>315</v>
      </c>
      <c r="I52" s="0" t="s">
        <v>33</v>
      </c>
    </row>
    <row r="53" customFormat="false" ht="15" hidden="false" customHeight="false" outlineLevel="0" collapsed="false">
      <c r="A53" s="0" t="n">
        <v>52</v>
      </c>
      <c r="B53" s="0" t="s">
        <v>114</v>
      </c>
      <c r="C53" s="0" t="s">
        <v>109</v>
      </c>
      <c r="D53" s="0" t="s">
        <v>115</v>
      </c>
      <c r="E53" s="0" t="s">
        <v>31</v>
      </c>
      <c r="F53" s="0" t="s">
        <v>295</v>
      </c>
      <c r="G53" s="0" t="s">
        <v>296</v>
      </c>
      <c r="I53" s="0" t="s">
        <v>33</v>
      </c>
    </row>
    <row r="54" customFormat="false" ht="15" hidden="false" customHeight="false" outlineLevel="0" collapsed="false">
      <c r="A54" s="0" t="n">
        <v>53</v>
      </c>
      <c r="B54" s="0" t="s">
        <v>114</v>
      </c>
      <c r="C54" s="0" t="s">
        <v>109</v>
      </c>
      <c r="D54" s="0" t="s">
        <v>115</v>
      </c>
      <c r="E54" s="0" t="s">
        <v>31</v>
      </c>
      <c r="F54" s="0" t="s">
        <v>297</v>
      </c>
      <c r="G54" s="0" t="s">
        <v>298</v>
      </c>
      <c r="I54" s="0" t="s">
        <v>33</v>
      </c>
    </row>
    <row r="55" customFormat="false" ht="15" hidden="false" customHeight="false" outlineLevel="0" collapsed="false">
      <c r="A55" s="0" t="n">
        <v>54</v>
      </c>
      <c r="B55" s="0" t="s">
        <v>114</v>
      </c>
      <c r="C55" s="0" t="s">
        <v>109</v>
      </c>
      <c r="D55" s="0" t="s">
        <v>115</v>
      </c>
      <c r="E55" s="0" t="s">
        <v>31</v>
      </c>
      <c r="F55" s="0" t="s">
        <v>299</v>
      </c>
      <c r="G55" s="0" t="s">
        <v>300</v>
      </c>
      <c r="I55" s="0" t="s">
        <v>33</v>
      </c>
    </row>
    <row r="56" customFormat="false" ht="15" hidden="false" customHeight="false" outlineLevel="0" collapsed="false">
      <c r="A56" s="0" t="n">
        <v>55</v>
      </c>
      <c r="B56" s="0" t="s">
        <v>114</v>
      </c>
      <c r="C56" s="0" t="s">
        <v>109</v>
      </c>
      <c r="D56" s="0" t="s">
        <v>115</v>
      </c>
      <c r="E56" s="0" t="s">
        <v>31</v>
      </c>
      <c r="F56" s="0" t="s">
        <v>313</v>
      </c>
      <c r="G56" s="0" t="s">
        <v>314</v>
      </c>
      <c r="H56" s="0" t="s">
        <v>315</v>
      </c>
      <c r="I56" s="0" t="s">
        <v>33</v>
      </c>
    </row>
    <row r="57" customFormat="false" ht="15" hidden="false" customHeight="false" outlineLevel="0" collapsed="false">
      <c r="A57" s="0" t="n">
        <v>56</v>
      </c>
      <c r="B57" s="0" t="s">
        <v>114</v>
      </c>
      <c r="C57" s="0" t="s">
        <v>109</v>
      </c>
      <c r="D57" s="0" t="s">
        <v>115</v>
      </c>
      <c r="E57" s="0" t="s">
        <v>31</v>
      </c>
      <c r="F57" s="0" t="s">
        <v>311</v>
      </c>
      <c r="G57" s="0" t="s">
        <v>312</v>
      </c>
      <c r="I57" s="0" t="s">
        <v>33</v>
      </c>
    </row>
    <row r="58" customFormat="false" ht="15" hidden="false" customHeight="false" outlineLevel="0" collapsed="false">
      <c r="A58" s="0" t="n">
        <v>57</v>
      </c>
      <c r="B58" s="0" t="s">
        <v>34</v>
      </c>
      <c r="C58" s="0" t="s">
        <v>35</v>
      </c>
      <c r="D58" s="0" t="s">
        <v>36</v>
      </c>
      <c r="E58" s="0" t="s">
        <v>37</v>
      </c>
      <c r="F58" s="0" t="s">
        <v>316</v>
      </c>
      <c r="G58" s="0" t="s">
        <v>254</v>
      </c>
      <c r="I58" s="0" t="s">
        <v>39</v>
      </c>
    </row>
    <row r="59" customFormat="false" ht="15" hidden="false" customHeight="false" outlineLevel="0" collapsed="false">
      <c r="A59" s="0" t="n">
        <v>58</v>
      </c>
      <c r="B59" s="0" t="s">
        <v>34</v>
      </c>
      <c r="C59" s="0" t="s">
        <v>35</v>
      </c>
      <c r="D59" s="0" t="s">
        <v>36</v>
      </c>
      <c r="E59" s="0" t="s">
        <v>37</v>
      </c>
      <c r="F59" s="0" t="s">
        <v>317</v>
      </c>
      <c r="G59" s="0" t="s">
        <v>254</v>
      </c>
      <c r="I59" s="0" t="s">
        <v>39</v>
      </c>
    </row>
    <row r="60" customFormat="false" ht="15" hidden="false" customHeight="false" outlineLevel="0" collapsed="false">
      <c r="A60" s="0" t="n">
        <v>59</v>
      </c>
      <c r="B60" s="0" t="s">
        <v>34</v>
      </c>
      <c r="C60" s="0" t="s">
        <v>35</v>
      </c>
      <c r="D60" s="0" t="s">
        <v>36</v>
      </c>
      <c r="E60" s="0" t="s">
        <v>37</v>
      </c>
      <c r="F60" s="0" t="s">
        <v>318</v>
      </c>
      <c r="G60" s="0" t="s">
        <v>254</v>
      </c>
      <c r="I60" s="0" t="s">
        <v>39</v>
      </c>
    </row>
    <row r="61" customFormat="false" ht="15" hidden="false" customHeight="false" outlineLevel="0" collapsed="false">
      <c r="A61" s="0" t="n">
        <v>60</v>
      </c>
      <c r="B61" s="0" t="s">
        <v>34</v>
      </c>
      <c r="C61" s="0" t="s">
        <v>35</v>
      </c>
      <c r="D61" s="0" t="s">
        <v>36</v>
      </c>
      <c r="E61" s="0" t="s">
        <v>37</v>
      </c>
      <c r="F61" s="0" t="s">
        <v>319</v>
      </c>
      <c r="G61" s="0" t="s">
        <v>254</v>
      </c>
      <c r="I61" s="0" t="s">
        <v>39</v>
      </c>
    </row>
    <row r="62" customFormat="false" ht="15" hidden="false" customHeight="false" outlineLevel="0" collapsed="false">
      <c r="A62" s="0" t="n">
        <v>61</v>
      </c>
      <c r="B62" s="0" t="s">
        <v>40</v>
      </c>
      <c r="C62" s="0" t="s">
        <v>41</v>
      </c>
      <c r="D62" s="0" t="s">
        <v>42</v>
      </c>
      <c r="E62" s="0" t="s">
        <v>43</v>
      </c>
      <c r="F62" s="0" t="s">
        <v>320</v>
      </c>
      <c r="G62" s="0" t="s">
        <v>321</v>
      </c>
      <c r="I62" s="0" t="s">
        <v>45</v>
      </c>
    </row>
    <row r="63" customFormat="false" ht="15" hidden="false" customHeight="false" outlineLevel="0" collapsed="false">
      <c r="A63" s="0" t="n">
        <v>62</v>
      </c>
      <c r="B63" s="0" t="s">
        <v>40</v>
      </c>
      <c r="C63" s="0" t="s">
        <v>41</v>
      </c>
      <c r="D63" s="0" t="s">
        <v>42</v>
      </c>
      <c r="E63" s="0" t="s">
        <v>43</v>
      </c>
      <c r="F63" s="0" t="s">
        <v>322</v>
      </c>
      <c r="G63" s="0" t="s">
        <v>323</v>
      </c>
      <c r="I63" s="0" t="s">
        <v>45</v>
      </c>
    </row>
    <row r="64" customFormat="false" ht="15" hidden="false" customHeight="false" outlineLevel="0" collapsed="false">
      <c r="A64" s="0" t="n">
        <v>63</v>
      </c>
      <c r="B64" s="0" t="s">
        <v>40</v>
      </c>
      <c r="C64" s="0" t="s">
        <v>41</v>
      </c>
      <c r="D64" s="0" t="s">
        <v>42</v>
      </c>
      <c r="E64" s="0" t="s">
        <v>43</v>
      </c>
      <c r="F64" s="0" t="s">
        <v>324</v>
      </c>
      <c r="G64" s="0" t="s">
        <v>325</v>
      </c>
      <c r="I64" s="0" t="s">
        <v>45</v>
      </c>
    </row>
    <row r="65" customFormat="false" ht="15" hidden="false" customHeight="false" outlineLevel="0" collapsed="false">
      <c r="A65" s="0" t="n">
        <v>64</v>
      </c>
      <c r="B65" s="0" t="s">
        <v>40</v>
      </c>
      <c r="C65" s="0" t="s">
        <v>41</v>
      </c>
      <c r="D65" s="0" t="s">
        <v>42</v>
      </c>
      <c r="E65" s="0" t="s">
        <v>43</v>
      </c>
      <c r="F65" s="0" t="s">
        <v>326</v>
      </c>
      <c r="G65" s="0" t="s">
        <v>254</v>
      </c>
      <c r="I65" s="0" t="s">
        <v>45</v>
      </c>
    </row>
    <row r="66" customFormat="false" ht="15" hidden="false" customHeight="false" outlineLevel="0" collapsed="false">
      <c r="A66" s="0" t="n">
        <v>65</v>
      </c>
      <c r="B66" s="0" t="s">
        <v>40</v>
      </c>
      <c r="C66" s="0" t="s">
        <v>41</v>
      </c>
      <c r="D66" s="0" t="s">
        <v>42</v>
      </c>
      <c r="E66" s="0" t="s">
        <v>43</v>
      </c>
      <c r="F66" s="0" t="s">
        <v>327</v>
      </c>
      <c r="G66" s="0" t="s">
        <v>325</v>
      </c>
      <c r="I66" s="0" t="s">
        <v>45</v>
      </c>
    </row>
    <row r="67" customFormat="false" ht="15" hidden="false" customHeight="false" outlineLevel="0" collapsed="false">
      <c r="A67" s="0" t="n">
        <v>66</v>
      </c>
      <c r="B67" s="0" t="s">
        <v>40</v>
      </c>
      <c r="C67" s="0" t="s">
        <v>41</v>
      </c>
      <c r="D67" s="0" t="s">
        <v>42</v>
      </c>
      <c r="E67" s="0" t="s">
        <v>43</v>
      </c>
      <c r="F67" s="0" t="s">
        <v>328</v>
      </c>
      <c r="G67" s="0" t="s">
        <v>254</v>
      </c>
      <c r="I67" s="0" t="s">
        <v>45</v>
      </c>
    </row>
    <row r="68" customFormat="false" ht="15" hidden="false" customHeight="false" outlineLevel="0" collapsed="false">
      <c r="A68" s="0" t="n">
        <v>67</v>
      </c>
      <c r="B68" s="0" t="s">
        <v>40</v>
      </c>
      <c r="C68" s="0" t="s">
        <v>41</v>
      </c>
      <c r="D68" s="0" t="s">
        <v>42</v>
      </c>
      <c r="E68" s="0" t="s">
        <v>43</v>
      </c>
      <c r="F68" s="0" t="s">
        <v>329</v>
      </c>
      <c r="G68" s="0" t="s">
        <v>254</v>
      </c>
      <c r="I68" s="0" t="s">
        <v>45</v>
      </c>
    </row>
    <row r="69" customFormat="false" ht="15" hidden="false" customHeight="false" outlineLevel="0" collapsed="false">
      <c r="A69" s="0" t="n">
        <v>68</v>
      </c>
      <c r="B69" s="0" t="s">
        <v>40</v>
      </c>
      <c r="C69" s="0" t="s">
        <v>41</v>
      </c>
      <c r="D69" s="0" t="s">
        <v>42</v>
      </c>
      <c r="E69" s="0" t="s">
        <v>43</v>
      </c>
      <c r="F69" s="0" t="s">
        <v>307</v>
      </c>
      <c r="G69" s="0" t="s">
        <v>254</v>
      </c>
      <c r="I69" s="0" t="s">
        <v>45</v>
      </c>
    </row>
    <row r="70" customFormat="false" ht="15" hidden="false" customHeight="false" outlineLevel="0" collapsed="false">
      <c r="A70" s="0" t="n">
        <v>69</v>
      </c>
      <c r="B70" s="0" t="s">
        <v>40</v>
      </c>
      <c r="C70" s="0" t="s">
        <v>41</v>
      </c>
      <c r="D70" s="0" t="s">
        <v>42</v>
      </c>
      <c r="E70" s="0" t="s">
        <v>43</v>
      </c>
      <c r="F70" s="0" t="s">
        <v>330</v>
      </c>
      <c r="G70" s="0" t="s">
        <v>254</v>
      </c>
      <c r="I70" s="0" t="s">
        <v>45</v>
      </c>
    </row>
    <row r="71" customFormat="false" ht="15" hidden="false" customHeight="false" outlineLevel="0" collapsed="false">
      <c r="A71" s="0" t="n">
        <v>70</v>
      </c>
      <c r="B71" s="0" t="s">
        <v>40</v>
      </c>
      <c r="C71" s="0" t="s">
        <v>41</v>
      </c>
      <c r="D71" s="0" t="s">
        <v>42</v>
      </c>
      <c r="E71" s="0" t="s">
        <v>43</v>
      </c>
      <c r="F71" s="0" t="s">
        <v>331</v>
      </c>
      <c r="G71" s="0" t="s">
        <v>254</v>
      </c>
      <c r="I71" s="0" t="s">
        <v>45</v>
      </c>
    </row>
    <row r="72" customFormat="false" ht="15" hidden="false" customHeight="false" outlineLevel="0" collapsed="false">
      <c r="A72" s="0" t="n">
        <v>71</v>
      </c>
      <c r="B72" s="0" t="s">
        <v>40</v>
      </c>
      <c r="C72" s="0" t="s">
        <v>41</v>
      </c>
      <c r="D72" s="0" t="s">
        <v>42</v>
      </c>
      <c r="E72" s="0" t="s">
        <v>43</v>
      </c>
      <c r="F72" s="0" t="s">
        <v>332</v>
      </c>
      <c r="G72" s="0" t="s">
        <v>254</v>
      </c>
      <c r="I72" s="0" t="s">
        <v>45</v>
      </c>
    </row>
    <row r="73" customFormat="false" ht="15" hidden="false" customHeight="false" outlineLevel="0" collapsed="false">
      <c r="A73" s="0" t="n">
        <v>72</v>
      </c>
      <c r="B73" s="0" t="s">
        <v>40</v>
      </c>
      <c r="C73" s="0" t="s">
        <v>41</v>
      </c>
      <c r="D73" s="0" t="s">
        <v>42</v>
      </c>
      <c r="E73" s="0" t="s">
        <v>43</v>
      </c>
      <c r="F73" s="0" t="s">
        <v>333</v>
      </c>
      <c r="G73" s="0" t="s">
        <v>254</v>
      </c>
      <c r="I73" s="0" t="s">
        <v>45</v>
      </c>
    </row>
    <row r="74" customFormat="false" ht="15" hidden="false" customHeight="false" outlineLevel="0" collapsed="false">
      <c r="A74" s="0" t="n">
        <v>73</v>
      </c>
      <c r="B74" s="0" t="s">
        <v>40</v>
      </c>
      <c r="C74" s="0" t="s">
        <v>41</v>
      </c>
      <c r="D74" s="0" t="s">
        <v>42</v>
      </c>
      <c r="E74" s="0" t="s">
        <v>43</v>
      </c>
      <c r="F74" s="0" t="s">
        <v>334</v>
      </c>
      <c r="G74" s="0" t="s">
        <v>254</v>
      </c>
      <c r="I74" s="0" t="s">
        <v>45</v>
      </c>
    </row>
    <row r="75" customFormat="false" ht="15" hidden="false" customHeight="false" outlineLevel="0" collapsed="false">
      <c r="A75" s="0" t="n">
        <v>74</v>
      </c>
      <c r="B75" s="0" t="s">
        <v>46</v>
      </c>
      <c r="C75" s="0" t="s">
        <v>47</v>
      </c>
      <c r="D75" s="0" t="s">
        <v>48</v>
      </c>
      <c r="E75" s="0" t="s">
        <v>49</v>
      </c>
      <c r="F75" s="0" t="s">
        <v>295</v>
      </c>
      <c r="G75" s="0" t="s">
        <v>335</v>
      </c>
      <c r="I75" s="0" t="s">
        <v>51</v>
      </c>
    </row>
    <row r="76" customFormat="false" ht="15" hidden="false" customHeight="false" outlineLevel="0" collapsed="false">
      <c r="A76" s="0" t="n">
        <v>75</v>
      </c>
      <c r="B76" s="0" t="s">
        <v>46</v>
      </c>
      <c r="C76" s="0" t="s">
        <v>47</v>
      </c>
      <c r="D76" s="0" t="s">
        <v>48</v>
      </c>
      <c r="E76" s="0" t="s">
        <v>49</v>
      </c>
      <c r="F76" s="0" t="s">
        <v>297</v>
      </c>
      <c r="G76" s="0" t="s">
        <v>336</v>
      </c>
      <c r="I76" s="0" t="s">
        <v>51</v>
      </c>
    </row>
    <row r="77" customFormat="false" ht="15" hidden="false" customHeight="false" outlineLevel="0" collapsed="false">
      <c r="A77" s="0" t="n">
        <v>76</v>
      </c>
      <c r="B77" s="0" t="s">
        <v>46</v>
      </c>
      <c r="C77" s="0" t="s">
        <v>47</v>
      </c>
      <c r="D77" s="0" t="s">
        <v>48</v>
      </c>
      <c r="E77" s="0" t="s">
        <v>49</v>
      </c>
      <c r="F77" s="0" t="s">
        <v>337</v>
      </c>
      <c r="G77" s="0" t="s">
        <v>338</v>
      </c>
      <c r="I77" s="0" t="s">
        <v>51</v>
      </c>
    </row>
    <row r="78" customFormat="false" ht="15" hidden="false" customHeight="false" outlineLevel="0" collapsed="false">
      <c r="A78" s="0" t="n">
        <v>77</v>
      </c>
      <c r="B78" s="0" t="s">
        <v>46</v>
      </c>
      <c r="C78" s="0" t="s">
        <v>47</v>
      </c>
      <c r="D78" s="0" t="s">
        <v>48</v>
      </c>
      <c r="E78" s="0" t="s">
        <v>49</v>
      </c>
      <c r="F78" s="0" t="s">
        <v>339</v>
      </c>
      <c r="G78" s="0" t="s">
        <v>340</v>
      </c>
      <c r="I78" s="0" t="s">
        <v>51</v>
      </c>
    </row>
    <row r="79" customFormat="false" ht="15" hidden="false" customHeight="false" outlineLevel="0" collapsed="false">
      <c r="A79" s="0" t="n">
        <v>78</v>
      </c>
      <c r="B79" s="0" t="s">
        <v>46</v>
      </c>
      <c r="C79" s="0" t="s">
        <v>47</v>
      </c>
      <c r="D79" s="0" t="s">
        <v>48</v>
      </c>
      <c r="E79" s="0" t="s">
        <v>49</v>
      </c>
      <c r="F79" s="0" t="s">
        <v>341</v>
      </c>
      <c r="G79" s="0" t="s">
        <v>342</v>
      </c>
      <c r="I79" s="0" t="s">
        <v>51</v>
      </c>
    </row>
    <row r="80" customFormat="false" ht="15" hidden="false" customHeight="false" outlineLevel="0" collapsed="false">
      <c r="A80" s="0" t="n">
        <v>79</v>
      </c>
      <c r="B80" s="0" t="s">
        <v>46</v>
      </c>
      <c r="C80" s="0" t="s">
        <v>47</v>
      </c>
      <c r="D80" s="0" t="s">
        <v>48</v>
      </c>
      <c r="E80" s="0" t="s">
        <v>49</v>
      </c>
      <c r="F80" s="0" t="s">
        <v>343</v>
      </c>
      <c r="G80" s="0" t="s">
        <v>344</v>
      </c>
      <c r="I80" s="0" t="s">
        <v>51</v>
      </c>
    </row>
    <row r="81" customFormat="false" ht="15" hidden="false" customHeight="false" outlineLevel="0" collapsed="false">
      <c r="A81" s="0" t="n">
        <v>80</v>
      </c>
      <c r="B81" s="0" t="s">
        <v>46</v>
      </c>
      <c r="C81" s="0" t="s">
        <v>47</v>
      </c>
      <c r="D81" s="0" t="s">
        <v>48</v>
      </c>
      <c r="E81" s="0" t="s">
        <v>49</v>
      </c>
      <c r="F81" s="0" t="s">
        <v>345</v>
      </c>
      <c r="G81" s="0" t="s">
        <v>346</v>
      </c>
      <c r="I81" s="0" t="s">
        <v>51</v>
      </c>
    </row>
    <row r="82" customFormat="false" ht="15" hidden="false" customHeight="false" outlineLevel="0" collapsed="false">
      <c r="A82" s="0" t="n">
        <v>81</v>
      </c>
      <c r="B82" s="0" t="s">
        <v>46</v>
      </c>
      <c r="C82" s="0" t="s">
        <v>47</v>
      </c>
      <c r="D82" s="0" t="s">
        <v>48</v>
      </c>
      <c r="E82" s="0" t="s">
        <v>49</v>
      </c>
      <c r="F82" s="0" t="s">
        <v>347</v>
      </c>
      <c r="G82" s="0" t="s">
        <v>348</v>
      </c>
      <c r="I82" s="0" t="s">
        <v>51</v>
      </c>
    </row>
    <row r="83" customFormat="false" ht="15" hidden="false" customHeight="false" outlineLevel="0" collapsed="false">
      <c r="A83" s="0" t="n">
        <v>82</v>
      </c>
      <c r="B83" s="0" t="s">
        <v>46</v>
      </c>
      <c r="C83" s="0" t="s">
        <v>47</v>
      </c>
      <c r="D83" s="0" t="s">
        <v>48</v>
      </c>
      <c r="E83" s="0" t="s">
        <v>49</v>
      </c>
      <c r="F83" s="0" t="s">
        <v>349</v>
      </c>
      <c r="G83" s="0" t="s">
        <v>350</v>
      </c>
      <c r="I83" s="0" t="s">
        <v>51</v>
      </c>
    </row>
    <row r="84" customFormat="false" ht="15" hidden="false" customHeight="false" outlineLevel="0" collapsed="false">
      <c r="A84" s="0" t="n">
        <v>83</v>
      </c>
      <c r="B84" s="0" t="s">
        <v>46</v>
      </c>
      <c r="C84" s="0" t="s">
        <v>47</v>
      </c>
      <c r="D84" s="0" t="s">
        <v>48</v>
      </c>
      <c r="E84" s="0" t="s">
        <v>49</v>
      </c>
      <c r="F84" s="0" t="s">
        <v>351</v>
      </c>
      <c r="G84" s="0" t="s">
        <v>352</v>
      </c>
      <c r="I84" s="0" t="s">
        <v>51</v>
      </c>
    </row>
    <row r="85" customFormat="false" ht="15" hidden="false" customHeight="false" outlineLevel="0" collapsed="false">
      <c r="A85" s="0" t="n">
        <v>84</v>
      </c>
      <c r="B85" s="0" t="s">
        <v>46</v>
      </c>
      <c r="C85" s="0" t="s">
        <v>47</v>
      </c>
      <c r="D85" s="0" t="s">
        <v>48</v>
      </c>
      <c r="E85" s="0" t="s">
        <v>49</v>
      </c>
      <c r="F85" s="0" t="s">
        <v>353</v>
      </c>
      <c r="G85" s="0" t="s">
        <v>354</v>
      </c>
      <c r="I85" s="0" t="s">
        <v>51</v>
      </c>
    </row>
    <row r="86" customFormat="false" ht="15" hidden="false" customHeight="false" outlineLevel="0" collapsed="false">
      <c r="A86" s="0" t="n">
        <v>85</v>
      </c>
      <c r="B86" s="0" t="s">
        <v>46</v>
      </c>
      <c r="C86" s="0" t="s">
        <v>47</v>
      </c>
      <c r="D86" s="0" t="s">
        <v>48</v>
      </c>
      <c r="E86" s="0" t="s">
        <v>49</v>
      </c>
      <c r="F86" s="0" t="s">
        <v>355</v>
      </c>
      <c r="G86" s="0" t="s">
        <v>356</v>
      </c>
      <c r="I86" s="0" t="s">
        <v>51</v>
      </c>
    </row>
    <row r="87" customFormat="false" ht="15" hidden="false" customHeight="false" outlineLevel="0" collapsed="false">
      <c r="A87" s="0" t="n">
        <v>86</v>
      </c>
      <c r="B87" s="0" t="s">
        <v>46</v>
      </c>
      <c r="C87" s="0" t="s">
        <v>47</v>
      </c>
      <c r="D87" s="0" t="s">
        <v>48</v>
      </c>
      <c r="E87" s="0" t="s">
        <v>49</v>
      </c>
      <c r="F87" s="0" t="s">
        <v>357</v>
      </c>
      <c r="G87" s="0" t="s">
        <v>358</v>
      </c>
      <c r="I87" s="0" t="s">
        <v>51</v>
      </c>
    </row>
    <row r="88" customFormat="false" ht="15" hidden="false" customHeight="false" outlineLevel="0" collapsed="false">
      <c r="A88" s="0" t="n">
        <v>87</v>
      </c>
      <c r="B88" s="0" t="s">
        <v>46</v>
      </c>
      <c r="C88" s="0" t="s">
        <v>47</v>
      </c>
      <c r="D88" s="0" t="s">
        <v>48</v>
      </c>
      <c r="E88" s="0" t="s">
        <v>49</v>
      </c>
      <c r="F88" s="0" t="s">
        <v>359</v>
      </c>
      <c r="G88" s="0" t="s">
        <v>360</v>
      </c>
      <c r="I88" s="0" t="s">
        <v>51</v>
      </c>
    </row>
    <row r="89" customFormat="false" ht="15" hidden="false" customHeight="false" outlineLevel="0" collapsed="false">
      <c r="A89" s="0" t="n">
        <v>88</v>
      </c>
      <c r="B89" s="0" t="s">
        <v>46</v>
      </c>
      <c r="C89" s="0" t="s">
        <v>47</v>
      </c>
      <c r="D89" s="0" t="s">
        <v>48</v>
      </c>
      <c r="E89" s="0" t="s">
        <v>49</v>
      </c>
      <c r="F89" s="0" t="s">
        <v>361</v>
      </c>
      <c r="G89" s="0" t="s">
        <v>358</v>
      </c>
      <c r="I89" s="0" t="s">
        <v>51</v>
      </c>
    </row>
    <row r="90" customFormat="false" ht="15" hidden="false" customHeight="false" outlineLevel="0" collapsed="false">
      <c r="A90" s="0" t="n">
        <v>89</v>
      </c>
      <c r="B90" s="0" t="s">
        <v>46</v>
      </c>
      <c r="C90" s="0" t="s">
        <v>47</v>
      </c>
      <c r="D90" s="0" t="s">
        <v>48</v>
      </c>
      <c r="E90" s="0" t="s">
        <v>49</v>
      </c>
      <c r="F90" s="0" t="s">
        <v>362</v>
      </c>
      <c r="G90" s="0" t="s">
        <v>363</v>
      </c>
      <c r="I90" s="0" t="s">
        <v>51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s">
        <v>53</v>
      </c>
      <c r="D91" s="0" t="s">
        <v>54</v>
      </c>
      <c r="E91" s="0" t="s">
        <v>55</v>
      </c>
      <c r="F91" s="0" t="s">
        <v>364</v>
      </c>
      <c r="G91" s="0" t="s">
        <v>365</v>
      </c>
      <c r="I91" s="0" t="s">
        <v>57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s">
        <v>53</v>
      </c>
      <c r="D92" s="0" t="s">
        <v>54</v>
      </c>
      <c r="E92" s="0" t="s">
        <v>55</v>
      </c>
      <c r="F92" s="0" t="s">
        <v>366</v>
      </c>
      <c r="G92" s="0" t="s">
        <v>367</v>
      </c>
      <c r="I92" s="0" t="s">
        <v>57</v>
      </c>
    </row>
    <row r="93" customFormat="false" ht="15" hidden="false" customHeight="false" outlineLevel="0" collapsed="false">
      <c r="A93" s="0" t="n">
        <v>92</v>
      </c>
      <c r="B93" s="0" t="s">
        <v>52</v>
      </c>
      <c r="C93" s="0" t="s">
        <v>53</v>
      </c>
      <c r="D93" s="0" t="s">
        <v>54</v>
      </c>
      <c r="E93" s="0" t="s">
        <v>55</v>
      </c>
      <c r="F93" s="0" t="s">
        <v>368</v>
      </c>
      <c r="G93" s="0" t="s">
        <v>369</v>
      </c>
      <c r="I93" s="0" t="s">
        <v>57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s">
        <v>53</v>
      </c>
      <c r="D94" s="0" t="s">
        <v>54</v>
      </c>
      <c r="E94" s="0" t="s">
        <v>55</v>
      </c>
      <c r="F94" s="0" t="s">
        <v>301</v>
      </c>
      <c r="G94" s="0" t="s">
        <v>370</v>
      </c>
      <c r="I94" s="0" t="s">
        <v>57</v>
      </c>
    </row>
    <row r="95" customFormat="false" ht="15" hidden="false" customHeight="false" outlineLevel="0" collapsed="false">
      <c r="A95" s="0" t="n">
        <v>94</v>
      </c>
      <c r="B95" s="0" t="s">
        <v>52</v>
      </c>
      <c r="C95" s="0" t="s">
        <v>53</v>
      </c>
      <c r="D95" s="0" t="s">
        <v>54</v>
      </c>
      <c r="E95" s="0" t="s">
        <v>55</v>
      </c>
      <c r="F95" s="0" t="s">
        <v>303</v>
      </c>
      <c r="G95" s="0" t="s">
        <v>371</v>
      </c>
      <c r="I95" s="0" t="s">
        <v>57</v>
      </c>
    </row>
    <row r="96" customFormat="false" ht="15" hidden="false" customHeight="false" outlineLevel="0" collapsed="false">
      <c r="A96" s="0" t="n">
        <v>95</v>
      </c>
      <c r="B96" s="0" t="s">
        <v>52</v>
      </c>
      <c r="C96" s="0" t="s">
        <v>53</v>
      </c>
      <c r="D96" s="0" t="s">
        <v>54</v>
      </c>
      <c r="E96" s="0" t="s">
        <v>55</v>
      </c>
      <c r="F96" s="0" t="s">
        <v>372</v>
      </c>
      <c r="G96" s="0" t="s">
        <v>373</v>
      </c>
      <c r="I96" s="0" t="s">
        <v>57</v>
      </c>
    </row>
    <row r="97" customFormat="false" ht="15" hidden="false" customHeight="false" outlineLevel="0" collapsed="false">
      <c r="A97" s="0" t="n">
        <v>96</v>
      </c>
      <c r="B97" s="0" t="s">
        <v>52</v>
      </c>
      <c r="C97" s="0" t="s">
        <v>53</v>
      </c>
      <c r="D97" s="0" t="s">
        <v>54</v>
      </c>
      <c r="E97" s="0" t="s">
        <v>55</v>
      </c>
      <c r="F97" s="0" t="s">
        <v>374</v>
      </c>
      <c r="G97" s="0" t="s">
        <v>375</v>
      </c>
      <c r="I97" s="0" t="s">
        <v>57</v>
      </c>
    </row>
    <row r="98" customFormat="false" ht="15" hidden="false" customHeight="false" outlineLevel="0" collapsed="false">
      <c r="A98" s="0" t="n">
        <v>97</v>
      </c>
      <c r="B98" s="0" t="s">
        <v>52</v>
      </c>
      <c r="C98" s="0" t="s">
        <v>53</v>
      </c>
      <c r="D98" s="0" t="s">
        <v>54</v>
      </c>
      <c r="E98" s="0" t="s">
        <v>55</v>
      </c>
      <c r="F98" s="0" t="s">
        <v>376</v>
      </c>
      <c r="G98" s="0" t="s">
        <v>377</v>
      </c>
      <c r="I98" s="0" t="s">
        <v>57</v>
      </c>
    </row>
    <row r="99" customFormat="false" ht="15" hidden="false" customHeight="false" outlineLevel="0" collapsed="false">
      <c r="A99" s="0" t="n">
        <v>98</v>
      </c>
      <c r="B99" s="0" t="s">
        <v>52</v>
      </c>
      <c r="C99" s="0" t="s">
        <v>53</v>
      </c>
      <c r="D99" s="0" t="s">
        <v>54</v>
      </c>
      <c r="E99" s="0" t="s">
        <v>55</v>
      </c>
      <c r="F99" s="0" t="s">
        <v>378</v>
      </c>
      <c r="G99" s="0" t="s">
        <v>379</v>
      </c>
      <c r="I99" s="0" t="s">
        <v>57</v>
      </c>
    </row>
    <row r="100" customFormat="false" ht="15" hidden="false" customHeight="false" outlineLevel="0" collapsed="false">
      <c r="A100" s="0" t="n">
        <v>99</v>
      </c>
      <c r="B100" s="0" t="s">
        <v>52</v>
      </c>
      <c r="C100" s="0" t="s">
        <v>53</v>
      </c>
      <c r="D100" s="0" t="s">
        <v>54</v>
      </c>
      <c r="E100" s="0" t="s">
        <v>55</v>
      </c>
      <c r="F100" s="0" t="s">
        <v>380</v>
      </c>
      <c r="G100" s="0" t="s">
        <v>379</v>
      </c>
      <c r="I100" s="0" t="s">
        <v>57</v>
      </c>
    </row>
    <row r="101" customFormat="false" ht="15" hidden="false" customHeight="false" outlineLevel="0" collapsed="false">
      <c r="A101" s="0" t="n">
        <v>100</v>
      </c>
      <c r="B101" s="0" t="s">
        <v>52</v>
      </c>
      <c r="C101" s="0" t="s">
        <v>53</v>
      </c>
      <c r="D101" s="0" t="s">
        <v>54</v>
      </c>
      <c r="E101" s="0" t="s">
        <v>55</v>
      </c>
      <c r="F101" s="0" t="s">
        <v>381</v>
      </c>
      <c r="G101" s="0" t="s">
        <v>382</v>
      </c>
      <c r="I101" s="0" t="s">
        <v>57</v>
      </c>
    </row>
    <row r="102" customFormat="false" ht="15" hidden="false" customHeight="false" outlineLevel="0" collapsed="false">
      <c r="A102" s="0" t="n">
        <v>101</v>
      </c>
      <c r="B102" s="0" t="s">
        <v>52</v>
      </c>
      <c r="C102" s="0" t="s">
        <v>53</v>
      </c>
      <c r="D102" s="0" t="s">
        <v>54</v>
      </c>
      <c r="E102" s="0" t="s">
        <v>55</v>
      </c>
      <c r="F102" s="0" t="s">
        <v>383</v>
      </c>
      <c r="G102" s="0" t="s">
        <v>384</v>
      </c>
      <c r="I102" s="0" t="s">
        <v>57</v>
      </c>
    </row>
    <row r="103" customFormat="false" ht="15" hidden="false" customHeight="false" outlineLevel="0" collapsed="false">
      <c r="A103" s="0" t="n">
        <v>102</v>
      </c>
      <c r="B103" s="0" t="s">
        <v>52</v>
      </c>
      <c r="C103" s="0" t="s">
        <v>53</v>
      </c>
      <c r="D103" s="0" t="s">
        <v>54</v>
      </c>
      <c r="E103" s="0" t="s">
        <v>55</v>
      </c>
      <c r="F103" s="0" t="s">
        <v>385</v>
      </c>
      <c r="G103" s="0" t="s">
        <v>386</v>
      </c>
      <c r="I103" s="0" t="s">
        <v>57</v>
      </c>
    </row>
    <row r="104" customFormat="false" ht="15" hidden="false" customHeight="false" outlineLevel="0" collapsed="false">
      <c r="A104" s="0" t="n">
        <v>103</v>
      </c>
      <c r="B104" s="0" t="s">
        <v>52</v>
      </c>
      <c r="C104" s="0" t="s">
        <v>53</v>
      </c>
      <c r="D104" s="0" t="s">
        <v>54</v>
      </c>
      <c r="E104" s="0" t="s">
        <v>55</v>
      </c>
      <c r="F104" s="0" t="s">
        <v>387</v>
      </c>
      <c r="G104" s="0" t="s">
        <v>388</v>
      </c>
      <c r="I104" s="0" t="s">
        <v>57</v>
      </c>
    </row>
    <row r="105" customFormat="false" ht="15" hidden="false" customHeight="false" outlineLevel="0" collapsed="false">
      <c r="A105" s="0" t="n">
        <v>104</v>
      </c>
      <c r="B105" s="0" t="s">
        <v>52</v>
      </c>
      <c r="C105" s="0" t="s">
        <v>53</v>
      </c>
      <c r="D105" s="0" t="s">
        <v>54</v>
      </c>
      <c r="E105" s="0" t="s">
        <v>55</v>
      </c>
      <c r="F105" s="0" t="s">
        <v>389</v>
      </c>
      <c r="G105" s="0" t="s">
        <v>390</v>
      </c>
      <c r="I105" s="0" t="s">
        <v>57</v>
      </c>
    </row>
    <row r="106" customFormat="false" ht="15" hidden="false" customHeight="false" outlineLevel="0" collapsed="false">
      <c r="A106" s="0" t="n">
        <v>105</v>
      </c>
      <c r="B106" s="0" t="s">
        <v>52</v>
      </c>
      <c r="C106" s="0" t="s">
        <v>53</v>
      </c>
      <c r="D106" s="0" t="s">
        <v>54</v>
      </c>
      <c r="E106" s="0" t="s">
        <v>55</v>
      </c>
      <c r="F106" s="0" t="s">
        <v>391</v>
      </c>
      <c r="G106" s="0" t="s">
        <v>377</v>
      </c>
      <c r="I106" s="0" t="s">
        <v>57</v>
      </c>
    </row>
    <row r="107" customFormat="false" ht="15" hidden="false" customHeight="false" outlineLevel="0" collapsed="false">
      <c r="A107" s="0" t="n">
        <v>106</v>
      </c>
      <c r="B107" s="0" t="s">
        <v>52</v>
      </c>
      <c r="C107" s="0" t="s">
        <v>53</v>
      </c>
      <c r="D107" s="0" t="s">
        <v>54</v>
      </c>
      <c r="E107" s="0" t="s">
        <v>55</v>
      </c>
      <c r="F107" s="0" t="s">
        <v>311</v>
      </c>
      <c r="G107" s="0" t="s">
        <v>392</v>
      </c>
      <c r="I107" s="0" t="s">
        <v>57</v>
      </c>
    </row>
    <row r="108" customFormat="false" ht="15" hidden="false" customHeight="false" outlineLevel="0" collapsed="false">
      <c r="A108" s="0" t="n">
        <v>107</v>
      </c>
      <c r="B108" s="0" t="s">
        <v>52</v>
      </c>
      <c r="C108" s="0" t="s">
        <v>53</v>
      </c>
      <c r="D108" s="0" t="s">
        <v>54</v>
      </c>
      <c r="E108" s="0" t="s">
        <v>55</v>
      </c>
      <c r="F108" s="0" t="s">
        <v>393</v>
      </c>
      <c r="G108" s="0" t="s">
        <v>377</v>
      </c>
      <c r="I108" s="0" t="s">
        <v>57</v>
      </c>
    </row>
    <row r="109" customFormat="false" ht="15" hidden="false" customHeight="false" outlineLevel="0" collapsed="false">
      <c r="A109" s="0" t="n">
        <v>108</v>
      </c>
      <c r="B109" s="0" t="s">
        <v>52</v>
      </c>
      <c r="C109" s="0" t="s">
        <v>53</v>
      </c>
      <c r="D109" s="0" t="s">
        <v>54</v>
      </c>
      <c r="E109" s="0" t="s">
        <v>55</v>
      </c>
      <c r="F109" s="0" t="s">
        <v>394</v>
      </c>
      <c r="G109" s="0" t="s">
        <v>395</v>
      </c>
      <c r="I109" s="0" t="s">
        <v>57</v>
      </c>
    </row>
    <row r="110" customFormat="false" ht="15" hidden="false" customHeight="false" outlineLevel="0" collapsed="false">
      <c r="A110" s="0" t="n">
        <v>109</v>
      </c>
      <c r="B110" s="0" t="s">
        <v>52</v>
      </c>
      <c r="C110" s="0" t="s">
        <v>53</v>
      </c>
      <c r="D110" s="0" t="s">
        <v>54</v>
      </c>
      <c r="E110" s="0" t="s">
        <v>55</v>
      </c>
      <c r="F110" s="0" t="s">
        <v>396</v>
      </c>
      <c r="G110" s="0" t="s">
        <v>397</v>
      </c>
      <c r="I110" s="0" t="s">
        <v>57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s">
        <v>59</v>
      </c>
      <c r="D111" s="0" t="s">
        <v>60</v>
      </c>
      <c r="E111" s="0" t="s">
        <v>61</v>
      </c>
      <c r="F111" s="0" t="s">
        <v>398</v>
      </c>
      <c r="G111" s="0" t="s">
        <v>399</v>
      </c>
      <c r="I111" s="0" t="s">
        <v>63</v>
      </c>
    </row>
    <row r="112" customFormat="false" ht="15" hidden="false" customHeight="false" outlineLevel="0" collapsed="false">
      <c r="A112" s="0" t="n">
        <v>111</v>
      </c>
      <c r="B112" s="0" t="s">
        <v>58</v>
      </c>
      <c r="C112" s="0" t="s">
        <v>59</v>
      </c>
      <c r="D112" s="0" t="s">
        <v>60</v>
      </c>
      <c r="E112" s="0" t="s">
        <v>61</v>
      </c>
      <c r="F112" s="0" t="s">
        <v>400</v>
      </c>
      <c r="G112" s="0" t="s">
        <v>254</v>
      </c>
      <c r="I112" s="0" t="s">
        <v>63</v>
      </c>
    </row>
    <row r="113" customFormat="false" ht="15" hidden="false" customHeight="false" outlineLevel="0" collapsed="false">
      <c r="A113" s="0" t="n">
        <v>112</v>
      </c>
      <c r="B113" s="0" t="s">
        <v>64</v>
      </c>
      <c r="C113" s="0" t="s">
        <v>65</v>
      </c>
      <c r="D113" s="0" t="s">
        <v>66</v>
      </c>
      <c r="E113" s="0" t="s">
        <v>67</v>
      </c>
      <c r="F113" s="0" t="s">
        <v>329</v>
      </c>
      <c r="G113" s="0" t="s">
        <v>401</v>
      </c>
      <c r="I113" s="0" t="s">
        <v>69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s">
        <v>65</v>
      </c>
      <c r="D114" s="0" t="s">
        <v>66</v>
      </c>
      <c r="E114" s="0" t="s">
        <v>67</v>
      </c>
      <c r="F114" s="0" t="s">
        <v>402</v>
      </c>
      <c r="G114" s="0" t="s">
        <v>254</v>
      </c>
      <c r="I114" s="0" t="s">
        <v>69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s">
        <v>65</v>
      </c>
      <c r="D115" s="0" t="s">
        <v>66</v>
      </c>
      <c r="E115" s="0" t="s">
        <v>67</v>
      </c>
      <c r="F115" s="0" t="s">
        <v>253</v>
      </c>
      <c r="G115" s="0" t="s">
        <v>254</v>
      </c>
      <c r="I115" s="0" t="s">
        <v>69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s">
        <v>65</v>
      </c>
      <c r="D116" s="0" t="s">
        <v>66</v>
      </c>
      <c r="E116" s="0" t="s">
        <v>67</v>
      </c>
      <c r="F116" s="0" t="s">
        <v>403</v>
      </c>
      <c r="G116" s="0" t="s">
        <v>254</v>
      </c>
      <c r="I116" s="0" t="s">
        <v>69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s">
        <v>65</v>
      </c>
      <c r="D117" s="0" t="s">
        <v>66</v>
      </c>
      <c r="E117" s="0" t="s">
        <v>67</v>
      </c>
      <c r="F117" s="0" t="s">
        <v>393</v>
      </c>
      <c r="G117" s="0" t="s">
        <v>254</v>
      </c>
      <c r="I117" s="0" t="s">
        <v>69</v>
      </c>
    </row>
    <row r="118" customFormat="false" ht="15" hidden="false" customHeight="false" outlineLevel="0" collapsed="false">
      <c r="A118" s="0" t="n">
        <v>117</v>
      </c>
      <c r="B118" s="0" t="s">
        <v>70</v>
      </c>
      <c r="C118" s="0" t="s">
        <v>10</v>
      </c>
      <c r="D118" s="0" t="s">
        <v>71</v>
      </c>
      <c r="E118" s="0" t="s">
        <v>72</v>
      </c>
      <c r="F118" s="0" t="s">
        <v>404</v>
      </c>
      <c r="G118" s="0" t="s">
        <v>254</v>
      </c>
      <c r="I118" s="0" t="s">
        <v>255</v>
      </c>
    </row>
    <row r="119" customFormat="false" ht="15" hidden="false" customHeight="false" outlineLevel="0" collapsed="false">
      <c r="A119" s="0" t="n">
        <v>118</v>
      </c>
      <c r="B119" s="0" t="s">
        <v>70</v>
      </c>
      <c r="C119" s="0" t="s">
        <v>10</v>
      </c>
      <c r="D119" s="0" t="s">
        <v>71</v>
      </c>
      <c r="E119" s="0" t="s">
        <v>72</v>
      </c>
      <c r="F119" s="0" t="s">
        <v>405</v>
      </c>
      <c r="G119" s="0" t="s">
        <v>254</v>
      </c>
      <c r="I119" s="0" t="s">
        <v>255</v>
      </c>
    </row>
    <row r="120" customFormat="false" ht="15" hidden="false" customHeight="false" outlineLevel="0" collapsed="false">
      <c r="A120" s="0" t="n">
        <v>119</v>
      </c>
      <c r="B120" s="0" t="s">
        <v>70</v>
      </c>
      <c r="C120" s="0" t="s">
        <v>10</v>
      </c>
      <c r="D120" s="0" t="s">
        <v>71</v>
      </c>
      <c r="E120" s="0" t="s">
        <v>72</v>
      </c>
      <c r="F120" s="0" t="s">
        <v>406</v>
      </c>
      <c r="G120" s="0" t="s">
        <v>254</v>
      </c>
      <c r="I120" s="0" t="s">
        <v>255</v>
      </c>
    </row>
    <row r="121" customFormat="false" ht="15" hidden="false" customHeight="false" outlineLevel="0" collapsed="false">
      <c r="A121" s="0" t="n">
        <v>120</v>
      </c>
      <c r="B121" s="0" t="s">
        <v>70</v>
      </c>
      <c r="C121" s="0" t="s">
        <v>10</v>
      </c>
      <c r="D121" s="0" t="s">
        <v>71</v>
      </c>
      <c r="E121" s="0" t="s">
        <v>72</v>
      </c>
      <c r="F121" s="0" t="s">
        <v>407</v>
      </c>
      <c r="G121" s="0" t="s">
        <v>254</v>
      </c>
      <c r="I121" s="0" t="s">
        <v>255</v>
      </c>
    </row>
    <row r="122" customFormat="false" ht="15" hidden="false" customHeight="false" outlineLevel="0" collapsed="false">
      <c r="A122" s="0" t="n">
        <v>121</v>
      </c>
      <c r="B122" s="0" t="s">
        <v>70</v>
      </c>
      <c r="C122" s="0" t="s">
        <v>10</v>
      </c>
      <c r="D122" s="0" t="s">
        <v>71</v>
      </c>
      <c r="E122" s="0" t="s">
        <v>72</v>
      </c>
      <c r="F122" s="0" t="s">
        <v>408</v>
      </c>
      <c r="G122" s="0" t="s">
        <v>254</v>
      </c>
      <c r="I122" s="0" t="s">
        <v>255</v>
      </c>
    </row>
    <row r="123" customFormat="false" ht="15" hidden="false" customHeight="false" outlineLevel="0" collapsed="false">
      <c r="A123" s="0" t="n">
        <v>122</v>
      </c>
      <c r="B123" s="0" t="s">
        <v>70</v>
      </c>
      <c r="C123" s="0" t="s">
        <v>10</v>
      </c>
      <c r="D123" s="0" t="s">
        <v>71</v>
      </c>
      <c r="E123" s="0" t="s">
        <v>72</v>
      </c>
      <c r="F123" s="0" t="s">
        <v>409</v>
      </c>
      <c r="G123" s="0" t="s">
        <v>254</v>
      </c>
      <c r="I123" s="0" t="s">
        <v>255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s">
        <v>10</v>
      </c>
      <c r="D124" s="0" t="s">
        <v>71</v>
      </c>
      <c r="E124" s="0" t="s">
        <v>72</v>
      </c>
      <c r="F124" s="0" t="s">
        <v>410</v>
      </c>
      <c r="G124" s="0" t="s">
        <v>254</v>
      </c>
      <c r="I124" s="0" t="s">
        <v>255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s">
        <v>10</v>
      </c>
      <c r="D125" s="0" t="s">
        <v>71</v>
      </c>
      <c r="E125" s="0" t="s">
        <v>72</v>
      </c>
      <c r="F125" s="0" t="s">
        <v>411</v>
      </c>
      <c r="G125" s="0" t="s">
        <v>254</v>
      </c>
      <c r="I125" s="0" t="s">
        <v>255</v>
      </c>
    </row>
    <row r="126" customFormat="false" ht="15" hidden="false" customHeight="false" outlineLevel="0" collapsed="false">
      <c r="A126" s="0" t="n">
        <v>125</v>
      </c>
      <c r="B126" s="0" t="s">
        <v>75</v>
      </c>
      <c r="C126" s="0" t="s">
        <v>29</v>
      </c>
      <c r="D126" s="0" t="s">
        <v>76</v>
      </c>
      <c r="E126" s="0" t="s">
        <v>77</v>
      </c>
      <c r="F126" s="0" t="s">
        <v>412</v>
      </c>
      <c r="G126" s="0" t="s">
        <v>413</v>
      </c>
      <c r="I126" s="0" t="s">
        <v>79</v>
      </c>
    </row>
    <row r="127" customFormat="false" ht="15" hidden="false" customHeight="false" outlineLevel="0" collapsed="false">
      <c r="A127" s="0" t="n">
        <v>126</v>
      </c>
      <c r="B127" s="0" t="s">
        <v>75</v>
      </c>
      <c r="C127" s="0" t="s">
        <v>29</v>
      </c>
      <c r="D127" s="0" t="s">
        <v>76</v>
      </c>
      <c r="E127" s="0" t="s">
        <v>77</v>
      </c>
      <c r="F127" s="0" t="s">
        <v>414</v>
      </c>
      <c r="G127" s="0" t="s">
        <v>254</v>
      </c>
      <c r="I127" s="0" t="s">
        <v>79</v>
      </c>
    </row>
    <row r="128" customFormat="false" ht="15" hidden="false" customHeight="false" outlineLevel="0" collapsed="false">
      <c r="A128" s="0" t="n">
        <v>127</v>
      </c>
      <c r="B128" s="0" t="s">
        <v>75</v>
      </c>
      <c r="C128" s="0" t="s">
        <v>29</v>
      </c>
      <c r="D128" s="0" t="s">
        <v>76</v>
      </c>
      <c r="E128" s="0" t="s">
        <v>77</v>
      </c>
      <c r="F128" s="0" t="s">
        <v>313</v>
      </c>
      <c r="G128" s="0" t="s">
        <v>254</v>
      </c>
      <c r="I128" s="0" t="s">
        <v>79</v>
      </c>
    </row>
    <row r="129" customFormat="false" ht="15" hidden="false" customHeight="false" outlineLevel="0" collapsed="false">
      <c r="A129" s="0" t="n">
        <v>128</v>
      </c>
      <c r="B129" s="0" t="s">
        <v>75</v>
      </c>
      <c r="C129" s="0" t="s">
        <v>29</v>
      </c>
      <c r="D129" s="0" t="s">
        <v>76</v>
      </c>
      <c r="E129" s="0" t="s">
        <v>77</v>
      </c>
      <c r="F129" s="0" t="s">
        <v>415</v>
      </c>
      <c r="G129" s="0" t="s">
        <v>254</v>
      </c>
      <c r="I129" s="0" t="s">
        <v>79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s">
        <v>29</v>
      </c>
      <c r="D130" s="0" t="s">
        <v>76</v>
      </c>
      <c r="E130" s="0" t="s">
        <v>77</v>
      </c>
      <c r="F130" s="0" t="s">
        <v>416</v>
      </c>
      <c r="G130" s="0" t="s">
        <v>417</v>
      </c>
      <c r="I130" s="0" t="s">
        <v>79</v>
      </c>
    </row>
    <row r="131" customFormat="false" ht="15" hidden="false" customHeight="false" outlineLevel="0" collapsed="false">
      <c r="A131" s="0" t="n">
        <v>130</v>
      </c>
      <c r="B131" s="0" t="s">
        <v>75</v>
      </c>
      <c r="C131" s="0" t="s">
        <v>29</v>
      </c>
      <c r="D131" s="0" t="s">
        <v>76</v>
      </c>
      <c r="E131" s="0" t="s">
        <v>77</v>
      </c>
      <c r="F131" s="0" t="s">
        <v>418</v>
      </c>
      <c r="G131" s="0" t="s">
        <v>419</v>
      </c>
      <c r="I131" s="0" t="s">
        <v>79</v>
      </c>
    </row>
    <row r="132" customFormat="false" ht="15" hidden="false" customHeight="false" outlineLevel="0" collapsed="false">
      <c r="A132" s="0" t="n">
        <v>131</v>
      </c>
      <c r="B132" s="0" t="s">
        <v>75</v>
      </c>
      <c r="C132" s="0" t="s">
        <v>29</v>
      </c>
      <c r="D132" s="0" t="s">
        <v>76</v>
      </c>
      <c r="E132" s="0" t="s">
        <v>77</v>
      </c>
      <c r="F132" s="0" t="s">
        <v>420</v>
      </c>
      <c r="G132" s="0" t="s">
        <v>421</v>
      </c>
      <c r="I132" s="0" t="s">
        <v>79</v>
      </c>
    </row>
    <row r="133" customFormat="false" ht="15" hidden="false" customHeight="false" outlineLevel="0" collapsed="false">
      <c r="A133" s="0" t="n">
        <v>132</v>
      </c>
      <c r="B133" s="0" t="s">
        <v>80</v>
      </c>
      <c r="C133" s="0" t="s">
        <v>10</v>
      </c>
      <c r="D133" s="0" t="s">
        <v>81</v>
      </c>
      <c r="E133" s="0" t="s">
        <v>82</v>
      </c>
      <c r="F133" s="0" t="s">
        <v>422</v>
      </c>
      <c r="G133" s="0" t="s">
        <v>423</v>
      </c>
      <c r="I133" s="0" t="s">
        <v>84</v>
      </c>
    </row>
    <row r="134" customFormat="false" ht="15" hidden="false" customHeight="false" outlineLevel="0" collapsed="false">
      <c r="A134" s="0" t="n">
        <v>133</v>
      </c>
      <c r="B134" s="0" t="s">
        <v>80</v>
      </c>
      <c r="C134" s="0" t="s">
        <v>10</v>
      </c>
      <c r="D134" s="0" t="s">
        <v>81</v>
      </c>
      <c r="E134" s="0" t="s">
        <v>82</v>
      </c>
      <c r="F134" s="0" t="s">
        <v>424</v>
      </c>
      <c r="G134" s="0" t="s">
        <v>425</v>
      </c>
      <c r="I134" s="0" t="s">
        <v>84</v>
      </c>
    </row>
    <row r="135" customFormat="false" ht="15" hidden="false" customHeight="false" outlineLevel="0" collapsed="false">
      <c r="A135" s="0" t="n">
        <v>134</v>
      </c>
      <c r="B135" s="0" t="s">
        <v>80</v>
      </c>
      <c r="C135" s="0" t="s">
        <v>10</v>
      </c>
      <c r="D135" s="0" t="s">
        <v>81</v>
      </c>
      <c r="E135" s="0" t="s">
        <v>82</v>
      </c>
      <c r="F135" s="0" t="s">
        <v>378</v>
      </c>
      <c r="G135" s="0" t="s">
        <v>426</v>
      </c>
      <c r="I135" s="0" t="s">
        <v>84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s">
        <v>10</v>
      </c>
      <c r="D136" s="0" t="s">
        <v>81</v>
      </c>
      <c r="E136" s="0" t="s">
        <v>82</v>
      </c>
      <c r="F136" s="0" t="s">
        <v>427</v>
      </c>
      <c r="G136" s="0" t="s">
        <v>428</v>
      </c>
      <c r="I136" s="0" t="s">
        <v>84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s">
        <v>10</v>
      </c>
      <c r="D137" s="0" t="s">
        <v>81</v>
      </c>
      <c r="E137" s="0" t="s">
        <v>82</v>
      </c>
      <c r="F137" s="0" t="s">
        <v>429</v>
      </c>
      <c r="G137" s="0" t="s">
        <v>430</v>
      </c>
      <c r="I137" s="0" t="s">
        <v>84</v>
      </c>
    </row>
    <row r="138" customFormat="false" ht="15" hidden="false" customHeight="false" outlineLevel="0" collapsed="false">
      <c r="A138" s="0" t="n">
        <v>137</v>
      </c>
      <c r="B138" s="0" t="s">
        <v>80</v>
      </c>
      <c r="C138" s="0" t="s">
        <v>10</v>
      </c>
      <c r="D138" s="0" t="s">
        <v>81</v>
      </c>
      <c r="E138" s="0" t="s">
        <v>82</v>
      </c>
      <c r="F138" s="0" t="s">
        <v>431</v>
      </c>
      <c r="G138" s="0" t="s">
        <v>254</v>
      </c>
      <c r="I138" s="0" t="s">
        <v>84</v>
      </c>
    </row>
    <row r="139" customFormat="false" ht="15" hidden="false" customHeight="false" outlineLevel="0" collapsed="false">
      <c r="A139" s="0" t="n">
        <v>138</v>
      </c>
      <c r="B139" s="0" t="s">
        <v>85</v>
      </c>
      <c r="C139" s="0" t="s">
        <v>86</v>
      </c>
      <c r="D139" s="0" t="s">
        <v>87</v>
      </c>
      <c r="E139" s="0" t="s">
        <v>88</v>
      </c>
      <c r="F139" s="0" t="s">
        <v>432</v>
      </c>
      <c r="G139" s="0" t="s">
        <v>254</v>
      </c>
      <c r="I139" s="0" t="s">
        <v>255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s">
        <v>86</v>
      </c>
      <c r="D140" s="0" t="s">
        <v>87</v>
      </c>
      <c r="E140" s="0" t="s">
        <v>88</v>
      </c>
      <c r="F140" s="0" t="s">
        <v>433</v>
      </c>
      <c r="G140" s="0" t="s">
        <v>254</v>
      </c>
      <c r="I140" s="0" t="s">
        <v>255</v>
      </c>
    </row>
    <row r="141" customFormat="false" ht="15" hidden="false" customHeight="false" outlineLevel="0" collapsed="false">
      <c r="A141" s="0" t="n">
        <v>140</v>
      </c>
      <c r="B141" s="0" t="s">
        <v>85</v>
      </c>
      <c r="C141" s="0" t="s">
        <v>86</v>
      </c>
      <c r="D141" s="0" t="s">
        <v>87</v>
      </c>
      <c r="E141" s="0" t="s">
        <v>88</v>
      </c>
      <c r="F141" s="0" t="s">
        <v>434</v>
      </c>
      <c r="G141" s="0" t="s">
        <v>254</v>
      </c>
      <c r="I141" s="0" t="s">
        <v>255</v>
      </c>
    </row>
    <row r="142" customFormat="false" ht="15" hidden="false" customHeight="false" outlineLevel="0" collapsed="false">
      <c r="A142" s="0" t="n">
        <v>141</v>
      </c>
      <c r="B142" s="0" t="s">
        <v>85</v>
      </c>
      <c r="C142" s="0" t="s">
        <v>86</v>
      </c>
      <c r="D142" s="0" t="s">
        <v>87</v>
      </c>
      <c r="E142" s="0" t="s">
        <v>88</v>
      </c>
      <c r="F142" s="0" t="s">
        <v>435</v>
      </c>
      <c r="G142" s="0" t="s">
        <v>254</v>
      </c>
      <c r="I142" s="0" t="s">
        <v>255</v>
      </c>
    </row>
    <row r="143" customFormat="false" ht="15" hidden="false" customHeight="false" outlineLevel="0" collapsed="false">
      <c r="A143" s="0" t="n">
        <v>142</v>
      </c>
      <c r="B143" s="0" t="s">
        <v>85</v>
      </c>
      <c r="C143" s="0" t="s">
        <v>86</v>
      </c>
      <c r="D143" s="0" t="s">
        <v>87</v>
      </c>
      <c r="E143" s="0" t="s">
        <v>88</v>
      </c>
      <c r="F143" s="0" t="s">
        <v>436</v>
      </c>
      <c r="G143" s="0" t="s">
        <v>254</v>
      </c>
      <c r="I143" s="0" t="s">
        <v>255</v>
      </c>
    </row>
    <row r="144" customFormat="false" ht="15" hidden="false" customHeight="false" outlineLevel="0" collapsed="false">
      <c r="A144" s="0" t="n">
        <v>143</v>
      </c>
      <c r="B144" s="0" t="s">
        <v>85</v>
      </c>
      <c r="C144" s="0" t="s">
        <v>86</v>
      </c>
      <c r="D144" s="0" t="s">
        <v>87</v>
      </c>
      <c r="E144" s="0" t="s">
        <v>88</v>
      </c>
      <c r="F144" s="0" t="s">
        <v>437</v>
      </c>
      <c r="G144" s="0" t="s">
        <v>254</v>
      </c>
      <c r="I144" s="0" t="s">
        <v>255</v>
      </c>
    </row>
    <row r="145" customFormat="false" ht="15" hidden="false" customHeight="false" outlineLevel="0" collapsed="false">
      <c r="A145" s="0" t="n">
        <v>144</v>
      </c>
      <c r="B145" s="0" t="s">
        <v>91</v>
      </c>
      <c r="C145" s="0" t="s">
        <v>92</v>
      </c>
      <c r="D145" s="0" t="s">
        <v>93</v>
      </c>
      <c r="E145" s="0" t="s">
        <v>94</v>
      </c>
      <c r="F145" s="0" t="s">
        <v>438</v>
      </c>
      <c r="G145" s="0" t="s">
        <v>254</v>
      </c>
      <c r="I145" s="0" t="s">
        <v>96</v>
      </c>
    </row>
    <row r="146" customFormat="false" ht="15" hidden="false" customHeight="false" outlineLevel="0" collapsed="false">
      <c r="A146" s="0" t="n">
        <v>145</v>
      </c>
      <c r="B146" s="0" t="s">
        <v>91</v>
      </c>
      <c r="C146" s="0" t="s">
        <v>92</v>
      </c>
      <c r="D146" s="0" t="s">
        <v>93</v>
      </c>
      <c r="E146" s="0" t="s">
        <v>94</v>
      </c>
      <c r="F146" s="0" t="s">
        <v>439</v>
      </c>
      <c r="G146" s="0" t="s">
        <v>254</v>
      </c>
      <c r="I146" s="0" t="s">
        <v>96</v>
      </c>
    </row>
    <row r="147" customFormat="false" ht="15" hidden="false" customHeight="false" outlineLevel="0" collapsed="false">
      <c r="A147" s="0" t="n">
        <v>146</v>
      </c>
      <c r="B147" s="0" t="s">
        <v>91</v>
      </c>
      <c r="C147" s="0" t="s">
        <v>92</v>
      </c>
      <c r="D147" s="0" t="s">
        <v>93</v>
      </c>
      <c r="E147" s="0" t="s">
        <v>94</v>
      </c>
      <c r="F147" s="0" t="s">
        <v>440</v>
      </c>
      <c r="G147" s="0" t="s">
        <v>441</v>
      </c>
      <c r="I147" s="0" t="s">
        <v>96</v>
      </c>
    </row>
    <row r="148" customFormat="false" ht="15" hidden="false" customHeight="false" outlineLevel="0" collapsed="false">
      <c r="A148" s="0" t="n">
        <v>147</v>
      </c>
      <c r="B148" s="0" t="s">
        <v>91</v>
      </c>
      <c r="C148" s="0" t="s">
        <v>92</v>
      </c>
      <c r="D148" s="0" t="s">
        <v>93</v>
      </c>
      <c r="E148" s="0" t="s">
        <v>94</v>
      </c>
      <c r="F148" s="0" t="s">
        <v>442</v>
      </c>
      <c r="G148" s="0" t="s">
        <v>254</v>
      </c>
      <c r="I148" s="0" t="s">
        <v>96</v>
      </c>
    </row>
    <row r="149" customFormat="false" ht="15" hidden="false" customHeight="false" outlineLevel="0" collapsed="false">
      <c r="A149" s="0" t="n">
        <v>148</v>
      </c>
      <c r="B149" s="0" t="s">
        <v>91</v>
      </c>
      <c r="C149" s="0" t="s">
        <v>92</v>
      </c>
      <c r="D149" s="0" t="s">
        <v>93</v>
      </c>
      <c r="E149" s="0" t="s">
        <v>94</v>
      </c>
      <c r="F149" s="0" t="s">
        <v>443</v>
      </c>
      <c r="G149" s="0" t="s">
        <v>254</v>
      </c>
      <c r="I149" s="0" t="s">
        <v>96</v>
      </c>
    </row>
    <row r="150" customFormat="false" ht="15" hidden="false" customHeight="false" outlineLevel="0" collapsed="false">
      <c r="A150" s="0" t="n">
        <v>149</v>
      </c>
      <c r="B150" s="0" t="s">
        <v>91</v>
      </c>
      <c r="C150" s="0" t="s">
        <v>92</v>
      </c>
      <c r="D150" s="0" t="s">
        <v>93</v>
      </c>
      <c r="E150" s="0" t="s">
        <v>94</v>
      </c>
      <c r="F150" s="0" t="s">
        <v>444</v>
      </c>
      <c r="G150" s="0" t="s">
        <v>254</v>
      </c>
      <c r="I150" s="0" t="s">
        <v>96</v>
      </c>
    </row>
    <row r="151" customFormat="false" ht="15" hidden="false" customHeight="false" outlineLevel="0" collapsed="false">
      <c r="A151" s="0" t="n">
        <v>150</v>
      </c>
      <c r="B151" s="0" t="s">
        <v>91</v>
      </c>
      <c r="C151" s="0" t="s">
        <v>92</v>
      </c>
      <c r="D151" s="0" t="s">
        <v>93</v>
      </c>
      <c r="E151" s="0" t="s">
        <v>94</v>
      </c>
      <c r="F151" s="0" t="s">
        <v>303</v>
      </c>
      <c r="G151" s="0" t="s">
        <v>254</v>
      </c>
      <c r="I151" s="0" t="s">
        <v>96</v>
      </c>
    </row>
    <row r="152" customFormat="false" ht="15" hidden="false" customHeight="false" outlineLevel="0" collapsed="false">
      <c r="A152" s="0" t="n">
        <v>151</v>
      </c>
      <c r="B152" s="0" t="s">
        <v>91</v>
      </c>
      <c r="C152" s="0" t="s">
        <v>92</v>
      </c>
      <c r="D152" s="0" t="s">
        <v>93</v>
      </c>
      <c r="E152" s="0" t="s">
        <v>94</v>
      </c>
      <c r="F152" s="0" t="s">
        <v>445</v>
      </c>
      <c r="G152" s="0" t="s">
        <v>254</v>
      </c>
      <c r="I152" s="0" t="s">
        <v>96</v>
      </c>
    </row>
    <row r="153" customFormat="false" ht="15" hidden="false" customHeight="false" outlineLevel="0" collapsed="false">
      <c r="A153" s="0" t="n">
        <v>152</v>
      </c>
      <c r="B153" s="0" t="s">
        <v>91</v>
      </c>
      <c r="C153" s="0" t="s">
        <v>92</v>
      </c>
      <c r="D153" s="0" t="s">
        <v>93</v>
      </c>
      <c r="E153" s="0" t="s">
        <v>94</v>
      </c>
      <c r="F153" s="0" t="s">
        <v>446</v>
      </c>
      <c r="G153" s="0" t="s">
        <v>254</v>
      </c>
      <c r="I153" s="0" t="s">
        <v>96</v>
      </c>
    </row>
    <row r="154" customFormat="false" ht="15" hidden="false" customHeight="false" outlineLevel="0" collapsed="false">
      <c r="A154" s="0" t="n">
        <v>153</v>
      </c>
      <c r="B154" s="0" t="s">
        <v>91</v>
      </c>
      <c r="C154" s="0" t="s">
        <v>92</v>
      </c>
      <c r="D154" s="0" t="s">
        <v>93</v>
      </c>
      <c r="E154" s="0" t="s">
        <v>94</v>
      </c>
      <c r="F154" s="0" t="s">
        <v>447</v>
      </c>
      <c r="G154" s="0" t="s">
        <v>254</v>
      </c>
      <c r="I154" s="0" t="s">
        <v>96</v>
      </c>
    </row>
    <row r="155" customFormat="false" ht="15" hidden="false" customHeight="false" outlineLevel="0" collapsed="false">
      <c r="A155" s="0" t="n">
        <v>154</v>
      </c>
      <c r="B155" s="0" t="s">
        <v>97</v>
      </c>
      <c r="C155" s="0" t="s">
        <v>10</v>
      </c>
      <c r="D155" s="0" t="s">
        <v>448</v>
      </c>
      <c r="E155" s="0" t="s">
        <v>99</v>
      </c>
      <c r="F155" s="0" t="s">
        <v>253</v>
      </c>
      <c r="G155" s="0" t="s">
        <v>449</v>
      </c>
      <c r="I155" s="0" t="s">
        <v>255</v>
      </c>
    </row>
    <row r="156" customFormat="false" ht="15" hidden="false" customHeight="false" outlineLevel="0" collapsed="false">
      <c r="A156" s="0" t="n">
        <v>155</v>
      </c>
      <c r="B156" s="0" t="s">
        <v>97</v>
      </c>
      <c r="C156" s="0" t="s">
        <v>10</v>
      </c>
      <c r="D156" s="0" t="s">
        <v>448</v>
      </c>
      <c r="E156" s="0" t="s">
        <v>99</v>
      </c>
      <c r="F156" s="0" t="s">
        <v>450</v>
      </c>
      <c r="G156" s="0" t="s">
        <v>254</v>
      </c>
      <c r="I156" s="0" t="s">
        <v>255</v>
      </c>
    </row>
    <row r="157" customFormat="false" ht="15" hidden="false" customHeight="false" outlineLevel="0" collapsed="false">
      <c r="A157" s="0" t="n">
        <v>156</v>
      </c>
      <c r="B157" s="0" t="s">
        <v>97</v>
      </c>
      <c r="C157" s="0" t="s">
        <v>10</v>
      </c>
      <c r="D157" s="0" t="s">
        <v>448</v>
      </c>
      <c r="E157" s="0" t="s">
        <v>99</v>
      </c>
      <c r="F157" s="0" t="s">
        <v>256</v>
      </c>
      <c r="G157" s="0" t="s">
        <v>254</v>
      </c>
      <c r="I157" s="0" t="s">
        <v>255</v>
      </c>
    </row>
    <row r="158" customFormat="false" ht="15" hidden="false" customHeight="false" outlineLevel="0" collapsed="false">
      <c r="A158" s="0" t="n">
        <v>157</v>
      </c>
      <c r="B158" s="0" t="s">
        <v>97</v>
      </c>
      <c r="C158" s="0" t="s">
        <v>10</v>
      </c>
      <c r="D158" s="0" t="s">
        <v>448</v>
      </c>
      <c r="E158" s="0" t="s">
        <v>99</v>
      </c>
      <c r="F158" s="0" t="s">
        <v>327</v>
      </c>
      <c r="G158" s="0" t="s">
        <v>254</v>
      </c>
      <c r="I158" s="0" t="s">
        <v>255</v>
      </c>
    </row>
    <row r="159" customFormat="false" ht="15" hidden="false" customHeight="false" outlineLevel="0" collapsed="false">
      <c r="A159" s="0" t="n">
        <v>158</v>
      </c>
      <c r="B159" s="0" t="s">
        <v>97</v>
      </c>
      <c r="C159" s="0" t="s">
        <v>10</v>
      </c>
      <c r="D159" s="0" t="s">
        <v>448</v>
      </c>
      <c r="E159" s="0" t="s">
        <v>99</v>
      </c>
      <c r="F159" s="0" t="s">
        <v>451</v>
      </c>
      <c r="G159" s="0" t="s">
        <v>254</v>
      </c>
      <c r="I159" s="0" t="s">
        <v>255</v>
      </c>
    </row>
    <row r="160" customFormat="false" ht="15" hidden="false" customHeight="false" outlineLevel="0" collapsed="false">
      <c r="A160" s="0" t="n">
        <v>159</v>
      </c>
      <c r="B160" s="0" t="s">
        <v>97</v>
      </c>
      <c r="C160" s="0" t="s">
        <v>10</v>
      </c>
      <c r="D160" s="0" t="s">
        <v>448</v>
      </c>
      <c r="E160" s="0" t="s">
        <v>99</v>
      </c>
      <c r="F160" s="0" t="s">
        <v>452</v>
      </c>
      <c r="G160" s="0" t="s">
        <v>254</v>
      </c>
      <c r="I160" s="0" t="s">
        <v>255</v>
      </c>
    </row>
    <row r="161" customFormat="false" ht="15" hidden="false" customHeight="false" outlineLevel="0" collapsed="false">
      <c r="A161" s="0" t="n">
        <v>160</v>
      </c>
      <c r="B161" s="0" t="s">
        <v>97</v>
      </c>
      <c r="C161" s="0" t="s">
        <v>10</v>
      </c>
      <c r="D161" s="0" t="s">
        <v>448</v>
      </c>
      <c r="E161" s="0" t="s">
        <v>99</v>
      </c>
      <c r="F161" s="0" t="s">
        <v>453</v>
      </c>
      <c r="G161" s="0" t="s">
        <v>254</v>
      </c>
      <c r="I161" s="0" t="s">
        <v>255</v>
      </c>
    </row>
    <row r="162" customFormat="false" ht="15" hidden="false" customHeight="false" outlineLevel="0" collapsed="false">
      <c r="A162" s="0" t="n">
        <v>161</v>
      </c>
      <c r="B162" s="0" t="s">
        <v>97</v>
      </c>
      <c r="C162" s="0" t="s">
        <v>10</v>
      </c>
      <c r="D162" s="0" t="s">
        <v>448</v>
      </c>
      <c r="E162" s="0" t="s">
        <v>99</v>
      </c>
      <c r="F162" s="0" t="s">
        <v>454</v>
      </c>
      <c r="G162" s="0" t="s">
        <v>254</v>
      </c>
      <c r="I162" s="0" t="s">
        <v>255</v>
      </c>
    </row>
    <row r="163" customFormat="false" ht="15" hidden="false" customHeight="false" outlineLevel="0" collapsed="false">
      <c r="A163" s="0" t="n">
        <v>162</v>
      </c>
      <c r="B163" s="0" t="s">
        <v>97</v>
      </c>
      <c r="C163" s="0" t="s">
        <v>10</v>
      </c>
      <c r="D163" s="0" t="s">
        <v>448</v>
      </c>
      <c r="E163" s="0" t="s">
        <v>99</v>
      </c>
      <c r="F163" s="0" t="s">
        <v>455</v>
      </c>
      <c r="G163" s="0" t="s">
        <v>254</v>
      </c>
      <c r="I163" s="0" t="s">
        <v>255</v>
      </c>
    </row>
    <row r="164" customFormat="false" ht="15" hidden="false" customHeight="false" outlineLevel="0" collapsed="false">
      <c r="A164" s="0" t="n">
        <v>163</v>
      </c>
      <c r="B164" s="0" t="s">
        <v>97</v>
      </c>
      <c r="C164" s="0" t="s">
        <v>10</v>
      </c>
      <c r="D164" s="0" t="s">
        <v>448</v>
      </c>
      <c r="E164" s="0" t="s">
        <v>99</v>
      </c>
      <c r="F164" s="0" t="s">
        <v>456</v>
      </c>
      <c r="G164" s="0" t="s">
        <v>254</v>
      </c>
      <c r="I164" s="0" t="s">
        <v>255</v>
      </c>
    </row>
    <row r="165" customFormat="false" ht="15" hidden="false" customHeight="false" outlineLevel="0" collapsed="false">
      <c r="A165" s="0" t="n">
        <v>164</v>
      </c>
      <c r="B165" s="0" t="s">
        <v>97</v>
      </c>
      <c r="C165" s="0" t="s">
        <v>10</v>
      </c>
      <c r="D165" s="0" t="s">
        <v>448</v>
      </c>
      <c r="E165" s="0" t="s">
        <v>99</v>
      </c>
      <c r="F165" s="0" t="s">
        <v>457</v>
      </c>
      <c r="G165" s="0" t="s">
        <v>254</v>
      </c>
      <c r="I165" s="0" t="s">
        <v>255</v>
      </c>
    </row>
    <row r="166" customFormat="false" ht="15" hidden="false" customHeight="false" outlineLevel="0" collapsed="false">
      <c r="A166" s="0" t="n">
        <v>165</v>
      </c>
      <c r="B166" s="0" t="s">
        <v>97</v>
      </c>
      <c r="C166" s="0" t="s">
        <v>10</v>
      </c>
      <c r="D166" s="0" t="s">
        <v>448</v>
      </c>
      <c r="E166" s="0" t="s">
        <v>99</v>
      </c>
      <c r="F166" s="0" t="s">
        <v>440</v>
      </c>
      <c r="G166" s="0" t="s">
        <v>254</v>
      </c>
      <c r="I166" s="0" t="s">
        <v>255</v>
      </c>
    </row>
    <row r="167" customFormat="false" ht="15" hidden="false" customHeight="false" outlineLevel="0" collapsed="false">
      <c r="A167" s="0" t="n">
        <v>166</v>
      </c>
      <c r="B167" s="0" t="s">
        <v>97</v>
      </c>
      <c r="C167" s="0" t="s">
        <v>10</v>
      </c>
      <c r="D167" s="0" t="s">
        <v>448</v>
      </c>
      <c r="E167" s="0" t="s">
        <v>99</v>
      </c>
      <c r="F167" s="0" t="s">
        <v>329</v>
      </c>
      <c r="G167" s="0" t="s">
        <v>254</v>
      </c>
      <c r="I167" s="0" t="s">
        <v>255</v>
      </c>
    </row>
    <row r="168" customFormat="false" ht="15" hidden="false" customHeight="false" outlineLevel="0" collapsed="false">
      <c r="A168" s="0" t="n">
        <v>167</v>
      </c>
      <c r="B168" s="0" t="s">
        <v>97</v>
      </c>
      <c r="C168" s="0" t="s">
        <v>10</v>
      </c>
      <c r="D168" s="0" t="s">
        <v>448</v>
      </c>
      <c r="E168" s="0" t="s">
        <v>99</v>
      </c>
      <c r="F168" s="0" t="s">
        <v>458</v>
      </c>
      <c r="G168" s="0" t="s">
        <v>254</v>
      </c>
      <c r="I168" s="0" t="s">
        <v>255</v>
      </c>
    </row>
    <row r="169" customFormat="false" ht="15" hidden="false" customHeight="false" outlineLevel="0" collapsed="false">
      <c r="A169" s="0" t="n">
        <v>168</v>
      </c>
      <c r="B169" s="0" t="s">
        <v>97</v>
      </c>
      <c r="C169" s="0" t="s">
        <v>10</v>
      </c>
      <c r="D169" s="0" t="s">
        <v>448</v>
      </c>
      <c r="E169" s="0" t="s">
        <v>99</v>
      </c>
      <c r="F169" s="0" t="s">
        <v>303</v>
      </c>
      <c r="G169" s="0" t="s">
        <v>254</v>
      </c>
      <c r="I169" s="0" t="s">
        <v>255</v>
      </c>
    </row>
    <row r="170" customFormat="false" ht="15" hidden="false" customHeight="false" outlineLevel="0" collapsed="false">
      <c r="A170" s="0" t="n">
        <v>169</v>
      </c>
      <c r="B170" s="0" t="s">
        <v>97</v>
      </c>
      <c r="C170" s="0" t="s">
        <v>10</v>
      </c>
      <c r="D170" s="0" t="s">
        <v>448</v>
      </c>
      <c r="E170" s="0" t="s">
        <v>99</v>
      </c>
      <c r="F170" s="0" t="s">
        <v>459</v>
      </c>
      <c r="G170" s="0" t="s">
        <v>254</v>
      </c>
      <c r="I170" s="0" t="s">
        <v>255</v>
      </c>
    </row>
    <row r="171" customFormat="false" ht="15" hidden="false" customHeight="false" outlineLevel="0" collapsed="false">
      <c r="A171" s="0" t="n">
        <v>170</v>
      </c>
      <c r="B171" s="0" t="s">
        <v>97</v>
      </c>
      <c r="C171" s="0" t="s">
        <v>10</v>
      </c>
      <c r="D171" s="0" t="s">
        <v>448</v>
      </c>
      <c r="E171" s="0" t="s">
        <v>99</v>
      </c>
      <c r="F171" s="0" t="s">
        <v>460</v>
      </c>
      <c r="G171" s="0" t="s">
        <v>254</v>
      </c>
      <c r="I171" s="0" t="s">
        <v>255</v>
      </c>
    </row>
    <row r="172" customFormat="false" ht="15" hidden="false" customHeight="false" outlineLevel="0" collapsed="false">
      <c r="A172" s="0" t="n">
        <v>171</v>
      </c>
      <c r="B172" s="0" t="s">
        <v>97</v>
      </c>
      <c r="C172" s="0" t="s">
        <v>10</v>
      </c>
      <c r="D172" s="0" t="s">
        <v>448</v>
      </c>
      <c r="E172" s="0" t="s">
        <v>99</v>
      </c>
      <c r="F172" s="0" t="s">
        <v>461</v>
      </c>
      <c r="G172" s="0" t="s">
        <v>254</v>
      </c>
      <c r="I172" s="0" t="s">
        <v>255</v>
      </c>
    </row>
    <row r="173" customFormat="false" ht="15" hidden="false" customHeight="false" outlineLevel="0" collapsed="false">
      <c r="A173" s="0" t="n">
        <v>172</v>
      </c>
      <c r="B173" s="0" t="s">
        <v>97</v>
      </c>
      <c r="C173" s="0" t="s">
        <v>10</v>
      </c>
      <c r="D173" s="0" t="s">
        <v>448</v>
      </c>
      <c r="E173" s="0" t="s">
        <v>99</v>
      </c>
      <c r="F173" s="0" t="s">
        <v>462</v>
      </c>
      <c r="G173" s="0" t="s">
        <v>254</v>
      </c>
      <c r="I173" s="0" t="s">
        <v>255</v>
      </c>
    </row>
    <row r="174" customFormat="false" ht="15" hidden="false" customHeight="false" outlineLevel="0" collapsed="false">
      <c r="A174" s="0" t="n">
        <v>173</v>
      </c>
      <c r="B174" s="0" t="s">
        <v>97</v>
      </c>
      <c r="C174" s="0" t="s">
        <v>10</v>
      </c>
      <c r="D174" s="0" t="s">
        <v>448</v>
      </c>
      <c r="E174" s="0" t="s">
        <v>99</v>
      </c>
      <c r="F174" s="0" t="s">
        <v>463</v>
      </c>
      <c r="G174" s="0" t="s">
        <v>254</v>
      </c>
      <c r="I174" s="0" t="s">
        <v>255</v>
      </c>
    </row>
    <row r="175" customFormat="false" ht="15" hidden="false" customHeight="false" outlineLevel="0" collapsed="false">
      <c r="A175" s="0" t="n">
        <v>174</v>
      </c>
      <c r="B175" s="0" t="s">
        <v>97</v>
      </c>
      <c r="C175" s="0" t="s">
        <v>10</v>
      </c>
      <c r="D175" s="0" t="s">
        <v>448</v>
      </c>
      <c r="E175" s="0" t="s">
        <v>99</v>
      </c>
      <c r="F175" s="0" t="s">
        <v>464</v>
      </c>
      <c r="G175" s="0" t="s">
        <v>254</v>
      </c>
      <c r="I175" s="0" t="s">
        <v>255</v>
      </c>
    </row>
    <row r="176" customFormat="false" ht="15" hidden="false" customHeight="false" outlineLevel="0" collapsed="false">
      <c r="A176" s="0" t="n">
        <v>175</v>
      </c>
      <c r="B176" s="0" t="s">
        <v>97</v>
      </c>
      <c r="C176" s="0" t="s">
        <v>10</v>
      </c>
      <c r="D176" s="0" t="s">
        <v>448</v>
      </c>
      <c r="E176" s="0" t="s">
        <v>99</v>
      </c>
      <c r="F176" s="0" t="s">
        <v>465</v>
      </c>
      <c r="G176" s="0" t="s">
        <v>254</v>
      </c>
      <c r="I176" s="0" t="s">
        <v>255</v>
      </c>
    </row>
    <row r="177" customFormat="false" ht="15" hidden="false" customHeight="false" outlineLevel="0" collapsed="false">
      <c r="A177" s="0" t="n">
        <v>176</v>
      </c>
      <c r="B177" s="0" t="s">
        <v>97</v>
      </c>
      <c r="C177" s="0" t="s">
        <v>10</v>
      </c>
      <c r="D177" s="0" t="s">
        <v>448</v>
      </c>
      <c r="E177" s="0" t="s">
        <v>99</v>
      </c>
      <c r="F177" s="0" t="s">
        <v>466</v>
      </c>
      <c r="G177" s="0" t="s">
        <v>254</v>
      </c>
      <c r="I177" s="0" t="s">
        <v>255</v>
      </c>
    </row>
    <row r="178" customFormat="false" ht="15" hidden="false" customHeight="false" outlineLevel="0" collapsed="false">
      <c r="A178" s="0" t="n">
        <v>177</v>
      </c>
      <c r="B178" s="0" t="s">
        <v>97</v>
      </c>
      <c r="C178" s="0" t="s">
        <v>10</v>
      </c>
      <c r="D178" s="0" t="s">
        <v>448</v>
      </c>
      <c r="E178" s="0" t="s">
        <v>99</v>
      </c>
      <c r="F178" s="0" t="s">
        <v>467</v>
      </c>
      <c r="G178" s="0" t="s">
        <v>254</v>
      </c>
      <c r="I178" s="0" t="s">
        <v>255</v>
      </c>
    </row>
    <row r="179" customFormat="false" ht="15" hidden="false" customHeight="false" outlineLevel="0" collapsed="false">
      <c r="A179" s="0" t="n">
        <v>178</v>
      </c>
      <c r="B179" s="0" t="s">
        <v>97</v>
      </c>
      <c r="C179" s="0" t="s">
        <v>10</v>
      </c>
      <c r="D179" s="0" t="s">
        <v>448</v>
      </c>
      <c r="E179" s="0" t="s">
        <v>99</v>
      </c>
      <c r="F179" s="0" t="s">
        <v>468</v>
      </c>
      <c r="G179" s="0" t="s">
        <v>254</v>
      </c>
      <c r="I179" s="0" t="s">
        <v>255</v>
      </c>
    </row>
    <row r="180" customFormat="false" ht="15" hidden="false" customHeight="false" outlineLevel="0" collapsed="false">
      <c r="A180" s="0" t="n">
        <v>179</v>
      </c>
      <c r="B180" s="0" t="s">
        <v>97</v>
      </c>
      <c r="C180" s="0" t="s">
        <v>10</v>
      </c>
      <c r="D180" s="0" t="s">
        <v>448</v>
      </c>
      <c r="E180" s="0" t="s">
        <v>99</v>
      </c>
      <c r="F180" s="0" t="s">
        <v>469</v>
      </c>
      <c r="G180" s="0" t="s">
        <v>254</v>
      </c>
      <c r="I180" s="0" t="s">
        <v>255</v>
      </c>
    </row>
    <row r="181" customFormat="false" ht="15" hidden="false" customHeight="false" outlineLevel="0" collapsed="false">
      <c r="A181" s="0" t="n">
        <v>180</v>
      </c>
      <c r="B181" s="0" t="s">
        <v>97</v>
      </c>
      <c r="C181" s="0" t="s">
        <v>10</v>
      </c>
      <c r="D181" s="0" t="s">
        <v>448</v>
      </c>
      <c r="E181" s="0" t="s">
        <v>99</v>
      </c>
      <c r="F181" s="0" t="s">
        <v>282</v>
      </c>
      <c r="G181" s="0" t="s">
        <v>254</v>
      </c>
      <c r="I181" s="0" t="s">
        <v>255</v>
      </c>
    </row>
    <row r="182" customFormat="false" ht="15" hidden="false" customHeight="false" outlineLevel="0" collapsed="false">
      <c r="A182" s="0" t="n">
        <v>181</v>
      </c>
      <c r="B182" s="0" t="s">
        <v>97</v>
      </c>
      <c r="C182" s="0" t="s">
        <v>10</v>
      </c>
      <c r="D182" s="0" t="s">
        <v>448</v>
      </c>
      <c r="E182" s="0" t="s">
        <v>99</v>
      </c>
      <c r="F182" s="0" t="s">
        <v>470</v>
      </c>
      <c r="G182" s="0" t="s">
        <v>254</v>
      </c>
      <c r="I182" s="0" t="s">
        <v>255</v>
      </c>
    </row>
    <row r="183" customFormat="false" ht="15" hidden="false" customHeight="false" outlineLevel="0" collapsed="false">
      <c r="A183" s="0" t="n">
        <v>182</v>
      </c>
      <c r="B183" s="0" t="s">
        <v>97</v>
      </c>
      <c r="C183" s="0" t="s">
        <v>10</v>
      </c>
      <c r="D183" s="0" t="s">
        <v>448</v>
      </c>
      <c r="E183" s="0" t="s">
        <v>99</v>
      </c>
      <c r="F183" s="0" t="s">
        <v>471</v>
      </c>
      <c r="G183" s="0" t="s">
        <v>254</v>
      </c>
      <c r="I183" s="0" t="s">
        <v>255</v>
      </c>
    </row>
    <row r="184" customFormat="false" ht="15" hidden="false" customHeight="false" outlineLevel="0" collapsed="false">
      <c r="A184" s="0" t="n">
        <v>183</v>
      </c>
      <c r="B184" s="0" t="s">
        <v>97</v>
      </c>
      <c r="C184" s="0" t="s">
        <v>10</v>
      </c>
      <c r="D184" s="0" t="s">
        <v>448</v>
      </c>
      <c r="E184" s="0" t="s">
        <v>99</v>
      </c>
      <c r="F184" s="0" t="s">
        <v>472</v>
      </c>
      <c r="G184" s="0" t="s">
        <v>254</v>
      </c>
      <c r="I184" s="0" t="s">
        <v>255</v>
      </c>
    </row>
    <row r="185" customFormat="false" ht="15" hidden="false" customHeight="false" outlineLevel="0" collapsed="false">
      <c r="A185" s="0" t="n">
        <v>184</v>
      </c>
      <c r="B185" s="0" t="s">
        <v>97</v>
      </c>
      <c r="C185" s="0" t="s">
        <v>10</v>
      </c>
      <c r="D185" s="0" t="s">
        <v>448</v>
      </c>
      <c r="E185" s="0" t="s">
        <v>99</v>
      </c>
      <c r="F185" s="0" t="s">
        <v>435</v>
      </c>
      <c r="G185" s="0" t="s">
        <v>254</v>
      </c>
      <c r="I185" s="0" t="s">
        <v>255</v>
      </c>
    </row>
    <row r="186" customFormat="false" ht="15" hidden="false" customHeight="false" outlineLevel="0" collapsed="false">
      <c r="A186" s="0" t="n">
        <v>185</v>
      </c>
      <c r="B186" s="0" t="s">
        <v>97</v>
      </c>
      <c r="C186" s="0" t="s">
        <v>10</v>
      </c>
      <c r="D186" s="0" t="s">
        <v>448</v>
      </c>
      <c r="E186" s="0" t="s">
        <v>99</v>
      </c>
      <c r="F186" s="0" t="s">
        <v>473</v>
      </c>
      <c r="G186" s="0" t="s">
        <v>254</v>
      </c>
      <c r="I186" s="0" t="s">
        <v>255</v>
      </c>
    </row>
    <row r="187" customFormat="false" ht="15" hidden="false" customHeight="false" outlineLevel="0" collapsed="false">
      <c r="A187" s="0" t="n">
        <v>186</v>
      </c>
      <c r="B187" s="0" t="s">
        <v>97</v>
      </c>
      <c r="C187" s="0" t="s">
        <v>10</v>
      </c>
      <c r="D187" s="0" t="s">
        <v>448</v>
      </c>
      <c r="E187" s="0" t="s">
        <v>99</v>
      </c>
      <c r="F187" s="0" t="s">
        <v>474</v>
      </c>
      <c r="G187" s="0" t="s">
        <v>254</v>
      </c>
      <c r="I187" s="0" t="s">
        <v>255</v>
      </c>
    </row>
    <row r="188" customFormat="false" ht="15" hidden="false" customHeight="false" outlineLevel="0" collapsed="false">
      <c r="A188" s="0" t="n">
        <v>187</v>
      </c>
      <c r="B188" s="0" t="s">
        <v>97</v>
      </c>
      <c r="C188" s="0" t="s">
        <v>10</v>
      </c>
      <c r="D188" s="0" t="s">
        <v>448</v>
      </c>
      <c r="E188" s="0" t="s">
        <v>99</v>
      </c>
      <c r="F188" s="0" t="s">
        <v>262</v>
      </c>
      <c r="G188" s="0" t="s">
        <v>254</v>
      </c>
      <c r="I188" s="0" t="s">
        <v>255</v>
      </c>
    </row>
    <row r="189" customFormat="false" ht="15" hidden="false" customHeight="false" outlineLevel="0" collapsed="false">
      <c r="A189" s="0" t="n">
        <v>188</v>
      </c>
      <c r="B189" s="0" t="s">
        <v>97</v>
      </c>
      <c r="C189" s="0" t="s">
        <v>10</v>
      </c>
      <c r="D189" s="0" t="s">
        <v>448</v>
      </c>
      <c r="E189" s="0" t="s">
        <v>99</v>
      </c>
      <c r="F189" s="0" t="s">
        <v>475</v>
      </c>
      <c r="G189" s="0" t="s">
        <v>254</v>
      </c>
      <c r="I189" s="0" t="s">
        <v>255</v>
      </c>
    </row>
    <row r="190" customFormat="false" ht="15" hidden="false" customHeight="false" outlineLevel="0" collapsed="false">
      <c r="A190" s="0" t="n">
        <v>189</v>
      </c>
      <c r="B190" s="0" t="s">
        <v>97</v>
      </c>
      <c r="C190" s="0" t="s">
        <v>10</v>
      </c>
      <c r="D190" s="0" t="s">
        <v>448</v>
      </c>
      <c r="E190" s="0" t="s">
        <v>99</v>
      </c>
      <c r="F190" s="0" t="s">
        <v>476</v>
      </c>
      <c r="G190" s="0" t="s">
        <v>254</v>
      </c>
      <c r="I190" s="0" t="s">
        <v>255</v>
      </c>
    </row>
    <row r="191" customFormat="false" ht="15" hidden="false" customHeight="false" outlineLevel="0" collapsed="false">
      <c r="A191" s="0" t="n">
        <v>190</v>
      </c>
      <c r="B191" s="0" t="s">
        <v>97</v>
      </c>
      <c r="C191" s="0" t="s">
        <v>10</v>
      </c>
      <c r="D191" s="0" t="s">
        <v>448</v>
      </c>
      <c r="E191" s="0" t="s">
        <v>99</v>
      </c>
      <c r="F191" s="0" t="s">
        <v>477</v>
      </c>
      <c r="G191" s="0" t="s">
        <v>254</v>
      </c>
      <c r="I191" s="0" t="s">
        <v>255</v>
      </c>
    </row>
    <row r="192" customFormat="false" ht="15" hidden="false" customHeight="false" outlineLevel="0" collapsed="false">
      <c r="A192" s="0" t="n">
        <v>191</v>
      </c>
      <c r="B192" s="0" t="s">
        <v>97</v>
      </c>
      <c r="C192" s="0" t="s">
        <v>10</v>
      </c>
      <c r="D192" s="0" t="s">
        <v>448</v>
      </c>
      <c r="E192" s="0" t="s">
        <v>99</v>
      </c>
      <c r="F192" s="0" t="s">
        <v>478</v>
      </c>
      <c r="G192" s="0" t="s">
        <v>254</v>
      </c>
      <c r="I192" s="0" t="s">
        <v>255</v>
      </c>
    </row>
    <row r="193" customFormat="false" ht="15" hidden="false" customHeight="false" outlineLevel="0" collapsed="false">
      <c r="A193" s="0" t="n">
        <v>192</v>
      </c>
      <c r="B193" s="0" t="s">
        <v>102</v>
      </c>
      <c r="C193" s="0" t="s">
        <v>479</v>
      </c>
      <c r="D193" s="0" t="s">
        <v>104</v>
      </c>
      <c r="E193" s="0" t="s">
        <v>105</v>
      </c>
      <c r="F193" s="0" t="s">
        <v>480</v>
      </c>
      <c r="G193" s="0" t="s">
        <v>254</v>
      </c>
      <c r="I193" s="0" t="s">
        <v>481</v>
      </c>
    </row>
    <row r="194" customFormat="false" ht="15" hidden="false" customHeight="false" outlineLevel="0" collapsed="false">
      <c r="A194" s="0" t="n">
        <v>193</v>
      </c>
      <c r="B194" s="0" t="s">
        <v>102</v>
      </c>
      <c r="C194" s="0" t="s">
        <v>479</v>
      </c>
      <c r="D194" s="0" t="s">
        <v>104</v>
      </c>
      <c r="E194" s="0" t="s">
        <v>105</v>
      </c>
      <c r="F194" s="0" t="s">
        <v>257</v>
      </c>
      <c r="G194" s="0" t="s">
        <v>254</v>
      </c>
      <c r="I194" s="0" t="s">
        <v>481</v>
      </c>
    </row>
    <row r="195" customFormat="false" ht="15" hidden="false" customHeight="false" outlineLevel="0" collapsed="false">
      <c r="A195" s="0" t="n">
        <v>194</v>
      </c>
      <c r="B195" s="0" t="s">
        <v>102</v>
      </c>
      <c r="C195" s="0" t="s">
        <v>479</v>
      </c>
      <c r="D195" s="0" t="s">
        <v>104</v>
      </c>
      <c r="E195" s="0" t="s">
        <v>105</v>
      </c>
      <c r="F195" s="0" t="s">
        <v>482</v>
      </c>
      <c r="G195" s="0" t="s">
        <v>254</v>
      </c>
      <c r="I195" s="0" t="s">
        <v>481</v>
      </c>
    </row>
    <row r="196" customFormat="false" ht="15" hidden="false" customHeight="false" outlineLevel="0" collapsed="false">
      <c r="A196" s="0" t="n">
        <v>195</v>
      </c>
      <c r="B196" s="0" t="s">
        <v>102</v>
      </c>
      <c r="C196" s="0" t="s">
        <v>479</v>
      </c>
      <c r="D196" s="0" t="s">
        <v>104</v>
      </c>
      <c r="E196" s="0" t="s">
        <v>105</v>
      </c>
      <c r="F196" s="0" t="s">
        <v>483</v>
      </c>
      <c r="G196" s="0" t="s">
        <v>254</v>
      </c>
      <c r="I196" s="0" t="s">
        <v>481</v>
      </c>
    </row>
    <row r="197" customFormat="false" ht="15" hidden="false" customHeight="false" outlineLevel="0" collapsed="false">
      <c r="A197" s="0" t="n">
        <v>196</v>
      </c>
      <c r="B197" s="0" t="s">
        <v>102</v>
      </c>
      <c r="C197" s="0" t="s">
        <v>479</v>
      </c>
      <c r="D197" s="0" t="s">
        <v>104</v>
      </c>
      <c r="E197" s="0" t="s">
        <v>105</v>
      </c>
      <c r="F197" s="0" t="s">
        <v>484</v>
      </c>
      <c r="G197" s="0" t="s">
        <v>254</v>
      </c>
      <c r="I197" s="0" t="s">
        <v>481</v>
      </c>
    </row>
    <row r="198" customFormat="false" ht="15" hidden="false" customHeight="false" outlineLevel="0" collapsed="false">
      <c r="A198" s="0" t="n">
        <v>197</v>
      </c>
      <c r="B198" s="0" t="s">
        <v>102</v>
      </c>
      <c r="C198" s="0" t="s">
        <v>479</v>
      </c>
      <c r="D198" s="0" t="s">
        <v>104</v>
      </c>
      <c r="E198" s="0" t="s">
        <v>105</v>
      </c>
      <c r="F198" s="0" t="s">
        <v>485</v>
      </c>
      <c r="G198" s="0" t="s">
        <v>254</v>
      </c>
      <c r="I198" s="0" t="s">
        <v>481</v>
      </c>
    </row>
    <row r="199" customFormat="false" ht="15" hidden="false" customHeight="false" outlineLevel="0" collapsed="false">
      <c r="A199" s="0" t="n">
        <v>198</v>
      </c>
      <c r="B199" s="0" t="s">
        <v>102</v>
      </c>
      <c r="C199" s="0" t="s">
        <v>479</v>
      </c>
      <c r="D199" s="0" t="s">
        <v>104</v>
      </c>
      <c r="E199" s="0" t="s">
        <v>105</v>
      </c>
      <c r="F199" s="0" t="s">
        <v>282</v>
      </c>
      <c r="G199" s="0" t="s">
        <v>254</v>
      </c>
      <c r="I199" s="0" t="s">
        <v>481</v>
      </c>
    </row>
    <row r="200" customFormat="false" ht="15" hidden="false" customHeight="false" outlineLevel="0" collapsed="false">
      <c r="A200" s="0" t="n">
        <v>199</v>
      </c>
      <c r="B200" s="0" t="s">
        <v>102</v>
      </c>
      <c r="C200" s="0" t="s">
        <v>479</v>
      </c>
      <c r="D200" s="0" t="s">
        <v>104</v>
      </c>
      <c r="E200" s="0" t="s">
        <v>105</v>
      </c>
      <c r="F200" s="0" t="s">
        <v>486</v>
      </c>
      <c r="G200" s="0" t="s">
        <v>254</v>
      </c>
      <c r="I200" s="0" t="s">
        <v>481</v>
      </c>
    </row>
    <row r="201" customFormat="false" ht="15" hidden="false" customHeight="false" outlineLevel="0" collapsed="false">
      <c r="A201" s="0" t="n">
        <v>200</v>
      </c>
      <c r="B201" s="0" t="s">
        <v>102</v>
      </c>
      <c r="C201" s="0" t="s">
        <v>479</v>
      </c>
      <c r="D201" s="0" t="s">
        <v>104</v>
      </c>
      <c r="E201" s="0" t="s">
        <v>105</v>
      </c>
      <c r="F201" s="0" t="s">
        <v>487</v>
      </c>
      <c r="G201" s="0" t="s">
        <v>254</v>
      </c>
      <c r="I201" s="0" t="s">
        <v>481</v>
      </c>
    </row>
    <row r="202" customFormat="false" ht="15" hidden="false" customHeight="false" outlineLevel="0" collapsed="false">
      <c r="A202" s="0" t="n">
        <v>201</v>
      </c>
      <c r="B202" s="0" t="s">
        <v>102</v>
      </c>
      <c r="C202" s="0" t="s">
        <v>479</v>
      </c>
      <c r="D202" s="0" t="s">
        <v>104</v>
      </c>
      <c r="E202" s="0" t="s">
        <v>105</v>
      </c>
      <c r="F202" s="0" t="s">
        <v>488</v>
      </c>
      <c r="G202" s="0" t="s">
        <v>254</v>
      </c>
      <c r="I202" s="0" t="s">
        <v>481</v>
      </c>
    </row>
    <row r="203" customFormat="false" ht="15" hidden="false" customHeight="false" outlineLevel="0" collapsed="false">
      <c r="A203" s="0" t="n">
        <v>202</v>
      </c>
      <c r="B203" s="0" t="s">
        <v>102</v>
      </c>
      <c r="C203" s="0" t="s">
        <v>479</v>
      </c>
      <c r="D203" s="0" t="s">
        <v>104</v>
      </c>
      <c r="E203" s="0" t="s">
        <v>105</v>
      </c>
      <c r="F203" s="0" t="s">
        <v>329</v>
      </c>
      <c r="G203" s="0" t="s">
        <v>254</v>
      </c>
      <c r="I203" s="0" t="s">
        <v>481</v>
      </c>
    </row>
    <row r="204" customFormat="false" ht="15" hidden="false" customHeight="false" outlineLevel="0" collapsed="false">
      <c r="A204" s="0" t="n">
        <v>203</v>
      </c>
      <c r="B204" s="0" t="s">
        <v>108</v>
      </c>
      <c r="C204" s="0" t="s">
        <v>489</v>
      </c>
      <c r="D204" s="0" t="s">
        <v>110</v>
      </c>
      <c r="E204" s="0" t="s">
        <v>111</v>
      </c>
      <c r="F204" s="0" t="s">
        <v>490</v>
      </c>
      <c r="G204" s="0" t="s">
        <v>491</v>
      </c>
      <c r="I204" s="0" t="s">
        <v>113</v>
      </c>
    </row>
    <row r="205" customFormat="false" ht="15" hidden="false" customHeight="false" outlineLevel="0" collapsed="false">
      <c r="A205" s="0" t="n">
        <v>204</v>
      </c>
      <c r="B205" s="0" t="s">
        <v>108</v>
      </c>
      <c r="C205" s="0" t="s">
        <v>489</v>
      </c>
      <c r="D205" s="0" t="s">
        <v>110</v>
      </c>
      <c r="E205" s="0" t="s">
        <v>111</v>
      </c>
      <c r="F205" s="0" t="s">
        <v>492</v>
      </c>
      <c r="G205" s="0" t="s">
        <v>493</v>
      </c>
      <c r="I205" s="0" t="s">
        <v>113</v>
      </c>
    </row>
    <row r="206" customFormat="false" ht="15" hidden="false" customHeight="false" outlineLevel="0" collapsed="false">
      <c r="A206" s="0" t="n">
        <v>205</v>
      </c>
      <c r="B206" s="0" t="s">
        <v>108</v>
      </c>
      <c r="C206" s="0" t="s">
        <v>489</v>
      </c>
      <c r="D206" s="0" t="s">
        <v>110</v>
      </c>
      <c r="E206" s="0" t="s">
        <v>111</v>
      </c>
      <c r="F206" s="0" t="s">
        <v>494</v>
      </c>
      <c r="G206" s="0" t="s">
        <v>254</v>
      </c>
      <c r="I206" s="0" t="s">
        <v>113</v>
      </c>
    </row>
    <row r="207" customFormat="false" ht="15" hidden="false" customHeight="false" outlineLevel="0" collapsed="false">
      <c r="A207" s="0" t="n">
        <v>206</v>
      </c>
      <c r="B207" s="0" t="s">
        <v>108</v>
      </c>
      <c r="C207" s="0" t="s">
        <v>489</v>
      </c>
      <c r="D207" s="0" t="s">
        <v>110</v>
      </c>
      <c r="E207" s="0" t="s">
        <v>111</v>
      </c>
      <c r="F207" s="0" t="s">
        <v>495</v>
      </c>
      <c r="G207" s="0" t="s">
        <v>254</v>
      </c>
      <c r="I207" s="0" t="s">
        <v>113</v>
      </c>
    </row>
    <row r="208" customFormat="false" ht="15" hidden="false" customHeight="false" outlineLevel="0" collapsed="false">
      <c r="A208" s="0" t="n">
        <v>207</v>
      </c>
      <c r="B208" s="0" t="s">
        <v>108</v>
      </c>
      <c r="C208" s="0" t="s">
        <v>489</v>
      </c>
      <c r="D208" s="0" t="s">
        <v>110</v>
      </c>
      <c r="E208" s="0" t="s">
        <v>111</v>
      </c>
      <c r="F208" s="0" t="s">
        <v>366</v>
      </c>
      <c r="G208" s="0" t="s">
        <v>254</v>
      </c>
      <c r="I208" s="0" t="s">
        <v>113</v>
      </c>
    </row>
    <row r="209" customFormat="false" ht="15" hidden="false" customHeight="false" outlineLevel="0" collapsed="false">
      <c r="A209" s="0" t="n">
        <v>208</v>
      </c>
      <c r="B209" s="0" t="s">
        <v>108</v>
      </c>
      <c r="C209" s="0" t="s">
        <v>489</v>
      </c>
      <c r="D209" s="0" t="s">
        <v>110</v>
      </c>
      <c r="E209" s="0" t="s">
        <v>111</v>
      </c>
      <c r="F209" s="0" t="s">
        <v>496</v>
      </c>
      <c r="G209" s="0" t="s">
        <v>254</v>
      </c>
      <c r="I209" s="0" t="s">
        <v>113</v>
      </c>
    </row>
    <row r="210" customFormat="false" ht="15" hidden="false" customHeight="false" outlineLevel="0" collapsed="false">
      <c r="A210" s="0" t="n">
        <v>209</v>
      </c>
      <c r="B210" s="0" t="s">
        <v>108</v>
      </c>
      <c r="C210" s="0" t="s">
        <v>489</v>
      </c>
      <c r="D210" s="0" t="s">
        <v>110</v>
      </c>
      <c r="E210" s="0" t="s">
        <v>111</v>
      </c>
      <c r="F210" s="0" t="s">
        <v>497</v>
      </c>
      <c r="G210" s="0" t="s">
        <v>254</v>
      </c>
      <c r="I210" s="0" t="s">
        <v>113</v>
      </c>
    </row>
    <row r="211" customFormat="false" ht="15" hidden="false" customHeight="false" outlineLevel="0" collapsed="false">
      <c r="A211" s="0" t="n">
        <v>210</v>
      </c>
      <c r="B211" s="0" t="s">
        <v>108</v>
      </c>
      <c r="C211" s="0" t="s">
        <v>489</v>
      </c>
      <c r="D211" s="0" t="s">
        <v>110</v>
      </c>
      <c r="E211" s="0" t="s">
        <v>111</v>
      </c>
      <c r="F211" s="0" t="s">
        <v>498</v>
      </c>
      <c r="G211" s="0" t="s">
        <v>254</v>
      </c>
      <c r="I211" s="0" t="s">
        <v>113</v>
      </c>
    </row>
    <row r="212" customFormat="false" ht="15" hidden="false" customHeight="false" outlineLevel="0" collapsed="false">
      <c r="A212" s="0" t="n">
        <v>211</v>
      </c>
      <c r="B212" s="0" t="s">
        <v>108</v>
      </c>
      <c r="C212" s="0" t="s">
        <v>489</v>
      </c>
      <c r="D212" s="0" t="s">
        <v>110</v>
      </c>
      <c r="E212" s="0" t="s">
        <v>111</v>
      </c>
      <c r="F212" s="0" t="s">
        <v>313</v>
      </c>
      <c r="G212" s="0" t="s">
        <v>254</v>
      </c>
      <c r="I212" s="0" t="s">
        <v>113</v>
      </c>
    </row>
    <row r="213" customFormat="false" ht="15" hidden="false" customHeight="false" outlineLevel="0" collapsed="false">
      <c r="A213" s="0" t="n">
        <v>212</v>
      </c>
      <c r="B213" s="0" t="s">
        <v>108</v>
      </c>
      <c r="C213" s="0" t="s">
        <v>489</v>
      </c>
      <c r="D213" s="0" t="s">
        <v>110</v>
      </c>
      <c r="E213" s="0" t="s">
        <v>111</v>
      </c>
      <c r="F213" s="0" t="s">
        <v>262</v>
      </c>
      <c r="G213" s="0" t="s">
        <v>254</v>
      </c>
      <c r="I213" s="0" t="s">
        <v>113</v>
      </c>
    </row>
    <row r="214" customFormat="false" ht="15" hidden="false" customHeight="false" outlineLevel="0" collapsed="false">
      <c r="A214" s="0" t="n">
        <v>213</v>
      </c>
      <c r="B214" s="0" t="s">
        <v>117</v>
      </c>
      <c r="C214" s="0" t="s">
        <v>499</v>
      </c>
      <c r="D214" s="0" t="s">
        <v>500</v>
      </c>
      <c r="E214" s="0" t="s">
        <v>119</v>
      </c>
      <c r="F214" s="0" t="s">
        <v>501</v>
      </c>
      <c r="G214" s="0" t="s">
        <v>502</v>
      </c>
      <c r="I214" s="0" t="s">
        <v>121</v>
      </c>
    </row>
    <row r="215" customFormat="false" ht="15" hidden="false" customHeight="false" outlineLevel="0" collapsed="false">
      <c r="A215" s="0" t="n">
        <v>214</v>
      </c>
      <c r="B215" s="0" t="s">
        <v>117</v>
      </c>
      <c r="C215" s="0" t="s">
        <v>499</v>
      </c>
      <c r="D215" s="0" t="s">
        <v>500</v>
      </c>
      <c r="E215" s="0" t="s">
        <v>119</v>
      </c>
      <c r="F215" s="0" t="s">
        <v>503</v>
      </c>
      <c r="G215" s="0" t="s">
        <v>504</v>
      </c>
      <c r="I215" s="0" t="s">
        <v>121</v>
      </c>
    </row>
    <row r="216" customFormat="false" ht="15" hidden="false" customHeight="false" outlineLevel="0" collapsed="false">
      <c r="A216" s="0" t="n">
        <v>215</v>
      </c>
      <c r="B216" s="0" t="s">
        <v>117</v>
      </c>
      <c r="C216" s="0" t="s">
        <v>499</v>
      </c>
      <c r="D216" s="0" t="s">
        <v>500</v>
      </c>
      <c r="E216" s="0" t="s">
        <v>119</v>
      </c>
      <c r="F216" s="0" t="s">
        <v>505</v>
      </c>
      <c r="G216" s="0" t="s">
        <v>506</v>
      </c>
      <c r="I216" s="0" t="s">
        <v>121</v>
      </c>
    </row>
    <row r="217" customFormat="false" ht="15" hidden="false" customHeight="false" outlineLevel="0" collapsed="false">
      <c r="A217" s="0" t="n">
        <v>216</v>
      </c>
      <c r="B217" s="0" t="s">
        <v>117</v>
      </c>
      <c r="C217" s="0" t="s">
        <v>499</v>
      </c>
      <c r="D217" s="0" t="s">
        <v>500</v>
      </c>
      <c r="E217" s="0" t="s">
        <v>119</v>
      </c>
      <c r="F217" s="0" t="s">
        <v>507</v>
      </c>
      <c r="G217" s="0" t="s">
        <v>506</v>
      </c>
      <c r="I217" s="0" t="s">
        <v>121</v>
      </c>
    </row>
    <row r="218" customFormat="false" ht="15" hidden="false" customHeight="false" outlineLevel="0" collapsed="false">
      <c r="A218" s="0" t="n">
        <v>217</v>
      </c>
      <c r="B218" s="0" t="s">
        <v>117</v>
      </c>
      <c r="C218" s="0" t="s">
        <v>499</v>
      </c>
      <c r="D218" s="0" t="s">
        <v>500</v>
      </c>
      <c r="E218" s="0" t="s">
        <v>119</v>
      </c>
      <c r="F218" s="0" t="s">
        <v>508</v>
      </c>
      <c r="G218" s="0" t="s">
        <v>509</v>
      </c>
      <c r="I218" s="0" t="s">
        <v>121</v>
      </c>
    </row>
    <row r="219" customFormat="false" ht="15" hidden="false" customHeight="false" outlineLevel="0" collapsed="false">
      <c r="A219" s="0" t="n">
        <v>218</v>
      </c>
      <c r="B219" s="0" t="s">
        <v>117</v>
      </c>
      <c r="C219" s="0" t="s">
        <v>499</v>
      </c>
      <c r="D219" s="0" t="s">
        <v>500</v>
      </c>
      <c r="E219" s="0" t="s">
        <v>119</v>
      </c>
      <c r="F219" s="0" t="s">
        <v>510</v>
      </c>
      <c r="G219" s="0" t="s">
        <v>506</v>
      </c>
      <c r="I219" s="0" t="s">
        <v>121</v>
      </c>
    </row>
    <row r="220" customFormat="false" ht="15" hidden="false" customHeight="false" outlineLevel="0" collapsed="false">
      <c r="A220" s="0" t="n">
        <v>219</v>
      </c>
      <c r="B220" s="0" t="s">
        <v>117</v>
      </c>
      <c r="C220" s="0" t="s">
        <v>499</v>
      </c>
      <c r="D220" s="0" t="s">
        <v>500</v>
      </c>
      <c r="E220" s="0" t="s">
        <v>119</v>
      </c>
      <c r="F220" s="0" t="s">
        <v>511</v>
      </c>
      <c r="G220" s="0" t="s">
        <v>506</v>
      </c>
      <c r="I220" s="0" t="s">
        <v>121</v>
      </c>
    </row>
    <row r="221" customFormat="false" ht="15" hidden="false" customHeight="false" outlineLevel="0" collapsed="false">
      <c r="A221" s="0" t="n">
        <v>220</v>
      </c>
      <c r="B221" s="0" t="s">
        <v>117</v>
      </c>
      <c r="C221" s="0" t="s">
        <v>499</v>
      </c>
      <c r="D221" s="0" t="s">
        <v>500</v>
      </c>
      <c r="E221" s="0" t="s">
        <v>119</v>
      </c>
      <c r="F221" s="0" t="s">
        <v>512</v>
      </c>
      <c r="G221" s="0" t="s">
        <v>506</v>
      </c>
      <c r="I221" s="0" t="s">
        <v>121</v>
      </c>
    </row>
    <row r="222" customFormat="false" ht="15" hidden="false" customHeight="false" outlineLevel="0" collapsed="false">
      <c r="A222" s="0" t="n">
        <v>221</v>
      </c>
      <c r="B222" s="0" t="s">
        <v>117</v>
      </c>
      <c r="C222" s="0" t="s">
        <v>499</v>
      </c>
      <c r="D222" s="0" t="s">
        <v>500</v>
      </c>
      <c r="E222" s="0" t="s">
        <v>119</v>
      </c>
      <c r="F222" s="0" t="s">
        <v>513</v>
      </c>
      <c r="G222" s="0" t="s">
        <v>506</v>
      </c>
      <c r="I222" s="0" t="s">
        <v>121</v>
      </c>
    </row>
    <row r="223" customFormat="false" ht="15" hidden="false" customHeight="false" outlineLevel="0" collapsed="false">
      <c r="A223" s="0" t="n">
        <v>222</v>
      </c>
      <c r="B223" s="0" t="s">
        <v>117</v>
      </c>
      <c r="C223" s="0" t="s">
        <v>499</v>
      </c>
      <c r="D223" s="0" t="s">
        <v>500</v>
      </c>
      <c r="E223" s="0" t="s">
        <v>119</v>
      </c>
      <c r="F223" s="0" t="s">
        <v>514</v>
      </c>
      <c r="G223" s="0" t="s">
        <v>506</v>
      </c>
      <c r="I223" s="0" t="s">
        <v>121</v>
      </c>
    </row>
    <row r="224" customFormat="false" ht="15" hidden="false" customHeight="false" outlineLevel="0" collapsed="false">
      <c r="A224" s="0" t="n">
        <v>223</v>
      </c>
      <c r="B224" s="0" t="s">
        <v>117</v>
      </c>
      <c r="C224" s="0" t="s">
        <v>499</v>
      </c>
      <c r="D224" s="0" t="s">
        <v>500</v>
      </c>
      <c r="E224" s="0" t="s">
        <v>119</v>
      </c>
      <c r="F224" s="0" t="s">
        <v>515</v>
      </c>
      <c r="G224" s="0" t="s">
        <v>417</v>
      </c>
      <c r="I224" s="0" t="s">
        <v>121</v>
      </c>
    </row>
    <row r="225" customFormat="false" ht="15" hidden="false" customHeight="false" outlineLevel="0" collapsed="false">
      <c r="A225" s="0" t="n">
        <v>224</v>
      </c>
      <c r="B225" s="0" t="s">
        <v>117</v>
      </c>
      <c r="C225" s="0" t="s">
        <v>499</v>
      </c>
      <c r="D225" s="0" t="s">
        <v>500</v>
      </c>
      <c r="E225" s="0" t="s">
        <v>119</v>
      </c>
      <c r="F225" s="0" t="s">
        <v>516</v>
      </c>
      <c r="G225" s="0" t="s">
        <v>517</v>
      </c>
      <c r="I225" s="0" t="s">
        <v>121</v>
      </c>
    </row>
    <row r="226" customFormat="false" ht="15" hidden="false" customHeight="false" outlineLevel="0" collapsed="false">
      <c r="A226" s="0" t="n">
        <v>225</v>
      </c>
      <c r="B226" s="0" t="s">
        <v>117</v>
      </c>
      <c r="C226" s="0" t="s">
        <v>499</v>
      </c>
      <c r="D226" s="0" t="s">
        <v>500</v>
      </c>
      <c r="E226" s="0" t="s">
        <v>119</v>
      </c>
      <c r="F226" s="0" t="s">
        <v>518</v>
      </c>
      <c r="G226" s="0" t="s">
        <v>519</v>
      </c>
      <c r="I226" s="0" t="s">
        <v>121</v>
      </c>
    </row>
    <row r="227" customFormat="false" ht="15" hidden="false" customHeight="false" outlineLevel="0" collapsed="false">
      <c r="A227" s="0" t="n">
        <v>226</v>
      </c>
      <c r="B227" s="0" t="s">
        <v>117</v>
      </c>
      <c r="C227" s="0" t="s">
        <v>499</v>
      </c>
      <c r="D227" s="0" t="s">
        <v>500</v>
      </c>
      <c r="E227" s="0" t="s">
        <v>119</v>
      </c>
      <c r="F227" s="0" t="s">
        <v>520</v>
      </c>
      <c r="G227" s="0" t="s">
        <v>521</v>
      </c>
      <c r="I227" s="0" t="s">
        <v>121</v>
      </c>
    </row>
    <row r="228" customFormat="false" ht="15" hidden="false" customHeight="false" outlineLevel="0" collapsed="false">
      <c r="A228" s="0" t="n">
        <v>227</v>
      </c>
      <c r="B228" s="0" t="s">
        <v>117</v>
      </c>
      <c r="C228" s="0" t="s">
        <v>499</v>
      </c>
      <c r="D228" s="0" t="s">
        <v>500</v>
      </c>
      <c r="E228" s="0" t="s">
        <v>119</v>
      </c>
      <c r="F228" s="0" t="s">
        <v>295</v>
      </c>
      <c r="G228" s="0" t="s">
        <v>522</v>
      </c>
      <c r="I228" s="0" t="s">
        <v>121</v>
      </c>
    </row>
    <row r="229" customFormat="false" ht="15" hidden="false" customHeight="false" outlineLevel="0" collapsed="false">
      <c r="A229" s="0" t="n">
        <v>228</v>
      </c>
      <c r="B229" s="0" t="s">
        <v>117</v>
      </c>
      <c r="C229" s="0" t="s">
        <v>499</v>
      </c>
      <c r="D229" s="0" t="s">
        <v>500</v>
      </c>
      <c r="E229" s="0" t="s">
        <v>119</v>
      </c>
      <c r="F229" s="0" t="s">
        <v>523</v>
      </c>
      <c r="G229" s="0" t="s">
        <v>521</v>
      </c>
      <c r="I229" s="0" t="s">
        <v>121</v>
      </c>
    </row>
    <row r="230" customFormat="false" ht="15" hidden="false" customHeight="false" outlineLevel="0" collapsed="false">
      <c r="A230" s="0" t="n">
        <v>229</v>
      </c>
      <c r="B230" s="0" t="s">
        <v>117</v>
      </c>
      <c r="C230" s="0" t="s">
        <v>499</v>
      </c>
      <c r="D230" s="0" t="s">
        <v>500</v>
      </c>
      <c r="E230" s="0" t="s">
        <v>119</v>
      </c>
      <c r="F230" s="0" t="s">
        <v>524</v>
      </c>
      <c r="G230" s="0" t="s">
        <v>525</v>
      </c>
      <c r="I230" s="0" t="s">
        <v>121</v>
      </c>
    </row>
    <row r="231" customFormat="false" ht="15" hidden="false" customHeight="false" outlineLevel="0" collapsed="false">
      <c r="A231" s="0" t="n">
        <v>230</v>
      </c>
      <c r="B231" s="0" t="s">
        <v>117</v>
      </c>
      <c r="C231" s="0" t="s">
        <v>499</v>
      </c>
      <c r="D231" s="0" t="s">
        <v>500</v>
      </c>
      <c r="E231" s="0" t="s">
        <v>119</v>
      </c>
      <c r="F231" s="0" t="s">
        <v>526</v>
      </c>
      <c r="G231" s="0" t="s">
        <v>527</v>
      </c>
      <c r="I231" s="0" t="s">
        <v>121</v>
      </c>
    </row>
    <row r="232" customFormat="false" ht="15" hidden="false" customHeight="false" outlineLevel="0" collapsed="false">
      <c r="A232" s="0" t="n">
        <v>231</v>
      </c>
      <c r="B232" s="0" t="s">
        <v>117</v>
      </c>
      <c r="C232" s="0" t="s">
        <v>499</v>
      </c>
      <c r="D232" s="0" t="s">
        <v>500</v>
      </c>
      <c r="E232" s="0" t="s">
        <v>119</v>
      </c>
      <c r="F232" s="0" t="s">
        <v>528</v>
      </c>
      <c r="G232" s="0" t="s">
        <v>529</v>
      </c>
      <c r="I232" s="0" t="s">
        <v>121</v>
      </c>
    </row>
    <row r="233" customFormat="false" ht="15" hidden="false" customHeight="false" outlineLevel="0" collapsed="false">
      <c r="A233" s="0" t="n">
        <v>232</v>
      </c>
      <c r="B233" s="0" t="s">
        <v>117</v>
      </c>
      <c r="C233" s="0" t="s">
        <v>499</v>
      </c>
      <c r="D233" s="0" t="s">
        <v>500</v>
      </c>
      <c r="E233" s="0" t="s">
        <v>119</v>
      </c>
      <c r="F233" s="0" t="s">
        <v>530</v>
      </c>
      <c r="G233" s="0" t="s">
        <v>531</v>
      </c>
      <c r="I233" s="0" t="s">
        <v>121</v>
      </c>
    </row>
    <row r="234" customFormat="false" ht="15" hidden="false" customHeight="false" outlineLevel="0" collapsed="false">
      <c r="A234" s="0" t="n">
        <v>233</v>
      </c>
      <c r="B234" s="0" t="s">
        <v>117</v>
      </c>
      <c r="C234" s="0" t="s">
        <v>499</v>
      </c>
      <c r="D234" s="0" t="s">
        <v>500</v>
      </c>
      <c r="E234" s="0" t="s">
        <v>119</v>
      </c>
      <c r="F234" s="0" t="s">
        <v>532</v>
      </c>
      <c r="G234" s="0" t="s">
        <v>533</v>
      </c>
      <c r="I234" s="0" t="s">
        <v>121</v>
      </c>
    </row>
    <row r="235" customFormat="false" ht="15" hidden="false" customHeight="false" outlineLevel="0" collapsed="false">
      <c r="A235" s="0" t="n">
        <v>234</v>
      </c>
      <c r="B235" s="0" t="s">
        <v>117</v>
      </c>
      <c r="C235" s="0" t="s">
        <v>499</v>
      </c>
      <c r="D235" s="0" t="s">
        <v>500</v>
      </c>
      <c r="E235" s="0" t="s">
        <v>119</v>
      </c>
      <c r="F235" s="0" t="s">
        <v>534</v>
      </c>
      <c r="G235" s="0" t="s">
        <v>535</v>
      </c>
      <c r="I235" s="0" t="s">
        <v>121</v>
      </c>
    </row>
    <row r="236" customFormat="false" ht="15" hidden="false" customHeight="false" outlineLevel="0" collapsed="false">
      <c r="A236" s="0" t="n">
        <v>235</v>
      </c>
      <c r="B236" s="0" t="s">
        <v>117</v>
      </c>
      <c r="C236" s="0" t="s">
        <v>499</v>
      </c>
      <c r="D236" s="0" t="s">
        <v>500</v>
      </c>
      <c r="E236" s="0" t="s">
        <v>119</v>
      </c>
      <c r="F236" s="0" t="s">
        <v>536</v>
      </c>
      <c r="G236" s="0" t="s">
        <v>525</v>
      </c>
      <c r="I236" s="0" t="s">
        <v>121</v>
      </c>
    </row>
    <row r="237" customFormat="false" ht="15" hidden="false" customHeight="false" outlineLevel="0" collapsed="false">
      <c r="A237" s="0" t="n">
        <v>236</v>
      </c>
      <c r="B237" s="0" t="s">
        <v>117</v>
      </c>
      <c r="C237" s="0" t="s">
        <v>499</v>
      </c>
      <c r="D237" s="0" t="s">
        <v>500</v>
      </c>
      <c r="E237" s="0" t="s">
        <v>119</v>
      </c>
      <c r="F237" s="0" t="s">
        <v>537</v>
      </c>
      <c r="G237" s="0" t="s">
        <v>538</v>
      </c>
      <c r="I237" s="0" t="s">
        <v>121</v>
      </c>
    </row>
    <row r="238" customFormat="false" ht="15" hidden="false" customHeight="false" outlineLevel="0" collapsed="false">
      <c r="A238" s="0" t="n">
        <v>237</v>
      </c>
      <c r="B238" s="0" t="s">
        <v>117</v>
      </c>
      <c r="C238" s="0" t="s">
        <v>499</v>
      </c>
      <c r="D238" s="0" t="s">
        <v>500</v>
      </c>
      <c r="E238" s="0" t="s">
        <v>119</v>
      </c>
      <c r="F238" s="0" t="s">
        <v>539</v>
      </c>
      <c r="G238" s="0" t="s">
        <v>540</v>
      </c>
      <c r="I238" s="0" t="s">
        <v>121</v>
      </c>
    </row>
    <row r="239" customFormat="false" ht="15" hidden="false" customHeight="false" outlineLevel="0" collapsed="false">
      <c r="A239" s="0" t="n">
        <v>238</v>
      </c>
      <c r="B239" s="0" t="s">
        <v>117</v>
      </c>
      <c r="C239" s="0" t="s">
        <v>499</v>
      </c>
      <c r="D239" s="0" t="s">
        <v>500</v>
      </c>
      <c r="E239" s="0" t="s">
        <v>119</v>
      </c>
      <c r="F239" s="0" t="s">
        <v>541</v>
      </c>
      <c r="G239" s="0" t="s">
        <v>540</v>
      </c>
      <c r="I239" s="0" t="s">
        <v>121</v>
      </c>
    </row>
    <row r="240" customFormat="false" ht="15" hidden="false" customHeight="false" outlineLevel="0" collapsed="false">
      <c r="A240" s="0" t="n">
        <v>239</v>
      </c>
      <c r="B240" s="0" t="s">
        <v>117</v>
      </c>
      <c r="C240" s="0" t="s">
        <v>499</v>
      </c>
      <c r="D240" s="0" t="s">
        <v>500</v>
      </c>
      <c r="E240" s="0" t="s">
        <v>119</v>
      </c>
      <c r="F240" s="0" t="s">
        <v>542</v>
      </c>
      <c r="G240" s="0" t="s">
        <v>543</v>
      </c>
      <c r="I240" s="0" t="s">
        <v>121</v>
      </c>
    </row>
    <row r="241" customFormat="false" ht="15" hidden="false" customHeight="false" outlineLevel="0" collapsed="false">
      <c r="A241" s="0" t="n">
        <v>240</v>
      </c>
      <c r="B241" s="0" t="s">
        <v>117</v>
      </c>
      <c r="C241" s="0" t="s">
        <v>499</v>
      </c>
      <c r="D241" s="0" t="s">
        <v>500</v>
      </c>
      <c r="E241" s="0" t="s">
        <v>119</v>
      </c>
      <c r="F241" s="0" t="s">
        <v>544</v>
      </c>
      <c r="G241" s="0" t="s">
        <v>525</v>
      </c>
      <c r="I241" s="0" t="s">
        <v>121</v>
      </c>
    </row>
    <row r="242" customFormat="false" ht="15" hidden="false" customHeight="false" outlineLevel="0" collapsed="false">
      <c r="A242" s="0" t="n">
        <v>241</v>
      </c>
      <c r="B242" s="0" t="s">
        <v>117</v>
      </c>
      <c r="C242" s="0" t="s">
        <v>499</v>
      </c>
      <c r="D242" s="0" t="s">
        <v>500</v>
      </c>
      <c r="E242" s="0" t="s">
        <v>119</v>
      </c>
      <c r="F242" s="0" t="s">
        <v>545</v>
      </c>
      <c r="G242" s="0" t="s">
        <v>538</v>
      </c>
      <c r="I242" s="0" t="s">
        <v>121</v>
      </c>
    </row>
    <row r="243" customFormat="false" ht="15" hidden="false" customHeight="false" outlineLevel="0" collapsed="false">
      <c r="A243" s="0" t="n">
        <v>242</v>
      </c>
      <c r="B243" s="0" t="s">
        <v>117</v>
      </c>
      <c r="C243" s="0" t="s">
        <v>499</v>
      </c>
      <c r="D243" s="0" t="s">
        <v>500</v>
      </c>
      <c r="E243" s="0" t="s">
        <v>119</v>
      </c>
      <c r="F243" s="0" t="s">
        <v>546</v>
      </c>
      <c r="G243" s="0" t="s">
        <v>547</v>
      </c>
      <c r="I243" s="0" t="s">
        <v>121</v>
      </c>
    </row>
    <row r="244" customFormat="false" ht="15" hidden="false" customHeight="false" outlineLevel="0" collapsed="false">
      <c r="A244" s="0" t="n">
        <v>243</v>
      </c>
      <c r="B244" s="0" t="s">
        <v>117</v>
      </c>
      <c r="C244" s="0" t="s">
        <v>499</v>
      </c>
      <c r="D244" s="0" t="s">
        <v>500</v>
      </c>
      <c r="E244" s="0" t="s">
        <v>119</v>
      </c>
      <c r="F244" s="0" t="s">
        <v>548</v>
      </c>
      <c r="G244" s="0" t="s">
        <v>549</v>
      </c>
      <c r="I244" s="0" t="s">
        <v>121</v>
      </c>
    </row>
    <row r="245" customFormat="false" ht="15" hidden="false" customHeight="false" outlineLevel="0" collapsed="false">
      <c r="A245" s="0" t="n">
        <v>244</v>
      </c>
      <c r="B245" s="0" t="s">
        <v>117</v>
      </c>
      <c r="C245" s="0" t="s">
        <v>499</v>
      </c>
      <c r="D245" s="0" t="s">
        <v>500</v>
      </c>
      <c r="E245" s="0" t="s">
        <v>119</v>
      </c>
      <c r="F245" s="0" t="s">
        <v>550</v>
      </c>
      <c r="G245" s="0" t="s">
        <v>551</v>
      </c>
      <c r="I245" s="0" t="s">
        <v>121</v>
      </c>
    </row>
    <row r="246" customFormat="false" ht="15" hidden="false" customHeight="false" outlineLevel="0" collapsed="false">
      <c r="A246" s="0" t="n">
        <v>245</v>
      </c>
      <c r="B246" s="0" t="s">
        <v>117</v>
      </c>
      <c r="C246" s="0" t="s">
        <v>499</v>
      </c>
      <c r="D246" s="0" t="s">
        <v>500</v>
      </c>
      <c r="E246" s="0" t="s">
        <v>119</v>
      </c>
      <c r="F246" s="0" t="s">
        <v>311</v>
      </c>
      <c r="G246" s="0" t="s">
        <v>552</v>
      </c>
      <c r="I246" s="0" t="s">
        <v>121</v>
      </c>
    </row>
    <row r="247" customFormat="false" ht="15" hidden="false" customHeight="false" outlineLevel="0" collapsed="false">
      <c r="A247" s="0" t="n">
        <v>246</v>
      </c>
      <c r="B247" s="0" t="s">
        <v>117</v>
      </c>
      <c r="C247" s="0" t="s">
        <v>499</v>
      </c>
      <c r="D247" s="0" t="s">
        <v>500</v>
      </c>
      <c r="E247" s="0" t="s">
        <v>119</v>
      </c>
      <c r="F247" s="0" t="s">
        <v>553</v>
      </c>
      <c r="G247" s="0" t="s">
        <v>554</v>
      </c>
      <c r="I247" s="0" t="s">
        <v>121</v>
      </c>
    </row>
    <row r="248" customFormat="false" ht="15" hidden="false" customHeight="false" outlineLevel="0" collapsed="false">
      <c r="A248" s="0" t="n">
        <v>247</v>
      </c>
      <c r="B248" s="0" t="s">
        <v>117</v>
      </c>
      <c r="C248" s="0" t="s">
        <v>499</v>
      </c>
      <c r="D248" s="0" t="s">
        <v>500</v>
      </c>
      <c r="E248" s="0" t="s">
        <v>119</v>
      </c>
      <c r="F248" s="0" t="s">
        <v>555</v>
      </c>
      <c r="G248" s="0" t="s">
        <v>556</v>
      </c>
      <c r="I248" s="0" t="s">
        <v>121</v>
      </c>
    </row>
    <row r="249" customFormat="false" ht="15" hidden="false" customHeight="false" outlineLevel="0" collapsed="false">
      <c r="A249" s="0" t="n">
        <v>248</v>
      </c>
      <c r="B249" s="0" t="s">
        <v>117</v>
      </c>
      <c r="C249" s="0" t="s">
        <v>499</v>
      </c>
      <c r="D249" s="0" t="s">
        <v>500</v>
      </c>
      <c r="E249" s="0" t="s">
        <v>119</v>
      </c>
      <c r="F249" s="0" t="s">
        <v>557</v>
      </c>
      <c r="G249" s="0" t="s">
        <v>558</v>
      </c>
      <c r="I249" s="0" t="s">
        <v>121</v>
      </c>
    </row>
    <row r="250" customFormat="false" ht="15" hidden="false" customHeight="false" outlineLevel="0" collapsed="false">
      <c r="A250" s="0" t="n">
        <v>249</v>
      </c>
      <c r="B250" s="0" t="s">
        <v>117</v>
      </c>
      <c r="C250" s="0" t="s">
        <v>499</v>
      </c>
      <c r="D250" s="0" t="s">
        <v>500</v>
      </c>
      <c r="E250" s="0" t="s">
        <v>119</v>
      </c>
      <c r="F250" s="0" t="s">
        <v>559</v>
      </c>
      <c r="G250" s="0" t="s">
        <v>560</v>
      </c>
      <c r="I250" s="0" t="s">
        <v>121</v>
      </c>
    </row>
    <row r="251" customFormat="false" ht="15" hidden="false" customHeight="false" outlineLevel="0" collapsed="false">
      <c r="A251" s="0" t="n">
        <v>250</v>
      </c>
      <c r="B251" s="0" t="s">
        <v>117</v>
      </c>
      <c r="C251" s="0" t="s">
        <v>499</v>
      </c>
      <c r="D251" s="0" t="s">
        <v>500</v>
      </c>
      <c r="E251" s="0" t="s">
        <v>119</v>
      </c>
      <c r="F251" s="0" t="s">
        <v>561</v>
      </c>
      <c r="G251" s="0" t="s">
        <v>562</v>
      </c>
      <c r="I251" s="0" t="s">
        <v>121</v>
      </c>
    </row>
    <row r="252" customFormat="false" ht="15" hidden="false" customHeight="false" outlineLevel="0" collapsed="false">
      <c r="A252" s="0" t="n">
        <v>251</v>
      </c>
      <c r="B252" s="0" t="s">
        <v>128</v>
      </c>
      <c r="C252" s="0" t="s">
        <v>563</v>
      </c>
      <c r="D252" s="0" t="s">
        <v>564</v>
      </c>
      <c r="E252" s="0" t="s">
        <v>131</v>
      </c>
      <c r="F252" s="0" t="s">
        <v>565</v>
      </c>
      <c r="G252" s="0" t="s">
        <v>566</v>
      </c>
      <c r="I252" s="0" t="s">
        <v>133</v>
      </c>
    </row>
    <row r="253" customFormat="false" ht="15" hidden="false" customHeight="false" outlineLevel="0" collapsed="false">
      <c r="A253" s="0" t="n">
        <v>252</v>
      </c>
      <c r="B253" s="0" t="s">
        <v>128</v>
      </c>
      <c r="C253" s="0" t="s">
        <v>563</v>
      </c>
      <c r="D253" s="0" t="s">
        <v>564</v>
      </c>
      <c r="E253" s="0" t="s">
        <v>131</v>
      </c>
      <c r="F253" s="0" t="s">
        <v>567</v>
      </c>
      <c r="G253" s="0" t="s">
        <v>568</v>
      </c>
      <c r="I253" s="0" t="s">
        <v>133</v>
      </c>
    </row>
    <row r="254" customFormat="false" ht="15" hidden="false" customHeight="false" outlineLevel="0" collapsed="false">
      <c r="A254" s="0" t="n">
        <v>253</v>
      </c>
      <c r="B254" s="0" t="s">
        <v>128</v>
      </c>
      <c r="C254" s="0" t="s">
        <v>563</v>
      </c>
      <c r="D254" s="0" t="s">
        <v>564</v>
      </c>
      <c r="E254" s="0" t="s">
        <v>131</v>
      </c>
      <c r="F254" s="0" t="s">
        <v>569</v>
      </c>
      <c r="G254" s="0" t="s">
        <v>568</v>
      </c>
      <c r="I254" s="0" t="s">
        <v>133</v>
      </c>
    </row>
    <row r="255" customFormat="false" ht="15" hidden="false" customHeight="false" outlineLevel="0" collapsed="false">
      <c r="A255" s="0" t="n">
        <v>254</v>
      </c>
      <c r="B255" s="0" t="s">
        <v>128</v>
      </c>
      <c r="C255" s="0" t="s">
        <v>563</v>
      </c>
      <c r="D255" s="0" t="s">
        <v>564</v>
      </c>
      <c r="E255" s="0" t="s">
        <v>131</v>
      </c>
      <c r="F255" s="0" t="s">
        <v>570</v>
      </c>
      <c r="G255" s="0" t="s">
        <v>568</v>
      </c>
      <c r="I255" s="0" t="s">
        <v>133</v>
      </c>
    </row>
    <row r="256" customFormat="false" ht="15" hidden="false" customHeight="false" outlineLevel="0" collapsed="false">
      <c r="A256" s="0" t="n">
        <v>255</v>
      </c>
      <c r="B256" s="0" t="s">
        <v>128</v>
      </c>
      <c r="C256" s="0" t="s">
        <v>563</v>
      </c>
      <c r="D256" s="0" t="s">
        <v>564</v>
      </c>
      <c r="E256" s="0" t="s">
        <v>131</v>
      </c>
      <c r="F256" s="0" t="s">
        <v>571</v>
      </c>
      <c r="G256" s="0" t="s">
        <v>568</v>
      </c>
      <c r="I256" s="0" t="s">
        <v>133</v>
      </c>
    </row>
    <row r="257" customFormat="false" ht="15" hidden="false" customHeight="false" outlineLevel="0" collapsed="false">
      <c r="A257" s="0" t="n">
        <v>256</v>
      </c>
      <c r="B257" s="0" t="s">
        <v>134</v>
      </c>
      <c r="C257" s="0" t="s">
        <v>47</v>
      </c>
      <c r="D257" s="0" t="s">
        <v>135</v>
      </c>
      <c r="E257" s="0" t="s">
        <v>572</v>
      </c>
      <c r="F257" s="0" t="s">
        <v>573</v>
      </c>
      <c r="G257" s="0" t="s">
        <v>574</v>
      </c>
      <c r="I257" s="0" t="s">
        <v>138</v>
      </c>
    </row>
    <row r="258" customFormat="false" ht="15" hidden="false" customHeight="false" outlineLevel="0" collapsed="false">
      <c r="A258" s="0" t="n">
        <v>257</v>
      </c>
      <c r="B258" s="0" t="s">
        <v>134</v>
      </c>
      <c r="C258" s="0" t="s">
        <v>47</v>
      </c>
      <c r="D258" s="0" t="s">
        <v>135</v>
      </c>
      <c r="E258" s="0" t="s">
        <v>572</v>
      </c>
      <c r="F258" s="0" t="s">
        <v>575</v>
      </c>
      <c r="G258" s="0" t="s">
        <v>576</v>
      </c>
      <c r="I258" s="0" t="s">
        <v>138</v>
      </c>
    </row>
    <row r="259" customFormat="false" ht="15" hidden="false" customHeight="false" outlineLevel="0" collapsed="false">
      <c r="A259" s="0" t="n">
        <v>258</v>
      </c>
      <c r="B259" s="0" t="s">
        <v>134</v>
      </c>
      <c r="C259" s="0" t="s">
        <v>47</v>
      </c>
      <c r="D259" s="0" t="s">
        <v>135</v>
      </c>
      <c r="E259" s="0" t="s">
        <v>572</v>
      </c>
      <c r="F259" s="0" t="s">
        <v>577</v>
      </c>
      <c r="G259" s="0" t="s">
        <v>578</v>
      </c>
      <c r="I259" s="0" t="s">
        <v>138</v>
      </c>
    </row>
    <row r="260" customFormat="false" ht="15" hidden="false" customHeight="false" outlineLevel="0" collapsed="false">
      <c r="A260" s="0" t="n">
        <v>259</v>
      </c>
      <c r="B260" s="0" t="s">
        <v>134</v>
      </c>
      <c r="C260" s="0" t="s">
        <v>47</v>
      </c>
      <c r="D260" s="0" t="s">
        <v>135</v>
      </c>
      <c r="E260" s="0" t="s">
        <v>572</v>
      </c>
      <c r="F260" s="0" t="s">
        <v>579</v>
      </c>
      <c r="G260" s="0" t="s">
        <v>540</v>
      </c>
      <c r="I260" s="0" t="s">
        <v>138</v>
      </c>
    </row>
    <row r="261" customFormat="false" ht="15" hidden="false" customHeight="false" outlineLevel="0" collapsed="false">
      <c r="A261" s="0" t="n">
        <v>260</v>
      </c>
      <c r="B261" s="0" t="s">
        <v>134</v>
      </c>
      <c r="C261" s="0" t="s">
        <v>47</v>
      </c>
      <c r="D261" s="0" t="s">
        <v>135</v>
      </c>
      <c r="E261" s="0" t="s">
        <v>572</v>
      </c>
      <c r="F261" s="0" t="s">
        <v>580</v>
      </c>
      <c r="G261" s="0" t="s">
        <v>581</v>
      </c>
      <c r="I261" s="0" t="s">
        <v>138</v>
      </c>
    </row>
    <row r="262" customFormat="false" ht="15" hidden="false" customHeight="false" outlineLevel="0" collapsed="false">
      <c r="A262" s="0" t="n">
        <v>261</v>
      </c>
      <c r="B262" s="0" t="s">
        <v>134</v>
      </c>
      <c r="C262" s="0" t="s">
        <v>47</v>
      </c>
      <c r="D262" s="0" t="s">
        <v>135</v>
      </c>
      <c r="E262" s="0" t="s">
        <v>572</v>
      </c>
      <c r="F262" s="0" t="s">
        <v>582</v>
      </c>
      <c r="G262" s="0" t="s">
        <v>583</v>
      </c>
      <c r="I262" s="0" t="s">
        <v>138</v>
      </c>
    </row>
    <row r="263" customFormat="false" ht="15" hidden="false" customHeight="false" outlineLevel="0" collapsed="false">
      <c r="A263" s="0" t="n">
        <v>262</v>
      </c>
      <c r="B263" s="0" t="s">
        <v>134</v>
      </c>
      <c r="C263" s="0" t="s">
        <v>47</v>
      </c>
      <c r="D263" s="0" t="s">
        <v>135</v>
      </c>
      <c r="E263" s="0" t="s">
        <v>572</v>
      </c>
      <c r="F263" s="0" t="s">
        <v>584</v>
      </c>
      <c r="G263" s="0" t="s">
        <v>585</v>
      </c>
      <c r="I263" s="0" t="s">
        <v>138</v>
      </c>
    </row>
    <row r="264" customFormat="false" ht="15" hidden="false" customHeight="false" outlineLevel="0" collapsed="false">
      <c r="A264" s="0" t="n">
        <v>263</v>
      </c>
      <c r="B264" s="0" t="s">
        <v>134</v>
      </c>
      <c r="C264" s="0" t="s">
        <v>47</v>
      </c>
      <c r="D264" s="0" t="s">
        <v>135</v>
      </c>
      <c r="E264" s="0" t="s">
        <v>572</v>
      </c>
      <c r="F264" s="0" t="s">
        <v>586</v>
      </c>
      <c r="G264" s="0" t="s">
        <v>540</v>
      </c>
      <c r="I264" s="0" t="s">
        <v>138</v>
      </c>
    </row>
    <row r="265" customFormat="false" ht="15" hidden="false" customHeight="false" outlineLevel="0" collapsed="false">
      <c r="A265" s="0" t="n">
        <v>264</v>
      </c>
      <c r="B265" s="0" t="s">
        <v>134</v>
      </c>
      <c r="C265" s="0" t="s">
        <v>47</v>
      </c>
      <c r="D265" s="0" t="s">
        <v>135</v>
      </c>
      <c r="E265" s="0" t="s">
        <v>572</v>
      </c>
      <c r="F265" s="0" t="s">
        <v>295</v>
      </c>
      <c r="G265" s="0" t="s">
        <v>587</v>
      </c>
      <c r="I265" s="0" t="s">
        <v>138</v>
      </c>
    </row>
    <row r="266" customFormat="false" ht="15" hidden="false" customHeight="false" outlineLevel="0" collapsed="false">
      <c r="A266" s="0" t="n">
        <v>265</v>
      </c>
      <c r="B266" s="0" t="s">
        <v>134</v>
      </c>
      <c r="C266" s="0" t="s">
        <v>47</v>
      </c>
      <c r="D266" s="0" t="s">
        <v>135</v>
      </c>
      <c r="E266" s="0" t="s">
        <v>572</v>
      </c>
      <c r="F266" s="0" t="s">
        <v>297</v>
      </c>
      <c r="G266" s="0" t="s">
        <v>588</v>
      </c>
      <c r="I266" s="0" t="s">
        <v>138</v>
      </c>
    </row>
    <row r="267" customFormat="false" ht="15" hidden="false" customHeight="false" outlineLevel="0" collapsed="false">
      <c r="A267" s="0" t="n">
        <v>266</v>
      </c>
      <c r="B267" s="0" t="s">
        <v>134</v>
      </c>
      <c r="C267" s="0" t="s">
        <v>47</v>
      </c>
      <c r="D267" s="0" t="s">
        <v>135</v>
      </c>
      <c r="E267" s="0" t="s">
        <v>572</v>
      </c>
      <c r="F267" s="0" t="s">
        <v>589</v>
      </c>
      <c r="G267" s="0" t="s">
        <v>590</v>
      </c>
      <c r="I267" s="0" t="s">
        <v>138</v>
      </c>
    </row>
    <row r="268" customFormat="false" ht="15" hidden="false" customHeight="false" outlineLevel="0" collapsed="false">
      <c r="A268" s="0" t="n">
        <v>267</v>
      </c>
      <c r="B268" s="0" t="s">
        <v>134</v>
      </c>
      <c r="C268" s="0" t="s">
        <v>47</v>
      </c>
      <c r="D268" s="0" t="s">
        <v>135</v>
      </c>
      <c r="E268" s="0" t="s">
        <v>572</v>
      </c>
      <c r="F268" s="0" t="s">
        <v>591</v>
      </c>
      <c r="G268" s="0" t="s">
        <v>592</v>
      </c>
      <c r="I268" s="0" t="s">
        <v>138</v>
      </c>
    </row>
    <row r="269" customFormat="false" ht="15" hidden="false" customHeight="false" outlineLevel="0" collapsed="false">
      <c r="A269" s="0" t="n">
        <v>268</v>
      </c>
      <c r="B269" s="0" t="s">
        <v>134</v>
      </c>
      <c r="C269" s="0" t="s">
        <v>47</v>
      </c>
      <c r="D269" s="0" t="s">
        <v>135</v>
      </c>
      <c r="E269" s="0" t="s">
        <v>572</v>
      </c>
      <c r="F269" s="0" t="s">
        <v>593</v>
      </c>
      <c r="G269" s="0" t="s">
        <v>417</v>
      </c>
      <c r="I269" s="0" t="s">
        <v>138</v>
      </c>
    </row>
    <row r="270" customFormat="false" ht="15" hidden="false" customHeight="false" outlineLevel="0" collapsed="false">
      <c r="A270" s="0" t="n">
        <v>269</v>
      </c>
      <c r="B270" s="0" t="s">
        <v>134</v>
      </c>
      <c r="C270" s="0" t="s">
        <v>47</v>
      </c>
      <c r="D270" s="0" t="s">
        <v>135</v>
      </c>
      <c r="E270" s="0" t="s">
        <v>572</v>
      </c>
      <c r="F270" s="0" t="s">
        <v>303</v>
      </c>
      <c r="G270" s="0" t="s">
        <v>594</v>
      </c>
      <c r="I270" s="0" t="s">
        <v>138</v>
      </c>
    </row>
    <row r="271" customFormat="false" ht="15" hidden="false" customHeight="false" outlineLevel="0" collapsed="false">
      <c r="A271" s="0" t="n">
        <v>270</v>
      </c>
      <c r="B271" s="0" t="s">
        <v>134</v>
      </c>
      <c r="C271" s="0" t="s">
        <v>47</v>
      </c>
      <c r="D271" s="0" t="s">
        <v>135</v>
      </c>
      <c r="E271" s="0" t="s">
        <v>572</v>
      </c>
      <c r="F271" s="0" t="s">
        <v>595</v>
      </c>
      <c r="G271" s="0" t="s">
        <v>596</v>
      </c>
      <c r="I271" s="0" t="s">
        <v>138</v>
      </c>
    </row>
    <row r="272" customFormat="false" ht="15" hidden="false" customHeight="false" outlineLevel="0" collapsed="false">
      <c r="A272" s="0" t="n">
        <v>271</v>
      </c>
      <c r="B272" s="0" t="s">
        <v>134</v>
      </c>
      <c r="C272" s="0" t="s">
        <v>47</v>
      </c>
      <c r="D272" s="0" t="s">
        <v>135</v>
      </c>
      <c r="E272" s="0" t="s">
        <v>572</v>
      </c>
      <c r="F272" s="0" t="s">
        <v>301</v>
      </c>
      <c r="G272" s="0" t="s">
        <v>597</v>
      </c>
      <c r="I272" s="0" t="s">
        <v>138</v>
      </c>
    </row>
    <row r="273" customFormat="false" ht="15" hidden="false" customHeight="false" outlineLevel="0" collapsed="false">
      <c r="A273" s="0" t="n">
        <v>272</v>
      </c>
      <c r="B273" s="0" t="s">
        <v>134</v>
      </c>
      <c r="C273" s="0" t="s">
        <v>47</v>
      </c>
      <c r="D273" s="0" t="s">
        <v>135</v>
      </c>
      <c r="E273" s="0" t="s">
        <v>572</v>
      </c>
      <c r="F273" s="0" t="s">
        <v>598</v>
      </c>
      <c r="G273" s="0" t="s">
        <v>599</v>
      </c>
      <c r="I273" s="0" t="s">
        <v>138</v>
      </c>
    </row>
    <row r="274" customFormat="false" ht="15" hidden="false" customHeight="false" outlineLevel="0" collapsed="false">
      <c r="A274" s="0" t="n">
        <v>273</v>
      </c>
      <c r="B274" s="0" t="s">
        <v>134</v>
      </c>
      <c r="C274" s="0" t="s">
        <v>47</v>
      </c>
      <c r="D274" s="0" t="s">
        <v>135</v>
      </c>
      <c r="E274" s="0" t="s">
        <v>572</v>
      </c>
      <c r="F274" s="0" t="s">
        <v>600</v>
      </c>
      <c r="G274" s="0" t="s">
        <v>601</v>
      </c>
      <c r="I274" s="0" t="s">
        <v>138</v>
      </c>
    </row>
    <row r="275" customFormat="false" ht="15" hidden="false" customHeight="false" outlineLevel="0" collapsed="false">
      <c r="A275" s="0" t="n">
        <v>274</v>
      </c>
      <c r="B275" s="0" t="s">
        <v>134</v>
      </c>
      <c r="C275" s="0" t="s">
        <v>47</v>
      </c>
      <c r="D275" s="0" t="s">
        <v>135</v>
      </c>
      <c r="E275" s="0" t="s">
        <v>572</v>
      </c>
      <c r="F275" s="0" t="s">
        <v>602</v>
      </c>
      <c r="G275" s="0" t="s">
        <v>601</v>
      </c>
      <c r="I275" s="0" t="s">
        <v>138</v>
      </c>
    </row>
    <row r="276" customFormat="false" ht="15" hidden="false" customHeight="false" outlineLevel="0" collapsed="false">
      <c r="A276" s="0" t="n">
        <v>275</v>
      </c>
      <c r="B276" s="0" t="s">
        <v>134</v>
      </c>
      <c r="C276" s="0" t="s">
        <v>47</v>
      </c>
      <c r="D276" s="0" t="s">
        <v>135</v>
      </c>
      <c r="E276" s="0" t="s">
        <v>572</v>
      </c>
      <c r="F276" s="0" t="s">
        <v>603</v>
      </c>
      <c r="G276" s="0" t="s">
        <v>601</v>
      </c>
      <c r="I276" s="0" t="s">
        <v>138</v>
      </c>
    </row>
    <row r="277" customFormat="false" ht="15" hidden="false" customHeight="false" outlineLevel="0" collapsed="false">
      <c r="A277" s="0" t="n">
        <v>276</v>
      </c>
      <c r="B277" s="0" t="s">
        <v>134</v>
      </c>
      <c r="C277" s="0" t="s">
        <v>47</v>
      </c>
      <c r="D277" s="0" t="s">
        <v>135</v>
      </c>
      <c r="E277" s="0" t="s">
        <v>572</v>
      </c>
      <c r="F277" s="0" t="s">
        <v>604</v>
      </c>
      <c r="G277" s="0" t="s">
        <v>605</v>
      </c>
      <c r="I277" s="0" t="s">
        <v>138</v>
      </c>
    </row>
    <row r="278" customFormat="false" ht="15" hidden="false" customHeight="false" outlineLevel="0" collapsed="false">
      <c r="A278" s="0" t="n">
        <v>277</v>
      </c>
      <c r="B278" s="0" t="s">
        <v>134</v>
      </c>
      <c r="C278" s="0" t="s">
        <v>47</v>
      </c>
      <c r="D278" s="0" t="s">
        <v>135</v>
      </c>
      <c r="E278" s="0" t="s">
        <v>572</v>
      </c>
      <c r="F278" s="0" t="s">
        <v>606</v>
      </c>
      <c r="G278" s="0" t="s">
        <v>607</v>
      </c>
      <c r="I278" s="0" t="s">
        <v>138</v>
      </c>
    </row>
    <row r="279" customFormat="false" ht="15" hidden="false" customHeight="false" outlineLevel="0" collapsed="false">
      <c r="A279" s="0" t="n">
        <v>278</v>
      </c>
      <c r="B279" s="0" t="s">
        <v>134</v>
      </c>
      <c r="C279" s="0" t="s">
        <v>47</v>
      </c>
      <c r="D279" s="0" t="s">
        <v>135</v>
      </c>
      <c r="E279" s="0" t="s">
        <v>572</v>
      </c>
      <c r="F279" s="0" t="s">
        <v>608</v>
      </c>
      <c r="G279" s="0" t="s">
        <v>609</v>
      </c>
      <c r="I279" s="0" t="s">
        <v>138</v>
      </c>
    </row>
    <row r="280" customFormat="false" ht="15" hidden="false" customHeight="false" outlineLevel="0" collapsed="false">
      <c r="A280" s="0" t="n">
        <v>279</v>
      </c>
      <c r="B280" s="0" t="s">
        <v>134</v>
      </c>
      <c r="C280" s="0" t="s">
        <v>47</v>
      </c>
      <c r="D280" s="0" t="s">
        <v>135</v>
      </c>
      <c r="E280" s="0" t="s">
        <v>572</v>
      </c>
      <c r="F280" s="0" t="s">
        <v>610</v>
      </c>
      <c r="G280" s="0" t="s">
        <v>611</v>
      </c>
      <c r="I280" s="0" t="s">
        <v>138</v>
      </c>
    </row>
    <row r="281" customFormat="false" ht="15" hidden="false" customHeight="false" outlineLevel="0" collapsed="false">
      <c r="A281" s="0" t="n">
        <v>280</v>
      </c>
      <c r="B281" s="0" t="s">
        <v>134</v>
      </c>
      <c r="C281" s="0" t="s">
        <v>47</v>
      </c>
      <c r="D281" s="0" t="s">
        <v>135</v>
      </c>
      <c r="E281" s="0" t="s">
        <v>572</v>
      </c>
      <c r="F281" s="0" t="s">
        <v>612</v>
      </c>
      <c r="G281" s="0" t="s">
        <v>576</v>
      </c>
      <c r="I281" s="0" t="s">
        <v>138</v>
      </c>
    </row>
    <row r="282" customFormat="false" ht="15" hidden="false" customHeight="false" outlineLevel="0" collapsed="false">
      <c r="A282" s="0" t="n">
        <v>281</v>
      </c>
      <c r="B282" s="0" t="s">
        <v>134</v>
      </c>
      <c r="C282" s="0" t="s">
        <v>47</v>
      </c>
      <c r="D282" s="0" t="s">
        <v>135</v>
      </c>
      <c r="E282" s="0" t="s">
        <v>572</v>
      </c>
      <c r="F282" s="0" t="s">
        <v>613</v>
      </c>
      <c r="G282" s="0" t="s">
        <v>543</v>
      </c>
      <c r="I282" s="0" t="s">
        <v>138</v>
      </c>
    </row>
    <row r="283" customFormat="false" ht="15" hidden="false" customHeight="false" outlineLevel="0" collapsed="false">
      <c r="A283" s="0" t="n">
        <v>282</v>
      </c>
      <c r="B283" s="0" t="s">
        <v>134</v>
      </c>
      <c r="C283" s="0" t="s">
        <v>47</v>
      </c>
      <c r="D283" s="0" t="s">
        <v>135</v>
      </c>
      <c r="E283" s="0" t="s">
        <v>572</v>
      </c>
      <c r="F283" s="0" t="s">
        <v>614</v>
      </c>
      <c r="G283" s="0" t="s">
        <v>615</v>
      </c>
      <c r="I283" s="0" t="s">
        <v>138</v>
      </c>
    </row>
    <row r="284" customFormat="false" ht="15" hidden="false" customHeight="false" outlineLevel="0" collapsed="false">
      <c r="A284" s="0" t="n">
        <v>283</v>
      </c>
      <c r="B284" s="0" t="s">
        <v>134</v>
      </c>
      <c r="C284" s="0" t="s">
        <v>47</v>
      </c>
      <c r="D284" s="0" t="s">
        <v>135</v>
      </c>
      <c r="E284" s="0" t="s">
        <v>572</v>
      </c>
      <c r="F284" s="0" t="s">
        <v>616</v>
      </c>
      <c r="G284" s="0" t="s">
        <v>617</v>
      </c>
      <c r="I284" s="0" t="s">
        <v>138</v>
      </c>
    </row>
    <row r="285" customFormat="false" ht="15" hidden="false" customHeight="false" outlineLevel="0" collapsed="false">
      <c r="A285" s="0" t="n">
        <v>284</v>
      </c>
      <c r="B285" s="0" t="s">
        <v>134</v>
      </c>
      <c r="C285" s="0" t="s">
        <v>47</v>
      </c>
      <c r="D285" s="0" t="s">
        <v>135</v>
      </c>
      <c r="E285" s="0" t="s">
        <v>572</v>
      </c>
      <c r="F285" s="0" t="s">
        <v>618</v>
      </c>
      <c r="G285" s="0" t="s">
        <v>619</v>
      </c>
      <c r="I285" s="0" t="s">
        <v>138</v>
      </c>
    </row>
    <row r="286" customFormat="false" ht="15" hidden="false" customHeight="false" outlineLevel="0" collapsed="false">
      <c r="A286" s="0" t="n">
        <v>285</v>
      </c>
      <c r="B286" s="0" t="s">
        <v>134</v>
      </c>
      <c r="C286" s="0" t="s">
        <v>47</v>
      </c>
      <c r="D286" s="0" t="s">
        <v>135</v>
      </c>
      <c r="E286" s="0" t="s">
        <v>572</v>
      </c>
      <c r="F286" s="0" t="s">
        <v>620</v>
      </c>
      <c r="G286" s="0" t="s">
        <v>621</v>
      </c>
      <c r="I286" s="0" t="s">
        <v>138</v>
      </c>
    </row>
    <row r="287" customFormat="false" ht="15" hidden="false" customHeight="false" outlineLevel="0" collapsed="false">
      <c r="A287" s="0" t="n">
        <v>286</v>
      </c>
      <c r="B287" s="0" t="s">
        <v>134</v>
      </c>
      <c r="C287" s="0" t="s">
        <v>47</v>
      </c>
      <c r="D287" s="0" t="s">
        <v>135</v>
      </c>
      <c r="E287" s="0" t="s">
        <v>572</v>
      </c>
      <c r="F287" s="0" t="s">
        <v>622</v>
      </c>
      <c r="G287" s="0" t="s">
        <v>623</v>
      </c>
      <c r="I287" s="0" t="s">
        <v>138</v>
      </c>
    </row>
    <row r="288" customFormat="false" ht="15" hidden="false" customHeight="false" outlineLevel="0" collapsed="false">
      <c r="A288" s="0" t="n">
        <v>287</v>
      </c>
      <c r="B288" s="0" t="s">
        <v>134</v>
      </c>
      <c r="C288" s="0" t="s">
        <v>47</v>
      </c>
      <c r="D288" s="0" t="s">
        <v>135</v>
      </c>
      <c r="E288" s="0" t="s">
        <v>572</v>
      </c>
      <c r="F288" s="0" t="s">
        <v>624</v>
      </c>
      <c r="G288" s="0" t="s">
        <v>625</v>
      </c>
      <c r="I288" s="0" t="s">
        <v>138</v>
      </c>
    </row>
    <row r="289" customFormat="false" ht="15" hidden="false" customHeight="false" outlineLevel="0" collapsed="false">
      <c r="A289" s="0" t="n">
        <v>288</v>
      </c>
      <c r="B289" s="0" t="s">
        <v>134</v>
      </c>
      <c r="C289" s="0" t="s">
        <v>47</v>
      </c>
      <c r="D289" s="0" t="s">
        <v>135</v>
      </c>
      <c r="E289" s="0" t="s">
        <v>572</v>
      </c>
      <c r="F289" s="0" t="s">
        <v>626</v>
      </c>
      <c r="G289" s="0" t="s">
        <v>627</v>
      </c>
      <c r="I289" s="0" t="s">
        <v>138</v>
      </c>
    </row>
    <row r="290" customFormat="false" ht="15" hidden="false" customHeight="false" outlineLevel="0" collapsed="false">
      <c r="A290" s="0" t="n">
        <v>289</v>
      </c>
      <c r="B290" s="0" t="s">
        <v>134</v>
      </c>
      <c r="C290" s="0" t="s">
        <v>47</v>
      </c>
      <c r="D290" s="0" t="s">
        <v>135</v>
      </c>
      <c r="E290" s="0" t="s">
        <v>572</v>
      </c>
      <c r="F290" s="0" t="s">
        <v>628</v>
      </c>
      <c r="G290" s="0" t="s">
        <v>629</v>
      </c>
      <c r="I290" s="0" t="s">
        <v>138</v>
      </c>
    </row>
    <row r="291" customFormat="false" ht="15" hidden="false" customHeight="false" outlineLevel="0" collapsed="false">
      <c r="A291" s="0" t="n">
        <v>290</v>
      </c>
      <c r="B291" s="0" t="s">
        <v>134</v>
      </c>
      <c r="C291" s="0" t="s">
        <v>47</v>
      </c>
      <c r="D291" s="0" t="s">
        <v>135</v>
      </c>
      <c r="E291" s="0" t="s">
        <v>572</v>
      </c>
      <c r="F291" s="0" t="s">
        <v>630</v>
      </c>
      <c r="G291" s="0" t="s">
        <v>631</v>
      </c>
      <c r="I291" s="0" t="s">
        <v>138</v>
      </c>
    </row>
    <row r="292" customFormat="false" ht="15" hidden="false" customHeight="false" outlineLevel="0" collapsed="false">
      <c r="A292" s="0" t="n">
        <v>291</v>
      </c>
      <c r="B292" s="0" t="s">
        <v>134</v>
      </c>
      <c r="C292" s="0" t="s">
        <v>47</v>
      </c>
      <c r="D292" s="0" t="s">
        <v>135</v>
      </c>
      <c r="E292" s="0" t="s">
        <v>572</v>
      </c>
      <c r="F292" s="0" t="s">
        <v>632</v>
      </c>
      <c r="G292" s="0" t="s">
        <v>633</v>
      </c>
      <c r="I292" s="0" t="s">
        <v>138</v>
      </c>
    </row>
    <row r="293" customFormat="false" ht="15" hidden="false" customHeight="false" outlineLevel="0" collapsed="false">
      <c r="A293" s="0" t="n">
        <v>292</v>
      </c>
      <c r="B293" s="0" t="s">
        <v>134</v>
      </c>
      <c r="C293" s="0" t="s">
        <v>47</v>
      </c>
      <c r="D293" s="0" t="s">
        <v>135</v>
      </c>
      <c r="E293" s="0" t="s">
        <v>572</v>
      </c>
      <c r="F293" s="0" t="s">
        <v>634</v>
      </c>
      <c r="G293" s="0" t="s">
        <v>635</v>
      </c>
      <c r="I293" s="0" t="s">
        <v>138</v>
      </c>
    </row>
    <row r="294" customFormat="false" ht="15" hidden="false" customHeight="false" outlineLevel="0" collapsed="false">
      <c r="A294" s="0" t="n">
        <v>293</v>
      </c>
      <c r="B294" s="0" t="s">
        <v>134</v>
      </c>
      <c r="C294" s="0" t="s">
        <v>47</v>
      </c>
      <c r="D294" s="0" t="s">
        <v>135</v>
      </c>
      <c r="E294" s="0" t="s">
        <v>572</v>
      </c>
      <c r="F294" s="0" t="s">
        <v>636</v>
      </c>
      <c r="G294" s="0" t="s">
        <v>637</v>
      </c>
      <c r="I294" s="0" t="s">
        <v>138</v>
      </c>
    </row>
    <row r="295" customFormat="false" ht="15" hidden="false" customHeight="false" outlineLevel="0" collapsed="false">
      <c r="A295" s="0" t="n">
        <v>294</v>
      </c>
      <c r="B295" s="0" t="s">
        <v>134</v>
      </c>
      <c r="C295" s="0" t="s">
        <v>47</v>
      </c>
      <c r="D295" s="0" t="s">
        <v>135</v>
      </c>
      <c r="E295" s="0" t="s">
        <v>572</v>
      </c>
      <c r="F295" s="0" t="s">
        <v>638</v>
      </c>
      <c r="G295" s="0" t="s">
        <v>639</v>
      </c>
      <c r="I295" s="0" t="s">
        <v>138</v>
      </c>
    </row>
    <row r="296" customFormat="false" ht="15" hidden="false" customHeight="false" outlineLevel="0" collapsed="false">
      <c r="A296" s="0" t="n">
        <v>295</v>
      </c>
      <c r="B296" s="0" t="s">
        <v>134</v>
      </c>
      <c r="C296" s="0" t="s">
        <v>47</v>
      </c>
      <c r="D296" s="0" t="s">
        <v>135</v>
      </c>
      <c r="E296" s="0" t="s">
        <v>572</v>
      </c>
      <c r="F296" s="0" t="s">
        <v>640</v>
      </c>
      <c r="G296" s="0" t="s">
        <v>641</v>
      </c>
      <c r="I296" s="0" t="s">
        <v>138</v>
      </c>
    </row>
    <row r="297" customFormat="false" ht="15" hidden="false" customHeight="false" outlineLevel="0" collapsed="false">
      <c r="A297" s="0" t="n">
        <v>296</v>
      </c>
      <c r="B297" s="0" t="s">
        <v>134</v>
      </c>
      <c r="C297" s="0" t="s">
        <v>47</v>
      </c>
      <c r="D297" s="0" t="s">
        <v>135</v>
      </c>
      <c r="E297" s="0" t="s">
        <v>572</v>
      </c>
      <c r="F297" s="0" t="s">
        <v>642</v>
      </c>
      <c r="G297" s="0" t="s">
        <v>643</v>
      </c>
      <c r="I297" s="0" t="s">
        <v>138</v>
      </c>
    </row>
    <row r="298" customFormat="false" ht="15" hidden="false" customHeight="false" outlineLevel="0" collapsed="false">
      <c r="A298" s="0" t="n">
        <v>297</v>
      </c>
      <c r="B298" s="0" t="s">
        <v>134</v>
      </c>
      <c r="C298" s="0" t="s">
        <v>47</v>
      </c>
      <c r="D298" s="0" t="s">
        <v>135</v>
      </c>
      <c r="E298" s="0" t="s">
        <v>572</v>
      </c>
      <c r="F298" s="0" t="s">
        <v>644</v>
      </c>
      <c r="G298" s="0" t="s">
        <v>645</v>
      </c>
      <c r="I298" s="0" t="s">
        <v>138</v>
      </c>
    </row>
    <row r="299" customFormat="false" ht="15" hidden="false" customHeight="false" outlineLevel="0" collapsed="false">
      <c r="A299" s="0" t="n">
        <v>298</v>
      </c>
      <c r="B299" s="0" t="s">
        <v>139</v>
      </c>
      <c r="C299" s="0" t="s">
        <v>140</v>
      </c>
      <c r="D299" s="0" t="s">
        <v>141</v>
      </c>
      <c r="E299" s="0" t="s">
        <v>142</v>
      </c>
      <c r="F299" s="0" t="s">
        <v>646</v>
      </c>
      <c r="G299" s="0" t="s">
        <v>647</v>
      </c>
      <c r="I299" s="0" t="s">
        <v>144</v>
      </c>
    </row>
    <row r="300" customFormat="false" ht="15" hidden="false" customHeight="false" outlineLevel="0" collapsed="false">
      <c r="A300" s="0" t="n">
        <v>299</v>
      </c>
      <c r="B300" s="0" t="s">
        <v>139</v>
      </c>
      <c r="C300" s="0" t="s">
        <v>140</v>
      </c>
      <c r="D300" s="0" t="s">
        <v>141</v>
      </c>
      <c r="E300" s="0" t="s">
        <v>142</v>
      </c>
      <c r="F300" s="0" t="s">
        <v>648</v>
      </c>
      <c r="G300" s="0" t="s">
        <v>254</v>
      </c>
      <c r="I300" s="0" t="s">
        <v>144</v>
      </c>
    </row>
    <row r="301" customFormat="false" ht="15" hidden="false" customHeight="false" outlineLevel="0" collapsed="false">
      <c r="A301" s="0" t="n">
        <v>300</v>
      </c>
      <c r="B301" s="0" t="s">
        <v>139</v>
      </c>
      <c r="C301" s="0" t="s">
        <v>140</v>
      </c>
      <c r="D301" s="0" t="s">
        <v>141</v>
      </c>
      <c r="E301" s="0" t="s">
        <v>142</v>
      </c>
      <c r="F301" s="0" t="s">
        <v>282</v>
      </c>
      <c r="G301" s="0" t="s">
        <v>254</v>
      </c>
      <c r="I301" s="0" t="s">
        <v>144</v>
      </c>
    </row>
    <row r="302" customFormat="false" ht="15" hidden="false" customHeight="false" outlineLevel="0" collapsed="false">
      <c r="A302" s="0" t="n">
        <v>301</v>
      </c>
      <c r="B302" s="0" t="s">
        <v>139</v>
      </c>
      <c r="C302" s="0" t="s">
        <v>140</v>
      </c>
      <c r="D302" s="0" t="s">
        <v>141</v>
      </c>
      <c r="E302" s="0" t="s">
        <v>142</v>
      </c>
      <c r="F302" s="0" t="s">
        <v>649</v>
      </c>
      <c r="G302" s="0" t="s">
        <v>254</v>
      </c>
      <c r="I302" s="0" t="s">
        <v>144</v>
      </c>
    </row>
    <row r="303" customFormat="false" ht="15" hidden="false" customHeight="false" outlineLevel="0" collapsed="false">
      <c r="A303" s="0" t="n">
        <v>302</v>
      </c>
      <c r="B303" s="0" t="s">
        <v>139</v>
      </c>
      <c r="C303" s="0" t="s">
        <v>140</v>
      </c>
      <c r="D303" s="0" t="s">
        <v>141</v>
      </c>
      <c r="E303" s="0" t="s">
        <v>142</v>
      </c>
      <c r="F303" s="0" t="s">
        <v>650</v>
      </c>
      <c r="G303" s="0" t="s">
        <v>254</v>
      </c>
      <c r="I303" s="0" t="s">
        <v>144</v>
      </c>
    </row>
    <row r="304" customFormat="false" ht="15" hidden="false" customHeight="false" outlineLevel="0" collapsed="false">
      <c r="A304" s="0" t="n">
        <v>303</v>
      </c>
      <c r="B304" s="0" t="s">
        <v>145</v>
      </c>
      <c r="C304" s="0" t="s">
        <v>146</v>
      </c>
      <c r="D304" s="0" t="s">
        <v>147</v>
      </c>
      <c r="E304" s="0" t="s">
        <v>148</v>
      </c>
      <c r="F304" s="0" t="s">
        <v>295</v>
      </c>
      <c r="G304" s="0" t="s">
        <v>651</v>
      </c>
      <c r="I304" s="0" t="s">
        <v>150</v>
      </c>
    </row>
    <row r="305" customFormat="false" ht="15" hidden="false" customHeight="false" outlineLevel="0" collapsed="false">
      <c r="A305" s="0" t="n">
        <v>304</v>
      </c>
      <c r="B305" s="0" t="s">
        <v>145</v>
      </c>
      <c r="C305" s="0" t="s">
        <v>146</v>
      </c>
      <c r="D305" s="0" t="s">
        <v>147</v>
      </c>
      <c r="E305" s="0" t="s">
        <v>148</v>
      </c>
      <c r="F305" s="0" t="s">
        <v>652</v>
      </c>
      <c r="G305" s="0" t="s">
        <v>651</v>
      </c>
      <c r="I305" s="0" t="s">
        <v>150</v>
      </c>
    </row>
    <row r="306" customFormat="false" ht="15" hidden="false" customHeight="false" outlineLevel="0" collapsed="false">
      <c r="A306" s="0" t="n">
        <v>305</v>
      </c>
      <c r="B306" s="0" t="s">
        <v>145</v>
      </c>
      <c r="C306" s="0" t="s">
        <v>146</v>
      </c>
      <c r="D306" s="0" t="s">
        <v>147</v>
      </c>
      <c r="E306" s="0" t="s">
        <v>148</v>
      </c>
      <c r="F306" s="0" t="s">
        <v>297</v>
      </c>
      <c r="G306" s="0" t="s">
        <v>653</v>
      </c>
      <c r="I306" s="0" t="s">
        <v>150</v>
      </c>
    </row>
    <row r="307" customFormat="false" ht="15" hidden="false" customHeight="false" outlineLevel="0" collapsed="false">
      <c r="A307" s="0" t="n">
        <v>306</v>
      </c>
      <c r="B307" s="0" t="s">
        <v>145</v>
      </c>
      <c r="C307" s="0" t="s">
        <v>146</v>
      </c>
      <c r="D307" s="0" t="s">
        <v>147</v>
      </c>
      <c r="E307" s="0" t="s">
        <v>148</v>
      </c>
      <c r="F307" s="0" t="s">
        <v>654</v>
      </c>
      <c r="G307" s="0" t="s">
        <v>655</v>
      </c>
      <c r="I307" s="0" t="s">
        <v>150</v>
      </c>
    </row>
    <row r="308" customFormat="false" ht="15" hidden="false" customHeight="false" outlineLevel="0" collapsed="false">
      <c r="A308" s="0" t="n">
        <v>307</v>
      </c>
      <c r="B308" s="0" t="s">
        <v>145</v>
      </c>
      <c r="C308" s="0" t="s">
        <v>146</v>
      </c>
      <c r="D308" s="0" t="s">
        <v>147</v>
      </c>
      <c r="E308" s="0" t="s">
        <v>148</v>
      </c>
      <c r="F308" s="0" t="s">
        <v>656</v>
      </c>
      <c r="G308" s="0" t="s">
        <v>657</v>
      </c>
      <c r="I308" s="0" t="s">
        <v>150</v>
      </c>
    </row>
    <row r="309" customFormat="false" ht="15" hidden="false" customHeight="false" outlineLevel="0" collapsed="false">
      <c r="A309" s="0" t="n">
        <v>308</v>
      </c>
      <c r="B309" s="0" t="s">
        <v>145</v>
      </c>
      <c r="C309" s="0" t="s">
        <v>146</v>
      </c>
      <c r="D309" s="0" t="s">
        <v>147</v>
      </c>
      <c r="E309" s="0" t="s">
        <v>148</v>
      </c>
      <c r="F309" s="0" t="s">
        <v>658</v>
      </c>
      <c r="G309" s="0" t="s">
        <v>659</v>
      </c>
      <c r="I309" s="0" t="s">
        <v>150</v>
      </c>
    </row>
    <row r="310" customFormat="false" ht="15" hidden="false" customHeight="false" outlineLevel="0" collapsed="false">
      <c r="A310" s="0" t="n">
        <v>309</v>
      </c>
      <c r="B310" s="0" t="s">
        <v>145</v>
      </c>
      <c r="C310" s="0" t="s">
        <v>146</v>
      </c>
      <c r="D310" s="0" t="s">
        <v>147</v>
      </c>
      <c r="E310" s="0" t="s">
        <v>148</v>
      </c>
      <c r="F310" s="0" t="s">
        <v>660</v>
      </c>
      <c r="G310" s="0" t="s">
        <v>300</v>
      </c>
      <c r="I310" s="0" t="s">
        <v>150</v>
      </c>
    </row>
    <row r="311" customFormat="false" ht="15" hidden="false" customHeight="false" outlineLevel="0" collapsed="false">
      <c r="A311" s="0" t="n">
        <v>310</v>
      </c>
      <c r="B311" s="0" t="s">
        <v>145</v>
      </c>
      <c r="C311" s="0" t="s">
        <v>146</v>
      </c>
      <c r="D311" s="0" t="s">
        <v>147</v>
      </c>
      <c r="E311" s="0" t="s">
        <v>148</v>
      </c>
      <c r="F311" s="0" t="s">
        <v>661</v>
      </c>
      <c r="G311" s="0" t="s">
        <v>662</v>
      </c>
      <c r="I311" s="0" t="s">
        <v>150</v>
      </c>
    </row>
    <row r="312" customFormat="false" ht="15" hidden="false" customHeight="false" outlineLevel="0" collapsed="false">
      <c r="A312" s="0" t="n">
        <v>311</v>
      </c>
      <c r="B312" s="0" t="s">
        <v>145</v>
      </c>
      <c r="C312" s="0" t="s">
        <v>146</v>
      </c>
      <c r="D312" s="0" t="s">
        <v>147</v>
      </c>
      <c r="E312" s="0" t="s">
        <v>148</v>
      </c>
      <c r="F312" s="0" t="s">
        <v>663</v>
      </c>
      <c r="G312" s="0" t="s">
        <v>664</v>
      </c>
      <c r="I312" s="0" t="s">
        <v>150</v>
      </c>
    </row>
    <row r="313" customFormat="false" ht="15" hidden="false" customHeight="false" outlineLevel="0" collapsed="false">
      <c r="A313" s="0" t="n">
        <v>312</v>
      </c>
      <c r="B313" s="0" t="s">
        <v>145</v>
      </c>
      <c r="C313" s="0" t="s">
        <v>146</v>
      </c>
      <c r="D313" s="0" t="s">
        <v>147</v>
      </c>
      <c r="E313" s="0" t="s">
        <v>148</v>
      </c>
      <c r="F313" s="0" t="s">
        <v>665</v>
      </c>
      <c r="G313" s="0" t="s">
        <v>527</v>
      </c>
      <c r="I313" s="0" t="s">
        <v>150</v>
      </c>
    </row>
    <row r="314" customFormat="false" ht="15" hidden="false" customHeight="false" outlineLevel="0" collapsed="false">
      <c r="A314" s="0" t="n">
        <v>313</v>
      </c>
      <c r="B314" s="0" t="s">
        <v>145</v>
      </c>
      <c r="C314" s="0" t="s">
        <v>146</v>
      </c>
      <c r="D314" s="0" t="s">
        <v>147</v>
      </c>
      <c r="E314" s="0" t="s">
        <v>148</v>
      </c>
      <c r="F314" s="0" t="s">
        <v>666</v>
      </c>
      <c r="G314" s="0" t="s">
        <v>635</v>
      </c>
      <c r="I314" s="0" t="s">
        <v>150</v>
      </c>
    </row>
    <row r="315" customFormat="false" ht="15" hidden="false" customHeight="false" outlineLevel="0" collapsed="false">
      <c r="A315" s="0" t="n">
        <v>314</v>
      </c>
      <c r="B315" s="0" t="s">
        <v>145</v>
      </c>
      <c r="C315" s="0" t="s">
        <v>146</v>
      </c>
      <c r="D315" s="0" t="s">
        <v>147</v>
      </c>
      <c r="E315" s="0" t="s">
        <v>148</v>
      </c>
      <c r="F315" s="0" t="s">
        <v>667</v>
      </c>
      <c r="G315" s="0" t="s">
        <v>519</v>
      </c>
      <c r="I315" s="0" t="s">
        <v>150</v>
      </c>
    </row>
    <row r="316" customFormat="false" ht="15" hidden="false" customHeight="false" outlineLevel="0" collapsed="false">
      <c r="A316" s="0" t="n">
        <v>315</v>
      </c>
      <c r="B316" s="0" t="s">
        <v>145</v>
      </c>
      <c r="C316" s="0" t="s">
        <v>146</v>
      </c>
      <c r="D316" s="0" t="s">
        <v>147</v>
      </c>
      <c r="E316" s="0" t="s">
        <v>148</v>
      </c>
      <c r="F316" s="0" t="s">
        <v>668</v>
      </c>
      <c r="G316" s="0" t="s">
        <v>669</v>
      </c>
      <c r="I316" s="0" t="s">
        <v>150</v>
      </c>
    </row>
    <row r="317" customFormat="false" ht="15" hidden="false" customHeight="false" outlineLevel="0" collapsed="false">
      <c r="A317" s="0" t="n">
        <v>316</v>
      </c>
      <c r="B317" s="0" t="s">
        <v>145</v>
      </c>
      <c r="C317" s="0" t="s">
        <v>146</v>
      </c>
      <c r="D317" s="0" t="s">
        <v>147</v>
      </c>
      <c r="E317" s="0" t="s">
        <v>148</v>
      </c>
      <c r="F317" s="0" t="s">
        <v>670</v>
      </c>
      <c r="G317" s="0" t="s">
        <v>671</v>
      </c>
      <c r="I317" s="0" t="s">
        <v>150</v>
      </c>
    </row>
    <row r="318" customFormat="false" ht="15" hidden="false" customHeight="false" outlineLevel="0" collapsed="false">
      <c r="A318" s="0" t="n">
        <v>317</v>
      </c>
      <c r="B318" s="0" t="s">
        <v>145</v>
      </c>
      <c r="C318" s="0" t="s">
        <v>146</v>
      </c>
      <c r="D318" s="0" t="s">
        <v>147</v>
      </c>
      <c r="E318" s="0" t="s">
        <v>148</v>
      </c>
      <c r="F318" s="0" t="s">
        <v>672</v>
      </c>
      <c r="G318" s="0" t="s">
        <v>635</v>
      </c>
      <c r="I318" s="0" t="s">
        <v>150</v>
      </c>
    </row>
    <row r="319" customFormat="false" ht="15" hidden="false" customHeight="false" outlineLevel="0" collapsed="false">
      <c r="A319" s="0" t="n">
        <v>318</v>
      </c>
      <c r="B319" s="0" t="s">
        <v>145</v>
      </c>
      <c r="C319" s="0" t="s">
        <v>146</v>
      </c>
      <c r="D319" s="0" t="s">
        <v>147</v>
      </c>
      <c r="E319" s="0" t="s">
        <v>148</v>
      </c>
      <c r="F319" s="0" t="s">
        <v>673</v>
      </c>
      <c r="G319" s="0" t="s">
        <v>674</v>
      </c>
      <c r="I319" s="0" t="s">
        <v>150</v>
      </c>
    </row>
    <row r="320" customFormat="false" ht="15" hidden="false" customHeight="false" outlineLevel="0" collapsed="false">
      <c r="A320" s="0" t="n">
        <v>319</v>
      </c>
      <c r="B320" s="0" t="s">
        <v>145</v>
      </c>
      <c r="C320" s="0" t="s">
        <v>146</v>
      </c>
      <c r="D320" s="0" t="s">
        <v>147</v>
      </c>
      <c r="E320" s="0" t="s">
        <v>148</v>
      </c>
      <c r="F320" s="0" t="s">
        <v>675</v>
      </c>
      <c r="G320" s="0" t="s">
        <v>676</v>
      </c>
      <c r="I320" s="0" t="s">
        <v>150</v>
      </c>
    </row>
    <row r="321" customFormat="false" ht="15" hidden="false" customHeight="false" outlineLevel="0" collapsed="false">
      <c r="A321" s="0" t="n">
        <v>320</v>
      </c>
      <c r="B321" s="0" t="s">
        <v>145</v>
      </c>
      <c r="C321" s="0" t="s">
        <v>146</v>
      </c>
      <c r="D321" s="0" t="s">
        <v>147</v>
      </c>
      <c r="E321" s="0" t="s">
        <v>148</v>
      </c>
      <c r="F321" s="0" t="s">
        <v>677</v>
      </c>
      <c r="G321" s="0" t="s">
        <v>678</v>
      </c>
      <c r="I321" s="0" t="s">
        <v>150</v>
      </c>
    </row>
    <row r="322" customFormat="false" ht="15" hidden="false" customHeight="false" outlineLevel="0" collapsed="false">
      <c r="A322" s="0" t="n">
        <v>321</v>
      </c>
      <c r="B322" s="0" t="s">
        <v>145</v>
      </c>
      <c r="C322" s="0" t="s">
        <v>146</v>
      </c>
      <c r="D322" s="0" t="s">
        <v>147</v>
      </c>
      <c r="E322" s="0" t="s">
        <v>148</v>
      </c>
      <c r="F322" s="0" t="s">
        <v>679</v>
      </c>
      <c r="G322" s="0" t="s">
        <v>680</v>
      </c>
      <c r="I322" s="0" t="s">
        <v>150</v>
      </c>
    </row>
    <row r="323" customFormat="false" ht="15" hidden="false" customHeight="false" outlineLevel="0" collapsed="false">
      <c r="A323" s="0" t="n">
        <v>322</v>
      </c>
      <c r="B323" s="0" t="s">
        <v>145</v>
      </c>
      <c r="C323" s="0" t="s">
        <v>146</v>
      </c>
      <c r="D323" s="0" t="s">
        <v>147</v>
      </c>
      <c r="E323" s="0" t="s">
        <v>148</v>
      </c>
      <c r="F323" s="0" t="s">
        <v>681</v>
      </c>
      <c r="G323" s="0" t="s">
        <v>682</v>
      </c>
      <c r="I323" s="0" t="s">
        <v>150</v>
      </c>
    </row>
    <row r="324" customFormat="false" ht="15" hidden="false" customHeight="false" outlineLevel="0" collapsed="false">
      <c r="A324" s="0" t="n">
        <v>323</v>
      </c>
      <c r="B324" s="0" t="s">
        <v>145</v>
      </c>
      <c r="C324" s="0" t="s">
        <v>146</v>
      </c>
      <c r="D324" s="0" t="s">
        <v>147</v>
      </c>
      <c r="E324" s="0" t="s">
        <v>148</v>
      </c>
      <c r="F324" s="0" t="s">
        <v>683</v>
      </c>
      <c r="G324" s="0" t="s">
        <v>615</v>
      </c>
      <c r="I324" s="0" t="s">
        <v>150</v>
      </c>
    </row>
    <row r="325" customFormat="false" ht="15" hidden="false" customHeight="false" outlineLevel="0" collapsed="false">
      <c r="A325" s="0" t="n">
        <v>324</v>
      </c>
      <c r="B325" s="0" t="s">
        <v>145</v>
      </c>
      <c r="C325" s="0" t="s">
        <v>146</v>
      </c>
      <c r="D325" s="0" t="s">
        <v>147</v>
      </c>
      <c r="E325" s="0" t="s">
        <v>148</v>
      </c>
      <c r="F325" s="0" t="s">
        <v>684</v>
      </c>
      <c r="G325" s="0" t="s">
        <v>685</v>
      </c>
      <c r="I325" s="0" t="s">
        <v>150</v>
      </c>
    </row>
    <row r="326" customFormat="false" ht="15" hidden="false" customHeight="false" outlineLevel="0" collapsed="false">
      <c r="A326" s="0" t="n">
        <v>325</v>
      </c>
      <c r="B326" s="0" t="s">
        <v>145</v>
      </c>
      <c r="C326" s="0" t="s">
        <v>146</v>
      </c>
      <c r="D326" s="0" t="s">
        <v>147</v>
      </c>
      <c r="E326" s="0" t="s">
        <v>148</v>
      </c>
      <c r="F326" s="0" t="s">
        <v>686</v>
      </c>
      <c r="G326" s="0" t="s">
        <v>687</v>
      </c>
      <c r="I326" s="0" t="s">
        <v>150</v>
      </c>
    </row>
    <row r="327" customFormat="false" ht="15" hidden="false" customHeight="false" outlineLevel="0" collapsed="false">
      <c r="A327" s="0" t="n">
        <v>326</v>
      </c>
      <c r="B327" s="0" t="s">
        <v>145</v>
      </c>
      <c r="C327" s="0" t="s">
        <v>146</v>
      </c>
      <c r="D327" s="0" t="s">
        <v>147</v>
      </c>
      <c r="E327" s="0" t="s">
        <v>148</v>
      </c>
      <c r="F327" s="0" t="s">
        <v>688</v>
      </c>
      <c r="G327" s="0" t="s">
        <v>685</v>
      </c>
      <c r="I327" s="0" t="s">
        <v>150</v>
      </c>
    </row>
    <row r="328" customFormat="false" ht="15" hidden="false" customHeight="false" outlineLevel="0" collapsed="false">
      <c r="A328" s="0" t="n">
        <v>327</v>
      </c>
      <c r="B328" s="0" t="s">
        <v>145</v>
      </c>
      <c r="C328" s="0" t="s">
        <v>146</v>
      </c>
      <c r="D328" s="0" t="s">
        <v>147</v>
      </c>
      <c r="E328" s="0" t="s">
        <v>148</v>
      </c>
      <c r="F328" s="0" t="s">
        <v>689</v>
      </c>
      <c r="G328" s="0" t="s">
        <v>556</v>
      </c>
      <c r="I328" s="0" t="s">
        <v>150</v>
      </c>
    </row>
    <row r="329" customFormat="false" ht="15" hidden="false" customHeight="false" outlineLevel="0" collapsed="false">
      <c r="A329" s="0" t="n">
        <v>328</v>
      </c>
      <c r="B329" s="0" t="s">
        <v>145</v>
      </c>
      <c r="C329" s="0" t="s">
        <v>146</v>
      </c>
      <c r="D329" s="0" t="s">
        <v>147</v>
      </c>
      <c r="E329" s="0" t="s">
        <v>148</v>
      </c>
      <c r="F329" s="0" t="s">
        <v>690</v>
      </c>
      <c r="G329" s="0" t="s">
        <v>691</v>
      </c>
      <c r="I329" s="0" t="s">
        <v>150</v>
      </c>
    </row>
    <row r="330" customFormat="false" ht="15" hidden="false" customHeight="false" outlineLevel="0" collapsed="false">
      <c r="A330" s="0" t="n">
        <v>329</v>
      </c>
      <c r="B330" s="0" t="s">
        <v>145</v>
      </c>
      <c r="C330" s="0" t="s">
        <v>146</v>
      </c>
      <c r="D330" s="0" t="s">
        <v>147</v>
      </c>
      <c r="E330" s="0" t="s">
        <v>148</v>
      </c>
      <c r="F330" s="0" t="s">
        <v>311</v>
      </c>
      <c r="G330" s="0" t="s">
        <v>609</v>
      </c>
      <c r="I330" s="0" t="s">
        <v>150</v>
      </c>
    </row>
    <row r="331" customFormat="false" ht="15" hidden="false" customHeight="false" outlineLevel="0" collapsed="false">
      <c r="A331" s="0" t="n">
        <v>330</v>
      </c>
      <c r="B331" s="0" t="s">
        <v>145</v>
      </c>
      <c r="C331" s="0" t="s">
        <v>146</v>
      </c>
      <c r="D331" s="0" t="s">
        <v>147</v>
      </c>
      <c r="E331" s="0" t="s">
        <v>148</v>
      </c>
      <c r="F331" s="0" t="s">
        <v>391</v>
      </c>
      <c r="G331" s="0" t="s">
        <v>417</v>
      </c>
      <c r="I331" s="0" t="s">
        <v>150</v>
      </c>
    </row>
    <row r="332" customFormat="false" ht="15" hidden="false" customHeight="false" outlineLevel="0" collapsed="false">
      <c r="A332" s="0" t="n">
        <v>331</v>
      </c>
      <c r="B332" s="0" t="s">
        <v>145</v>
      </c>
      <c r="C332" s="0" t="s">
        <v>146</v>
      </c>
      <c r="D332" s="0" t="s">
        <v>147</v>
      </c>
      <c r="E332" s="0" t="s">
        <v>148</v>
      </c>
      <c r="F332" s="0" t="s">
        <v>692</v>
      </c>
      <c r="G332" s="0" t="s">
        <v>693</v>
      </c>
      <c r="I332" s="0" t="s">
        <v>150</v>
      </c>
    </row>
    <row r="333" customFormat="false" ht="15" hidden="false" customHeight="false" outlineLevel="0" collapsed="false">
      <c r="A333" s="0" t="n">
        <v>332</v>
      </c>
      <c r="B333" s="0" t="s">
        <v>145</v>
      </c>
      <c r="C333" s="0" t="s">
        <v>146</v>
      </c>
      <c r="D333" s="0" t="s">
        <v>147</v>
      </c>
      <c r="E333" s="0" t="s">
        <v>148</v>
      </c>
      <c r="F333" s="0" t="s">
        <v>694</v>
      </c>
      <c r="G333" s="0" t="s">
        <v>695</v>
      </c>
      <c r="I333" s="0" t="s">
        <v>150</v>
      </c>
    </row>
    <row r="334" customFormat="false" ht="15" hidden="false" customHeight="false" outlineLevel="0" collapsed="false">
      <c r="A334" s="0" t="n">
        <v>333</v>
      </c>
      <c r="B334" s="0" t="s">
        <v>145</v>
      </c>
      <c r="C334" s="0" t="s">
        <v>146</v>
      </c>
      <c r="D334" s="0" t="s">
        <v>147</v>
      </c>
      <c r="E334" s="0" t="s">
        <v>148</v>
      </c>
      <c r="F334" s="0" t="s">
        <v>696</v>
      </c>
      <c r="G334" s="0" t="s">
        <v>685</v>
      </c>
      <c r="I334" s="0" t="s">
        <v>150</v>
      </c>
    </row>
    <row r="335" customFormat="false" ht="15" hidden="false" customHeight="false" outlineLevel="0" collapsed="false">
      <c r="A335" s="0" t="n">
        <v>334</v>
      </c>
      <c r="B335" s="0" t="s">
        <v>145</v>
      </c>
      <c r="C335" s="0" t="s">
        <v>146</v>
      </c>
      <c r="D335" s="0" t="s">
        <v>147</v>
      </c>
      <c r="E335" s="0" t="s">
        <v>148</v>
      </c>
      <c r="F335" s="0" t="s">
        <v>697</v>
      </c>
      <c r="G335" s="0" t="s">
        <v>594</v>
      </c>
      <c r="I335" s="0" t="s">
        <v>150</v>
      </c>
    </row>
    <row r="336" customFormat="false" ht="15" hidden="false" customHeight="false" outlineLevel="0" collapsed="false">
      <c r="A336" s="0" t="n">
        <v>335</v>
      </c>
      <c r="B336" s="0" t="s">
        <v>145</v>
      </c>
      <c r="C336" s="0" t="s">
        <v>146</v>
      </c>
      <c r="D336" s="0" t="s">
        <v>147</v>
      </c>
      <c r="E336" s="0" t="s">
        <v>148</v>
      </c>
      <c r="F336" s="0" t="s">
        <v>698</v>
      </c>
      <c r="G336" s="0" t="s">
        <v>699</v>
      </c>
      <c r="I336" s="0" t="s">
        <v>150</v>
      </c>
    </row>
    <row r="337" customFormat="false" ht="15" hidden="false" customHeight="false" outlineLevel="0" collapsed="false">
      <c r="A337" s="0" t="n">
        <v>336</v>
      </c>
      <c r="B337" s="0" t="s">
        <v>145</v>
      </c>
      <c r="C337" s="0" t="s">
        <v>146</v>
      </c>
      <c r="D337" s="0" t="s">
        <v>147</v>
      </c>
      <c r="E337" s="0" t="s">
        <v>148</v>
      </c>
      <c r="F337" s="0" t="s">
        <v>700</v>
      </c>
      <c r="G337" s="0" t="s">
        <v>699</v>
      </c>
      <c r="I337" s="0" t="s">
        <v>150</v>
      </c>
    </row>
    <row r="338" customFormat="false" ht="15" hidden="false" customHeight="false" outlineLevel="0" collapsed="false">
      <c r="A338" s="0" t="n">
        <v>337</v>
      </c>
      <c r="B338" s="0" t="s">
        <v>145</v>
      </c>
      <c r="C338" s="0" t="s">
        <v>146</v>
      </c>
      <c r="D338" s="0" t="s">
        <v>147</v>
      </c>
      <c r="E338" s="0" t="s">
        <v>148</v>
      </c>
      <c r="F338" s="0" t="s">
        <v>701</v>
      </c>
      <c r="G338" s="0" t="s">
        <v>685</v>
      </c>
      <c r="I338" s="0" t="s">
        <v>150</v>
      </c>
    </row>
    <row r="339" customFormat="false" ht="15" hidden="false" customHeight="false" outlineLevel="0" collapsed="false">
      <c r="A339" s="0" t="n">
        <v>338</v>
      </c>
      <c r="B339" s="0" t="s">
        <v>145</v>
      </c>
      <c r="C339" s="0" t="s">
        <v>146</v>
      </c>
      <c r="D339" s="0" t="s">
        <v>147</v>
      </c>
      <c r="E339" s="0" t="s">
        <v>148</v>
      </c>
      <c r="F339" s="0" t="s">
        <v>702</v>
      </c>
      <c r="G339" s="0" t="s">
        <v>594</v>
      </c>
      <c r="I339" s="0" t="s">
        <v>150</v>
      </c>
    </row>
    <row r="340" customFormat="false" ht="15" hidden="false" customHeight="false" outlineLevel="0" collapsed="false">
      <c r="A340" s="0" t="n">
        <v>339</v>
      </c>
      <c r="B340" s="0" t="s">
        <v>145</v>
      </c>
      <c r="C340" s="0" t="s">
        <v>146</v>
      </c>
      <c r="D340" s="0" t="s">
        <v>147</v>
      </c>
      <c r="E340" s="0" t="s">
        <v>148</v>
      </c>
      <c r="F340" s="0" t="s">
        <v>703</v>
      </c>
      <c r="G340" s="0" t="s">
        <v>704</v>
      </c>
      <c r="I340" s="0" t="s">
        <v>150</v>
      </c>
    </row>
    <row r="341" customFormat="false" ht="15" hidden="false" customHeight="false" outlineLevel="0" collapsed="false">
      <c r="A341" s="0" t="n">
        <v>340</v>
      </c>
      <c r="B341" s="0" t="s">
        <v>145</v>
      </c>
      <c r="C341" s="0" t="s">
        <v>146</v>
      </c>
      <c r="D341" s="0" t="s">
        <v>147</v>
      </c>
      <c r="E341" s="0" t="s">
        <v>148</v>
      </c>
      <c r="F341" s="0" t="s">
        <v>705</v>
      </c>
      <c r="G341" s="0" t="s">
        <v>706</v>
      </c>
      <c r="I341" s="0" t="s">
        <v>150</v>
      </c>
    </row>
    <row r="342" customFormat="false" ht="15" hidden="false" customHeight="false" outlineLevel="0" collapsed="false">
      <c r="A342" s="0" t="n">
        <v>341</v>
      </c>
      <c r="B342" s="0" t="s">
        <v>145</v>
      </c>
      <c r="C342" s="0" t="s">
        <v>146</v>
      </c>
      <c r="D342" s="0" t="s">
        <v>147</v>
      </c>
      <c r="E342" s="0" t="s">
        <v>148</v>
      </c>
      <c r="F342" s="0" t="s">
        <v>618</v>
      </c>
      <c r="G342" s="0" t="s">
        <v>707</v>
      </c>
      <c r="I342" s="0" t="s">
        <v>150</v>
      </c>
    </row>
    <row r="343" customFormat="false" ht="15" hidden="false" customHeight="false" outlineLevel="0" collapsed="false">
      <c r="A343" s="0" t="n">
        <v>342</v>
      </c>
      <c r="B343" s="0" t="s">
        <v>145</v>
      </c>
      <c r="C343" s="0" t="s">
        <v>146</v>
      </c>
      <c r="D343" s="0" t="s">
        <v>147</v>
      </c>
      <c r="E343" s="0" t="s">
        <v>148</v>
      </c>
      <c r="F343" s="0" t="s">
        <v>626</v>
      </c>
      <c r="G343" s="0" t="s">
        <v>708</v>
      </c>
      <c r="I343" s="0" t="s">
        <v>150</v>
      </c>
    </row>
    <row r="344" customFormat="false" ht="15" hidden="false" customHeight="false" outlineLevel="0" collapsed="false">
      <c r="A344" s="0" t="n">
        <v>343</v>
      </c>
      <c r="B344" s="0" t="s">
        <v>145</v>
      </c>
      <c r="C344" s="0" t="s">
        <v>146</v>
      </c>
      <c r="D344" s="0" t="s">
        <v>147</v>
      </c>
      <c r="E344" s="0" t="s">
        <v>148</v>
      </c>
      <c r="F344" s="0" t="s">
        <v>630</v>
      </c>
      <c r="G344" s="0" t="s">
        <v>709</v>
      </c>
      <c r="I344" s="0" t="s">
        <v>150</v>
      </c>
    </row>
    <row r="345" customFormat="false" ht="15" hidden="false" customHeight="false" outlineLevel="0" collapsed="false">
      <c r="A345" s="0" t="n">
        <v>344</v>
      </c>
      <c r="B345" s="0" t="s">
        <v>145</v>
      </c>
      <c r="C345" s="0" t="s">
        <v>146</v>
      </c>
      <c r="D345" s="0" t="s">
        <v>147</v>
      </c>
      <c r="E345" s="0" t="s">
        <v>148</v>
      </c>
      <c r="F345" s="0" t="s">
        <v>710</v>
      </c>
      <c r="G345" s="0" t="s">
        <v>711</v>
      </c>
      <c r="I345" s="0" t="s">
        <v>150</v>
      </c>
    </row>
    <row r="346" customFormat="false" ht="15" hidden="false" customHeight="false" outlineLevel="0" collapsed="false">
      <c r="A346" s="0" t="n">
        <v>345</v>
      </c>
      <c r="B346" s="0" t="s">
        <v>145</v>
      </c>
      <c r="C346" s="0" t="s">
        <v>146</v>
      </c>
      <c r="D346" s="0" t="s">
        <v>147</v>
      </c>
      <c r="E346" s="0" t="s">
        <v>148</v>
      </c>
      <c r="F346" s="0" t="s">
        <v>712</v>
      </c>
      <c r="G346" s="0" t="s">
        <v>594</v>
      </c>
      <c r="I346" s="0" t="s">
        <v>150</v>
      </c>
    </row>
    <row r="347" customFormat="false" ht="15" hidden="false" customHeight="false" outlineLevel="0" collapsed="false">
      <c r="A347" s="0" t="n">
        <v>346</v>
      </c>
      <c r="B347" s="0" t="s">
        <v>151</v>
      </c>
      <c r="C347" s="0" t="s">
        <v>152</v>
      </c>
      <c r="D347" s="0" t="s">
        <v>153</v>
      </c>
      <c r="E347" s="0" t="s">
        <v>154</v>
      </c>
      <c r="F347" s="0" t="s">
        <v>713</v>
      </c>
      <c r="G347" s="0" t="s">
        <v>714</v>
      </c>
      <c r="I347" s="0" t="s">
        <v>156</v>
      </c>
    </row>
    <row r="348" customFormat="false" ht="15" hidden="false" customHeight="false" outlineLevel="0" collapsed="false">
      <c r="A348" s="0" t="n">
        <v>347</v>
      </c>
      <c r="B348" s="0" t="s">
        <v>151</v>
      </c>
      <c r="C348" s="0" t="s">
        <v>152</v>
      </c>
      <c r="D348" s="0" t="s">
        <v>153</v>
      </c>
      <c r="E348" s="0" t="s">
        <v>154</v>
      </c>
      <c r="F348" s="0" t="s">
        <v>715</v>
      </c>
      <c r="G348" s="0" t="s">
        <v>254</v>
      </c>
      <c r="I348" s="0" t="s">
        <v>156</v>
      </c>
    </row>
    <row r="349" customFormat="false" ht="15" hidden="false" customHeight="false" outlineLevel="0" collapsed="false">
      <c r="A349" s="0" t="n">
        <v>348</v>
      </c>
      <c r="B349" s="0" t="s">
        <v>151</v>
      </c>
      <c r="C349" s="0" t="s">
        <v>152</v>
      </c>
      <c r="D349" s="0" t="s">
        <v>153</v>
      </c>
      <c r="E349" s="0" t="s">
        <v>154</v>
      </c>
      <c r="F349" s="0" t="s">
        <v>301</v>
      </c>
      <c r="G349" s="0" t="s">
        <v>254</v>
      </c>
      <c r="I349" s="0" t="s">
        <v>156</v>
      </c>
    </row>
    <row r="350" customFormat="false" ht="15" hidden="false" customHeight="false" outlineLevel="0" collapsed="false">
      <c r="A350" s="0" t="n">
        <v>349</v>
      </c>
      <c r="B350" s="0" t="s">
        <v>151</v>
      </c>
      <c r="C350" s="0" t="s">
        <v>152</v>
      </c>
      <c r="D350" s="0" t="s">
        <v>153</v>
      </c>
      <c r="E350" s="0" t="s">
        <v>154</v>
      </c>
      <c r="F350" s="0" t="s">
        <v>454</v>
      </c>
      <c r="G350" s="0" t="s">
        <v>254</v>
      </c>
      <c r="I350" s="0" t="s">
        <v>156</v>
      </c>
    </row>
    <row r="351" customFormat="false" ht="15" hidden="false" customHeight="false" outlineLevel="0" collapsed="false">
      <c r="A351" s="0" t="n">
        <v>350</v>
      </c>
      <c r="B351" s="0" t="s">
        <v>151</v>
      </c>
      <c r="C351" s="0" t="s">
        <v>152</v>
      </c>
      <c r="D351" s="0" t="s">
        <v>153</v>
      </c>
      <c r="E351" s="0" t="s">
        <v>154</v>
      </c>
      <c r="F351" s="0" t="s">
        <v>716</v>
      </c>
      <c r="G351" s="0" t="s">
        <v>254</v>
      </c>
      <c r="I351" s="0" t="s">
        <v>156</v>
      </c>
    </row>
    <row r="352" customFormat="false" ht="15" hidden="false" customHeight="false" outlineLevel="0" collapsed="false">
      <c r="A352" s="0" t="n">
        <v>351</v>
      </c>
      <c r="B352" s="0" t="s">
        <v>151</v>
      </c>
      <c r="C352" s="0" t="s">
        <v>152</v>
      </c>
      <c r="D352" s="0" t="s">
        <v>153</v>
      </c>
      <c r="E352" s="0" t="s">
        <v>154</v>
      </c>
      <c r="F352" s="0" t="s">
        <v>717</v>
      </c>
      <c r="G352" s="0" t="s">
        <v>254</v>
      </c>
      <c r="I352" s="0" t="s">
        <v>156</v>
      </c>
    </row>
    <row r="353" customFormat="false" ht="15" hidden="false" customHeight="false" outlineLevel="0" collapsed="false">
      <c r="A353" s="0" t="n">
        <v>352</v>
      </c>
      <c r="B353" s="0" t="s">
        <v>151</v>
      </c>
      <c r="C353" s="0" t="s">
        <v>152</v>
      </c>
      <c r="D353" s="0" t="s">
        <v>153</v>
      </c>
      <c r="E353" s="0" t="s">
        <v>154</v>
      </c>
      <c r="F353" s="0" t="s">
        <v>378</v>
      </c>
      <c r="G353" s="0" t="s">
        <v>254</v>
      </c>
      <c r="I353" s="0" t="s">
        <v>156</v>
      </c>
    </row>
    <row r="354" customFormat="false" ht="15" hidden="false" customHeight="false" outlineLevel="0" collapsed="false">
      <c r="A354" s="0" t="n">
        <v>353</v>
      </c>
      <c r="B354" s="0" t="s">
        <v>151</v>
      </c>
      <c r="C354" s="0" t="s">
        <v>152</v>
      </c>
      <c r="D354" s="0" t="s">
        <v>153</v>
      </c>
      <c r="E354" s="0" t="s">
        <v>154</v>
      </c>
      <c r="F354" s="0" t="s">
        <v>262</v>
      </c>
      <c r="G354" s="0" t="s">
        <v>254</v>
      </c>
      <c r="I354" s="0" t="s">
        <v>156</v>
      </c>
    </row>
    <row r="355" customFormat="false" ht="15" hidden="false" customHeight="false" outlineLevel="0" collapsed="false">
      <c r="A355" s="0" t="n">
        <v>354</v>
      </c>
      <c r="B355" s="0" t="s">
        <v>151</v>
      </c>
      <c r="C355" s="0" t="s">
        <v>152</v>
      </c>
      <c r="D355" s="0" t="s">
        <v>153</v>
      </c>
      <c r="E355" s="0" t="s">
        <v>154</v>
      </c>
      <c r="F355" s="0" t="s">
        <v>718</v>
      </c>
      <c r="G355" s="0" t="s">
        <v>254</v>
      </c>
      <c r="I355" s="0" t="s">
        <v>156</v>
      </c>
    </row>
    <row r="356" customFormat="false" ht="15" hidden="false" customHeight="false" outlineLevel="0" collapsed="false">
      <c r="A356" s="0" t="n">
        <v>355</v>
      </c>
      <c r="B356" s="0" t="s">
        <v>151</v>
      </c>
      <c r="C356" s="0" t="s">
        <v>152</v>
      </c>
      <c r="D356" s="0" t="s">
        <v>153</v>
      </c>
      <c r="E356" s="0" t="s">
        <v>154</v>
      </c>
      <c r="F356" s="0" t="s">
        <v>279</v>
      </c>
      <c r="G356" s="0" t="s">
        <v>254</v>
      </c>
      <c r="I356" s="0" t="s">
        <v>156</v>
      </c>
    </row>
    <row r="357" customFormat="false" ht="15" hidden="false" customHeight="false" outlineLevel="0" collapsed="false">
      <c r="A357" s="0" t="n">
        <v>356</v>
      </c>
      <c r="B357" s="0" t="s">
        <v>151</v>
      </c>
      <c r="C357" s="0" t="s">
        <v>152</v>
      </c>
      <c r="D357" s="0" t="s">
        <v>153</v>
      </c>
      <c r="E357" s="0" t="s">
        <v>154</v>
      </c>
      <c r="F357" s="0" t="s">
        <v>719</v>
      </c>
      <c r="G357" s="0" t="s">
        <v>254</v>
      </c>
      <c r="I357" s="0" t="s">
        <v>156</v>
      </c>
    </row>
    <row r="358" customFormat="false" ht="15" hidden="false" customHeight="false" outlineLevel="0" collapsed="false">
      <c r="A358" s="0" t="n">
        <v>357</v>
      </c>
      <c r="B358" s="0" t="s">
        <v>151</v>
      </c>
      <c r="C358" s="0" t="s">
        <v>152</v>
      </c>
      <c r="D358" s="0" t="s">
        <v>153</v>
      </c>
      <c r="E358" s="0" t="s">
        <v>154</v>
      </c>
      <c r="F358" s="0" t="s">
        <v>720</v>
      </c>
      <c r="G358" s="0" t="s">
        <v>254</v>
      </c>
      <c r="I358" s="0" t="s">
        <v>156</v>
      </c>
    </row>
    <row r="359" customFormat="false" ht="15" hidden="false" customHeight="false" outlineLevel="0" collapsed="false">
      <c r="A359" s="0" t="n">
        <v>358</v>
      </c>
      <c r="B359" s="0" t="s">
        <v>151</v>
      </c>
      <c r="C359" s="0" t="s">
        <v>152</v>
      </c>
      <c r="D359" s="0" t="s">
        <v>153</v>
      </c>
      <c r="E359" s="0" t="s">
        <v>154</v>
      </c>
      <c r="F359" s="0" t="s">
        <v>721</v>
      </c>
      <c r="G359" s="0" t="s">
        <v>254</v>
      </c>
      <c r="I359" s="0" t="s">
        <v>156</v>
      </c>
    </row>
    <row r="360" customFormat="false" ht="15" hidden="false" customHeight="false" outlineLevel="0" collapsed="false">
      <c r="A360" s="0" t="n">
        <v>359</v>
      </c>
      <c r="B360" s="0" t="s">
        <v>151</v>
      </c>
      <c r="C360" s="0" t="s">
        <v>152</v>
      </c>
      <c r="D360" s="0" t="s">
        <v>153</v>
      </c>
      <c r="E360" s="0" t="s">
        <v>154</v>
      </c>
      <c r="F360" s="0" t="s">
        <v>303</v>
      </c>
      <c r="G360" s="0" t="s">
        <v>254</v>
      </c>
      <c r="I360" s="0" t="s">
        <v>156</v>
      </c>
    </row>
    <row r="361" customFormat="false" ht="15" hidden="false" customHeight="false" outlineLevel="0" collapsed="false">
      <c r="A361" s="0" t="n">
        <v>360</v>
      </c>
      <c r="B361" s="0" t="s">
        <v>151</v>
      </c>
      <c r="C361" s="0" t="s">
        <v>152</v>
      </c>
      <c r="D361" s="0" t="s">
        <v>153</v>
      </c>
      <c r="E361" s="0" t="s">
        <v>154</v>
      </c>
      <c r="F361" s="0" t="s">
        <v>389</v>
      </c>
      <c r="G361" s="0" t="s">
        <v>254</v>
      </c>
      <c r="I361" s="0" t="s">
        <v>156</v>
      </c>
    </row>
    <row r="362" customFormat="false" ht="15" hidden="false" customHeight="false" outlineLevel="0" collapsed="false">
      <c r="A362" s="0" t="n">
        <v>361</v>
      </c>
      <c r="B362" s="0" t="s">
        <v>151</v>
      </c>
      <c r="C362" s="0" t="s">
        <v>152</v>
      </c>
      <c r="D362" s="0" t="s">
        <v>153</v>
      </c>
      <c r="E362" s="0" t="s">
        <v>154</v>
      </c>
      <c r="F362" s="0" t="s">
        <v>368</v>
      </c>
      <c r="G362" s="0" t="s">
        <v>254</v>
      </c>
      <c r="I362" s="0" t="s">
        <v>156</v>
      </c>
    </row>
    <row r="363" customFormat="false" ht="15" hidden="false" customHeight="false" outlineLevel="0" collapsed="false">
      <c r="A363" s="0" t="n">
        <v>362</v>
      </c>
      <c r="B363" s="0" t="s">
        <v>151</v>
      </c>
      <c r="C363" s="0" t="s">
        <v>152</v>
      </c>
      <c r="D363" s="0" t="s">
        <v>153</v>
      </c>
      <c r="E363" s="0" t="s">
        <v>154</v>
      </c>
      <c r="F363" s="0" t="s">
        <v>722</v>
      </c>
      <c r="G363" s="0" t="s">
        <v>254</v>
      </c>
      <c r="I363" s="0" t="s">
        <v>156</v>
      </c>
    </row>
    <row r="364" customFormat="false" ht="15" hidden="false" customHeight="false" outlineLevel="0" collapsed="false">
      <c r="A364" s="0" t="n">
        <v>363</v>
      </c>
      <c r="B364" s="0" t="s">
        <v>151</v>
      </c>
      <c r="C364" s="0" t="s">
        <v>152</v>
      </c>
      <c r="D364" s="0" t="s">
        <v>153</v>
      </c>
      <c r="E364" s="0" t="s">
        <v>154</v>
      </c>
      <c r="F364" s="0" t="s">
        <v>329</v>
      </c>
      <c r="G364" s="0" t="s">
        <v>254</v>
      </c>
      <c r="I364" s="0" t="s">
        <v>156</v>
      </c>
    </row>
    <row r="365" customFormat="false" ht="15" hidden="false" customHeight="false" outlineLevel="0" collapsed="false">
      <c r="A365" s="0" t="n">
        <v>364</v>
      </c>
      <c r="B365" s="0" t="s">
        <v>151</v>
      </c>
      <c r="C365" s="0" t="s">
        <v>152</v>
      </c>
      <c r="D365" s="0" t="s">
        <v>153</v>
      </c>
      <c r="E365" s="0" t="s">
        <v>154</v>
      </c>
      <c r="F365" s="0" t="s">
        <v>723</v>
      </c>
      <c r="G365" s="0" t="s">
        <v>254</v>
      </c>
      <c r="I365" s="0" t="s">
        <v>156</v>
      </c>
    </row>
    <row r="366" customFormat="false" ht="15" hidden="false" customHeight="false" outlineLevel="0" collapsed="false">
      <c r="A366" s="0" t="n">
        <v>365</v>
      </c>
      <c r="B366" s="0" t="s">
        <v>151</v>
      </c>
      <c r="C366" s="0" t="s">
        <v>152</v>
      </c>
      <c r="D366" s="0" t="s">
        <v>153</v>
      </c>
      <c r="E366" s="0" t="s">
        <v>154</v>
      </c>
      <c r="F366" s="0" t="s">
        <v>724</v>
      </c>
      <c r="G366" s="0" t="s">
        <v>254</v>
      </c>
      <c r="I366" s="0" t="s">
        <v>156</v>
      </c>
    </row>
    <row r="367" customFormat="false" ht="15" hidden="false" customHeight="false" outlineLevel="0" collapsed="false">
      <c r="A367" s="0" t="n">
        <v>366</v>
      </c>
      <c r="B367" s="0" t="s">
        <v>97</v>
      </c>
      <c r="C367" s="0" t="s">
        <v>10</v>
      </c>
      <c r="D367" s="0" t="s">
        <v>725</v>
      </c>
      <c r="E367" s="0" t="s">
        <v>99</v>
      </c>
      <c r="F367" s="0" t="s">
        <v>253</v>
      </c>
      <c r="G367" s="0" t="s">
        <v>726</v>
      </c>
      <c r="I367" s="0" t="s">
        <v>255</v>
      </c>
    </row>
    <row r="368" customFormat="false" ht="15" hidden="false" customHeight="false" outlineLevel="0" collapsed="false">
      <c r="A368" s="0" t="n">
        <v>367</v>
      </c>
      <c r="B368" s="0" t="s">
        <v>97</v>
      </c>
      <c r="C368" s="0" t="s">
        <v>10</v>
      </c>
      <c r="D368" s="0" t="s">
        <v>725</v>
      </c>
      <c r="E368" s="0" t="s">
        <v>99</v>
      </c>
      <c r="F368" s="0" t="s">
        <v>450</v>
      </c>
      <c r="G368" s="0" t="s">
        <v>727</v>
      </c>
      <c r="I368" s="0" t="s">
        <v>255</v>
      </c>
    </row>
    <row r="369" customFormat="false" ht="15" hidden="false" customHeight="false" outlineLevel="0" collapsed="false">
      <c r="A369" s="0" t="n">
        <v>368</v>
      </c>
      <c r="B369" s="0" t="s">
        <v>97</v>
      </c>
      <c r="C369" s="0" t="s">
        <v>10</v>
      </c>
      <c r="D369" s="0" t="s">
        <v>725</v>
      </c>
      <c r="E369" s="0" t="s">
        <v>99</v>
      </c>
      <c r="F369" s="0" t="s">
        <v>728</v>
      </c>
      <c r="G369" s="0" t="s">
        <v>729</v>
      </c>
      <c r="I369" s="0" t="s">
        <v>255</v>
      </c>
    </row>
    <row r="370" customFormat="false" ht="15" hidden="false" customHeight="false" outlineLevel="0" collapsed="false">
      <c r="A370" s="0" t="n">
        <v>369</v>
      </c>
      <c r="B370" s="0" t="s">
        <v>97</v>
      </c>
      <c r="C370" s="0" t="s">
        <v>10</v>
      </c>
      <c r="D370" s="0" t="s">
        <v>725</v>
      </c>
      <c r="E370" s="0" t="s">
        <v>99</v>
      </c>
      <c r="F370" s="0" t="s">
        <v>730</v>
      </c>
      <c r="G370" s="0" t="s">
        <v>254</v>
      </c>
      <c r="I370" s="0" t="s">
        <v>255</v>
      </c>
    </row>
    <row r="371" customFormat="false" ht="15" hidden="false" customHeight="false" outlineLevel="0" collapsed="false">
      <c r="A371" s="0" t="n">
        <v>370</v>
      </c>
      <c r="B371" s="0" t="s">
        <v>97</v>
      </c>
      <c r="C371" s="0" t="s">
        <v>10</v>
      </c>
      <c r="D371" s="0" t="s">
        <v>725</v>
      </c>
      <c r="E371" s="0" t="s">
        <v>99</v>
      </c>
      <c r="F371" s="0" t="s">
        <v>731</v>
      </c>
      <c r="G371" s="0" t="s">
        <v>254</v>
      </c>
      <c r="I371" s="0" t="s">
        <v>255</v>
      </c>
    </row>
    <row r="372" customFormat="false" ht="15" hidden="false" customHeight="false" outlineLevel="0" collapsed="false">
      <c r="A372" s="0" t="n">
        <v>371</v>
      </c>
      <c r="B372" s="0" t="s">
        <v>97</v>
      </c>
      <c r="C372" s="0" t="s">
        <v>10</v>
      </c>
      <c r="D372" s="0" t="s">
        <v>725</v>
      </c>
      <c r="E372" s="0" t="s">
        <v>99</v>
      </c>
      <c r="F372" s="0" t="s">
        <v>732</v>
      </c>
      <c r="G372" s="0" t="s">
        <v>254</v>
      </c>
      <c r="I372" s="0" t="s">
        <v>255</v>
      </c>
    </row>
    <row r="373" customFormat="false" ht="15" hidden="false" customHeight="false" outlineLevel="0" collapsed="false">
      <c r="A373" s="0" t="n">
        <v>372</v>
      </c>
      <c r="B373" s="0" t="s">
        <v>102</v>
      </c>
      <c r="C373" s="0" t="s">
        <v>103</v>
      </c>
      <c r="D373" s="0" t="s">
        <v>733</v>
      </c>
      <c r="E373" s="0" t="s">
        <v>105</v>
      </c>
      <c r="F373" s="0" t="s">
        <v>253</v>
      </c>
      <c r="G373" s="0" t="s">
        <v>734</v>
      </c>
      <c r="I373" s="0" t="s">
        <v>107</v>
      </c>
    </row>
    <row r="374" customFormat="false" ht="15" hidden="false" customHeight="false" outlineLevel="0" collapsed="false">
      <c r="A374" s="0" t="n">
        <v>373</v>
      </c>
      <c r="B374" s="0" t="s">
        <v>102</v>
      </c>
      <c r="C374" s="0" t="s">
        <v>103</v>
      </c>
      <c r="D374" s="0" t="s">
        <v>733</v>
      </c>
      <c r="E374" s="0" t="s">
        <v>105</v>
      </c>
      <c r="F374" s="0" t="s">
        <v>735</v>
      </c>
      <c r="G374" s="0" t="s">
        <v>734</v>
      </c>
      <c r="I374" s="0" t="s">
        <v>107</v>
      </c>
    </row>
    <row r="375" customFormat="false" ht="15" hidden="false" customHeight="false" outlineLevel="0" collapsed="false">
      <c r="A375" s="0" t="n">
        <v>374</v>
      </c>
      <c r="B375" s="0" t="s">
        <v>102</v>
      </c>
      <c r="C375" s="0" t="s">
        <v>103</v>
      </c>
      <c r="D375" s="0" t="s">
        <v>733</v>
      </c>
      <c r="E375" s="0" t="s">
        <v>105</v>
      </c>
      <c r="F375" s="0" t="s">
        <v>282</v>
      </c>
      <c r="G375" s="0" t="s">
        <v>734</v>
      </c>
      <c r="I375" s="0" t="s">
        <v>107</v>
      </c>
    </row>
    <row r="376" customFormat="false" ht="15" hidden="false" customHeight="false" outlineLevel="0" collapsed="false">
      <c r="A376" s="0" t="n">
        <v>375</v>
      </c>
      <c r="B376" s="0" t="s">
        <v>102</v>
      </c>
      <c r="C376" s="0" t="s">
        <v>103</v>
      </c>
      <c r="D376" s="0" t="s">
        <v>733</v>
      </c>
      <c r="E376" s="0" t="s">
        <v>105</v>
      </c>
      <c r="F376" s="0" t="s">
        <v>736</v>
      </c>
      <c r="G376" s="0" t="s">
        <v>737</v>
      </c>
      <c r="I376" s="0" t="s">
        <v>107</v>
      </c>
    </row>
    <row r="377" customFormat="false" ht="15" hidden="false" customHeight="false" outlineLevel="0" collapsed="false">
      <c r="A377" s="0" t="n">
        <v>376</v>
      </c>
      <c r="B377" s="0" t="s">
        <v>102</v>
      </c>
      <c r="C377" s="0" t="s">
        <v>103</v>
      </c>
      <c r="D377" s="0" t="s">
        <v>733</v>
      </c>
      <c r="E377" s="0" t="s">
        <v>105</v>
      </c>
      <c r="F377" s="0" t="s">
        <v>376</v>
      </c>
      <c r="G377" s="0" t="s">
        <v>738</v>
      </c>
      <c r="I377" s="0" t="s">
        <v>107</v>
      </c>
    </row>
    <row r="378" customFormat="false" ht="15" hidden="false" customHeight="false" outlineLevel="0" collapsed="false">
      <c r="A378" s="0" t="n">
        <v>377</v>
      </c>
      <c r="B378" s="0" t="s">
        <v>108</v>
      </c>
      <c r="C378" s="0" t="s">
        <v>109</v>
      </c>
      <c r="D378" s="0" t="s">
        <v>739</v>
      </c>
      <c r="E378" s="0" t="s">
        <v>111</v>
      </c>
      <c r="F378" s="0" t="s">
        <v>740</v>
      </c>
      <c r="G378" s="0" t="s">
        <v>741</v>
      </c>
      <c r="I378" s="0" t="s">
        <v>113</v>
      </c>
    </row>
    <row r="379" customFormat="false" ht="15" hidden="false" customHeight="false" outlineLevel="0" collapsed="false">
      <c r="A379" s="0" t="n">
        <v>378</v>
      </c>
      <c r="B379" s="0" t="s">
        <v>108</v>
      </c>
      <c r="C379" s="0" t="s">
        <v>109</v>
      </c>
      <c r="D379" s="0" t="s">
        <v>739</v>
      </c>
      <c r="E379" s="0" t="s">
        <v>111</v>
      </c>
      <c r="F379" s="0" t="s">
        <v>329</v>
      </c>
      <c r="G379" s="0" t="s">
        <v>742</v>
      </c>
      <c r="I379" s="0" t="s">
        <v>113</v>
      </c>
    </row>
    <row r="380" customFormat="false" ht="15" hidden="false" customHeight="false" outlineLevel="0" collapsed="false">
      <c r="A380" s="0" t="n">
        <v>379</v>
      </c>
      <c r="B380" s="0" t="s">
        <v>108</v>
      </c>
      <c r="C380" s="0" t="s">
        <v>109</v>
      </c>
      <c r="D380" s="0" t="s">
        <v>739</v>
      </c>
      <c r="E380" s="0" t="s">
        <v>111</v>
      </c>
      <c r="F380" s="0" t="s">
        <v>743</v>
      </c>
      <c r="G380" s="0" t="s">
        <v>744</v>
      </c>
      <c r="I380" s="0" t="s">
        <v>113</v>
      </c>
    </row>
    <row r="381" customFormat="false" ht="15" hidden="false" customHeight="false" outlineLevel="0" collapsed="false">
      <c r="A381" s="0" t="n">
        <v>380</v>
      </c>
      <c r="B381" s="0" t="s">
        <v>108</v>
      </c>
      <c r="C381" s="0" t="s">
        <v>109</v>
      </c>
      <c r="D381" s="0" t="s">
        <v>739</v>
      </c>
      <c r="E381" s="0" t="s">
        <v>111</v>
      </c>
      <c r="F381" s="0" t="s">
        <v>745</v>
      </c>
      <c r="G381" s="0" t="s">
        <v>746</v>
      </c>
      <c r="I381" s="0" t="s">
        <v>113</v>
      </c>
    </row>
    <row r="382" customFormat="false" ht="15" hidden="false" customHeight="false" outlineLevel="0" collapsed="false">
      <c r="A382" s="0" t="n">
        <v>381</v>
      </c>
      <c r="B382" s="0" t="s">
        <v>108</v>
      </c>
      <c r="C382" s="0" t="s">
        <v>109</v>
      </c>
      <c r="D382" s="0" t="s">
        <v>739</v>
      </c>
      <c r="E382" s="0" t="s">
        <v>111</v>
      </c>
      <c r="F382" s="0" t="s">
        <v>732</v>
      </c>
      <c r="G382" s="0" t="s">
        <v>747</v>
      </c>
      <c r="I382" s="0" t="s">
        <v>113</v>
      </c>
    </row>
    <row r="383" customFormat="false" ht="15" hidden="false" customHeight="false" outlineLevel="0" collapsed="false">
      <c r="A383" s="0" t="n">
        <v>382</v>
      </c>
      <c r="B383" s="0" t="s">
        <v>108</v>
      </c>
      <c r="C383" s="0" t="s">
        <v>109</v>
      </c>
      <c r="D383" s="0" t="s">
        <v>739</v>
      </c>
      <c r="E383" s="0" t="s">
        <v>111</v>
      </c>
      <c r="F383" s="0" t="s">
        <v>748</v>
      </c>
      <c r="G383" s="0" t="s">
        <v>749</v>
      </c>
      <c r="I383" s="0" t="s">
        <v>113</v>
      </c>
    </row>
    <row r="384" customFormat="false" ht="15" hidden="false" customHeight="false" outlineLevel="0" collapsed="false">
      <c r="A384" s="0" t="n">
        <v>383</v>
      </c>
      <c r="B384" s="0" t="s">
        <v>108</v>
      </c>
      <c r="C384" s="0" t="s">
        <v>109</v>
      </c>
      <c r="D384" s="0" t="s">
        <v>739</v>
      </c>
      <c r="E384" s="0" t="s">
        <v>111</v>
      </c>
      <c r="F384" s="0" t="s">
        <v>750</v>
      </c>
      <c r="G384" s="0" t="s">
        <v>751</v>
      </c>
      <c r="I384" s="0" t="s">
        <v>113</v>
      </c>
    </row>
    <row r="385" customFormat="false" ht="15" hidden="false" customHeight="false" outlineLevel="0" collapsed="false">
      <c r="A385" s="0" t="n">
        <v>384</v>
      </c>
      <c r="B385" s="0" t="s">
        <v>108</v>
      </c>
      <c r="C385" s="0" t="s">
        <v>109</v>
      </c>
      <c r="D385" s="0" t="s">
        <v>739</v>
      </c>
      <c r="E385" s="0" t="s">
        <v>111</v>
      </c>
      <c r="F385" s="0" t="s">
        <v>257</v>
      </c>
      <c r="G385" s="0" t="s">
        <v>254</v>
      </c>
      <c r="I385" s="0" t="s">
        <v>113</v>
      </c>
    </row>
    <row r="386" customFormat="false" ht="15" hidden="false" customHeight="false" outlineLevel="0" collapsed="false">
      <c r="A386" s="0" t="n">
        <v>385</v>
      </c>
      <c r="B386" s="0" t="s">
        <v>108</v>
      </c>
      <c r="C386" s="0" t="s">
        <v>109</v>
      </c>
      <c r="D386" s="0" t="s">
        <v>739</v>
      </c>
      <c r="E386" s="0" t="s">
        <v>111</v>
      </c>
      <c r="F386" s="0" t="s">
        <v>292</v>
      </c>
      <c r="G386" s="0" t="s">
        <v>254</v>
      </c>
      <c r="I386" s="0" t="s">
        <v>113</v>
      </c>
    </row>
    <row r="387" customFormat="false" ht="15" hidden="false" customHeight="false" outlineLevel="0" collapsed="false">
      <c r="A387" s="0" t="n">
        <v>386</v>
      </c>
      <c r="B387" s="0" t="s">
        <v>108</v>
      </c>
      <c r="C387" s="0" t="s">
        <v>109</v>
      </c>
      <c r="D387" s="0" t="s">
        <v>739</v>
      </c>
      <c r="E387" s="0" t="s">
        <v>111</v>
      </c>
      <c r="F387" s="0" t="s">
        <v>752</v>
      </c>
      <c r="G387" s="0" t="s">
        <v>254</v>
      </c>
      <c r="I387" s="0" t="s">
        <v>113</v>
      </c>
    </row>
    <row r="388" customFormat="false" ht="15" hidden="false" customHeight="false" outlineLevel="0" collapsed="false">
      <c r="A388" s="0" t="n">
        <v>387</v>
      </c>
      <c r="B388" s="0" t="s">
        <v>117</v>
      </c>
      <c r="C388" s="0" t="s">
        <v>23</v>
      </c>
      <c r="D388" s="0" t="s">
        <v>753</v>
      </c>
      <c r="E388" s="0" t="s">
        <v>119</v>
      </c>
      <c r="F388" s="0" t="s">
        <v>754</v>
      </c>
      <c r="G388" s="0" t="s">
        <v>755</v>
      </c>
      <c r="I388" s="0" t="s">
        <v>255</v>
      </c>
    </row>
    <row r="389" customFormat="false" ht="15" hidden="false" customHeight="false" outlineLevel="0" collapsed="false">
      <c r="A389" s="0" t="n">
        <v>388</v>
      </c>
      <c r="B389" s="0" t="s">
        <v>117</v>
      </c>
      <c r="C389" s="0" t="s">
        <v>23</v>
      </c>
      <c r="D389" s="0" t="s">
        <v>753</v>
      </c>
      <c r="E389" s="0" t="s">
        <v>119</v>
      </c>
      <c r="F389" s="0" t="s">
        <v>756</v>
      </c>
      <c r="G389" s="0" t="s">
        <v>549</v>
      </c>
      <c r="I389" s="0" t="s">
        <v>255</v>
      </c>
    </row>
    <row r="390" customFormat="false" ht="15" hidden="false" customHeight="false" outlineLevel="0" collapsed="false">
      <c r="A390" s="0" t="n">
        <v>389</v>
      </c>
      <c r="B390" s="0" t="s">
        <v>117</v>
      </c>
      <c r="C390" s="0" t="s">
        <v>23</v>
      </c>
      <c r="D390" s="0" t="s">
        <v>753</v>
      </c>
      <c r="E390" s="0" t="s">
        <v>119</v>
      </c>
      <c r="F390" s="0" t="s">
        <v>757</v>
      </c>
      <c r="G390" s="0" t="s">
        <v>758</v>
      </c>
      <c r="I390" s="0" t="s">
        <v>255</v>
      </c>
    </row>
    <row r="391" customFormat="false" ht="15" hidden="false" customHeight="false" outlineLevel="0" collapsed="false">
      <c r="A391" s="0" t="n">
        <v>390</v>
      </c>
      <c r="B391" s="0" t="s">
        <v>117</v>
      </c>
      <c r="C391" s="0" t="s">
        <v>23</v>
      </c>
      <c r="D391" s="0" t="s">
        <v>753</v>
      </c>
      <c r="E391" s="0" t="s">
        <v>119</v>
      </c>
      <c r="F391" s="0" t="s">
        <v>759</v>
      </c>
      <c r="G391" s="0" t="s">
        <v>538</v>
      </c>
      <c r="I391" s="0" t="s">
        <v>255</v>
      </c>
    </row>
    <row r="392" customFormat="false" ht="15" hidden="false" customHeight="false" outlineLevel="0" collapsed="false">
      <c r="A392" s="0" t="n">
        <v>391</v>
      </c>
      <c r="B392" s="0" t="s">
        <v>117</v>
      </c>
      <c r="C392" s="0" t="s">
        <v>23</v>
      </c>
      <c r="D392" s="0" t="s">
        <v>753</v>
      </c>
      <c r="E392" s="0" t="s">
        <v>119</v>
      </c>
      <c r="F392" s="0" t="s">
        <v>760</v>
      </c>
      <c r="G392" s="0" t="s">
        <v>761</v>
      </c>
      <c r="I392" s="0" t="s">
        <v>255</v>
      </c>
    </row>
    <row r="393" customFormat="false" ht="15" hidden="false" customHeight="false" outlineLevel="0" collapsed="false">
      <c r="A393" s="0" t="n">
        <v>392</v>
      </c>
      <c r="B393" s="0" t="s">
        <v>117</v>
      </c>
      <c r="C393" s="0" t="s">
        <v>23</v>
      </c>
      <c r="D393" s="0" t="s">
        <v>753</v>
      </c>
      <c r="E393" s="0" t="s">
        <v>119</v>
      </c>
      <c r="F393" s="0" t="s">
        <v>762</v>
      </c>
      <c r="G393" s="0" t="s">
        <v>254</v>
      </c>
      <c r="I393" s="0" t="s">
        <v>255</v>
      </c>
    </row>
    <row r="394" customFormat="false" ht="15" hidden="false" customHeight="false" outlineLevel="0" collapsed="false">
      <c r="A394" s="0" t="n">
        <v>393</v>
      </c>
      <c r="B394" s="0" t="s">
        <v>117</v>
      </c>
      <c r="C394" s="0" t="s">
        <v>23</v>
      </c>
      <c r="D394" s="0" t="s">
        <v>753</v>
      </c>
      <c r="E394" s="0" t="s">
        <v>119</v>
      </c>
      <c r="F394" s="0" t="s">
        <v>482</v>
      </c>
      <c r="G394" s="0" t="s">
        <v>254</v>
      </c>
      <c r="I394" s="0" t="s">
        <v>255</v>
      </c>
    </row>
    <row r="395" customFormat="false" ht="15" hidden="false" customHeight="false" outlineLevel="0" collapsed="false">
      <c r="A395" s="0" t="n">
        <v>394</v>
      </c>
      <c r="B395" s="0" t="s">
        <v>117</v>
      </c>
      <c r="C395" s="0" t="s">
        <v>23</v>
      </c>
      <c r="D395" s="0" t="s">
        <v>753</v>
      </c>
      <c r="E395" s="0" t="s">
        <v>119</v>
      </c>
      <c r="F395" s="0" t="s">
        <v>763</v>
      </c>
      <c r="G395" s="0" t="s">
        <v>764</v>
      </c>
      <c r="I395" s="0" t="s">
        <v>255</v>
      </c>
    </row>
    <row r="396" customFormat="false" ht="15" hidden="false" customHeight="false" outlineLevel="0" collapsed="false">
      <c r="A396" s="0" t="n">
        <v>395</v>
      </c>
      <c r="B396" s="0" t="s">
        <v>122</v>
      </c>
      <c r="C396" s="0" t="s">
        <v>123</v>
      </c>
      <c r="D396" s="0" t="s">
        <v>765</v>
      </c>
      <c r="E396" s="0" t="s">
        <v>125</v>
      </c>
      <c r="F396" s="0" t="s">
        <v>257</v>
      </c>
      <c r="G396" s="0" t="s">
        <v>254</v>
      </c>
      <c r="I396" s="0" t="s">
        <v>127</v>
      </c>
    </row>
    <row r="397" customFormat="false" ht="15" hidden="false" customHeight="false" outlineLevel="0" collapsed="false">
      <c r="A397" s="0" t="n">
        <v>396</v>
      </c>
      <c r="B397" s="0" t="s">
        <v>122</v>
      </c>
      <c r="C397" s="0" t="s">
        <v>123</v>
      </c>
      <c r="D397" s="0" t="s">
        <v>765</v>
      </c>
      <c r="E397" s="0" t="s">
        <v>125</v>
      </c>
      <c r="F397" s="0" t="s">
        <v>766</v>
      </c>
      <c r="G397" s="0" t="s">
        <v>254</v>
      </c>
      <c r="I397" s="0" t="s">
        <v>127</v>
      </c>
    </row>
    <row r="398" customFormat="false" ht="15" hidden="false" customHeight="false" outlineLevel="0" collapsed="false">
      <c r="A398" s="0" t="n">
        <v>397</v>
      </c>
      <c r="B398" s="0" t="s">
        <v>122</v>
      </c>
      <c r="C398" s="0" t="s">
        <v>123</v>
      </c>
      <c r="D398" s="0" t="s">
        <v>765</v>
      </c>
      <c r="E398" s="0" t="s">
        <v>125</v>
      </c>
      <c r="F398" s="0" t="s">
        <v>767</v>
      </c>
      <c r="G398" s="0" t="s">
        <v>254</v>
      </c>
      <c r="I398" s="0" t="s">
        <v>127</v>
      </c>
    </row>
    <row r="399" customFormat="false" ht="15" hidden="false" customHeight="false" outlineLevel="0" collapsed="false">
      <c r="A399" s="0" t="n">
        <v>398</v>
      </c>
      <c r="B399" s="0" t="s">
        <v>122</v>
      </c>
      <c r="C399" s="0" t="s">
        <v>123</v>
      </c>
      <c r="D399" s="0" t="s">
        <v>765</v>
      </c>
      <c r="E399" s="0" t="s">
        <v>125</v>
      </c>
      <c r="F399" s="0" t="s">
        <v>768</v>
      </c>
      <c r="G399" s="0" t="s">
        <v>254</v>
      </c>
      <c r="I399" s="0" t="s">
        <v>127</v>
      </c>
    </row>
    <row r="400" customFormat="false" ht="15" hidden="false" customHeight="false" outlineLevel="0" collapsed="false">
      <c r="A400" s="0" t="n">
        <v>399</v>
      </c>
      <c r="B400" s="0" t="s">
        <v>122</v>
      </c>
      <c r="C400" s="0" t="s">
        <v>123</v>
      </c>
      <c r="D400" s="0" t="s">
        <v>765</v>
      </c>
      <c r="E400" s="0" t="s">
        <v>125</v>
      </c>
      <c r="F400" s="0" t="s">
        <v>769</v>
      </c>
      <c r="G400" s="0" t="s">
        <v>254</v>
      </c>
      <c r="I400" s="0" t="s">
        <v>127</v>
      </c>
    </row>
    <row r="401" customFormat="false" ht="15" hidden="false" customHeight="false" outlineLevel="0" collapsed="false">
      <c r="A401" s="0" t="n">
        <v>400</v>
      </c>
      <c r="B401" s="0" t="s">
        <v>122</v>
      </c>
      <c r="C401" s="0" t="s">
        <v>123</v>
      </c>
      <c r="D401" s="0" t="s">
        <v>765</v>
      </c>
      <c r="E401" s="0" t="s">
        <v>125</v>
      </c>
      <c r="F401" s="0" t="s">
        <v>770</v>
      </c>
      <c r="G401" s="0" t="s">
        <v>254</v>
      </c>
      <c r="I401" s="0" t="s">
        <v>127</v>
      </c>
    </row>
    <row r="402" customFormat="false" ht="15" hidden="false" customHeight="false" outlineLevel="0" collapsed="false">
      <c r="A402" s="0" t="n">
        <v>401</v>
      </c>
      <c r="B402" s="0" t="s">
        <v>122</v>
      </c>
      <c r="C402" s="0" t="s">
        <v>123</v>
      </c>
      <c r="D402" s="0" t="s">
        <v>765</v>
      </c>
      <c r="E402" s="0" t="s">
        <v>125</v>
      </c>
      <c r="F402" s="0" t="s">
        <v>771</v>
      </c>
      <c r="G402" s="0" t="s">
        <v>254</v>
      </c>
      <c r="I402" s="0" t="s">
        <v>127</v>
      </c>
    </row>
    <row r="403" customFormat="false" ht="15" hidden="false" customHeight="false" outlineLevel="0" collapsed="false">
      <c r="A403" s="0" t="n">
        <v>402</v>
      </c>
      <c r="B403" s="0" t="s">
        <v>122</v>
      </c>
      <c r="C403" s="0" t="s">
        <v>123</v>
      </c>
      <c r="D403" s="0" t="s">
        <v>765</v>
      </c>
      <c r="E403" s="0" t="s">
        <v>125</v>
      </c>
      <c r="F403" s="0" t="s">
        <v>772</v>
      </c>
      <c r="G403" s="0" t="s">
        <v>254</v>
      </c>
      <c r="I403" s="0" t="s">
        <v>127</v>
      </c>
    </row>
    <row r="404" customFormat="false" ht="15" hidden="false" customHeight="false" outlineLevel="0" collapsed="false">
      <c r="A404" s="0" t="n">
        <v>403</v>
      </c>
      <c r="B404" s="0" t="s">
        <v>122</v>
      </c>
      <c r="C404" s="0" t="s">
        <v>123</v>
      </c>
      <c r="D404" s="0" t="s">
        <v>765</v>
      </c>
      <c r="E404" s="0" t="s">
        <v>125</v>
      </c>
      <c r="F404" s="0" t="s">
        <v>773</v>
      </c>
      <c r="G404" s="0" t="s">
        <v>254</v>
      </c>
      <c r="I404" s="0" t="s">
        <v>127</v>
      </c>
    </row>
    <row r="405" customFormat="false" ht="15" hidden="false" customHeight="false" outlineLevel="0" collapsed="false">
      <c r="A405" s="0" t="n">
        <v>404</v>
      </c>
      <c r="B405" s="0" t="s">
        <v>122</v>
      </c>
      <c r="C405" s="0" t="s">
        <v>123</v>
      </c>
      <c r="D405" s="0" t="s">
        <v>765</v>
      </c>
      <c r="E405" s="0" t="s">
        <v>125</v>
      </c>
      <c r="F405" s="0" t="s">
        <v>774</v>
      </c>
      <c r="G405" s="0" t="s">
        <v>346</v>
      </c>
      <c r="H405" s="0" t="s">
        <v>775</v>
      </c>
      <c r="I405" s="0" t="s">
        <v>127</v>
      </c>
    </row>
    <row r="406" customFormat="false" ht="15" hidden="false" customHeight="false" outlineLevel="0" collapsed="false">
      <c r="A406" s="0" t="n">
        <v>405</v>
      </c>
      <c r="B406" s="0" t="s">
        <v>128</v>
      </c>
      <c r="C406" s="0" t="s">
        <v>129</v>
      </c>
      <c r="D406" s="0" t="s">
        <v>776</v>
      </c>
      <c r="E406" s="0" t="s">
        <v>131</v>
      </c>
      <c r="F406" s="0" t="s">
        <v>253</v>
      </c>
      <c r="G406" s="0" t="s">
        <v>777</v>
      </c>
      <c r="I406" s="0" t="s">
        <v>133</v>
      </c>
    </row>
    <row r="407" customFormat="false" ht="15" hidden="false" customHeight="false" outlineLevel="0" collapsed="false">
      <c r="A407" s="0" t="n">
        <v>406</v>
      </c>
      <c r="B407" s="0" t="s">
        <v>128</v>
      </c>
      <c r="C407" s="0" t="s">
        <v>129</v>
      </c>
      <c r="D407" s="0" t="s">
        <v>776</v>
      </c>
      <c r="E407" s="0" t="s">
        <v>131</v>
      </c>
      <c r="F407" s="0" t="s">
        <v>450</v>
      </c>
      <c r="G407" s="0" t="s">
        <v>655</v>
      </c>
      <c r="I407" s="0" t="s">
        <v>133</v>
      </c>
    </row>
    <row r="408" customFormat="false" ht="15" hidden="false" customHeight="false" outlineLevel="0" collapsed="false">
      <c r="A408" s="0" t="n">
        <v>407</v>
      </c>
      <c r="B408" s="0" t="s">
        <v>128</v>
      </c>
      <c r="C408" s="0" t="s">
        <v>129</v>
      </c>
      <c r="D408" s="0" t="s">
        <v>776</v>
      </c>
      <c r="E408" s="0" t="s">
        <v>131</v>
      </c>
      <c r="F408" s="0" t="s">
        <v>256</v>
      </c>
      <c r="G408" s="0" t="s">
        <v>778</v>
      </c>
      <c r="I408" s="0" t="s">
        <v>133</v>
      </c>
    </row>
    <row r="409" customFormat="false" ht="15" hidden="false" customHeight="false" outlineLevel="0" collapsed="false">
      <c r="A409" s="0" t="n">
        <v>408</v>
      </c>
      <c r="B409" s="0" t="s">
        <v>128</v>
      </c>
      <c r="C409" s="0" t="s">
        <v>129</v>
      </c>
      <c r="D409" s="0" t="s">
        <v>776</v>
      </c>
      <c r="E409" s="0" t="s">
        <v>131</v>
      </c>
      <c r="F409" s="0" t="s">
        <v>779</v>
      </c>
      <c r="G409" s="0" t="s">
        <v>780</v>
      </c>
      <c r="I409" s="0" t="s">
        <v>133</v>
      </c>
    </row>
    <row r="410" customFormat="false" ht="15" hidden="false" customHeight="false" outlineLevel="0" collapsed="false">
      <c r="A410" s="0" t="n">
        <v>409</v>
      </c>
      <c r="B410" s="0" t="s">
        <v>128</v>
      </c>
      <c r="C410" s="0" t="s">
        <v>129</v>
      </c>
      <c r="D410" s="0" t="s">
        <v>776</v>
      </c>
      <c r="E410" s="0" t="s">
        <v>131</v>
      </c>
      <c r="F410" s="0" t="s">
        <v>661</v>
      </c>
      <c r="G410" s="0" t="s">
        <v>781</v>
      </c>
      <c r="I410" s="0" t="s">
        <v>133</v>
      </c>
    </row>
    <row r="411" customFormat="false" ht="15" hidden="false" customHeight="false" outlineLevel="0" collapsed="false">
      <c r="A411" s="0" t="n">
        <v>410</v>
      </c>
      <c r="B411" s="0" t="s">
        <v>122</v>
      </c>
      <c r="C411" s="0" t="s">
        <v>123</v>
      </c>
      <c r="D411" s="0" t="s">
        <v>124</v>
      </c>
      <c r="E411" s="0" t="s">
        <v>125</v>
      </c>
      <c r="F411" s="0" t="s">
        <v>782</v>
      </c>
      <c r="G411" s="0" t="s">
        <v>783</v>
      </c>
      <c r="I411" s="0" t="s">
        <v>127</v>
      </c>
    </row>
    <row r="412" customFormat="false" ht="15" hidden="false" customHeight="false" outlineLevel="0" collapsed="false">
      <c r="A412" s="0" t="n">
        <v>411</v>
      </c>
      <c r="B412" s="0" t="s">
        <v>157</v>
      </c>
      <c r="C412" s="0" t="s">
        <v>152</v>
      </c>
      <c r="D412" s="0" t="s">
        <v>158</v>
      </c>
      <c r="E412" s="0" t="s">
        <v>159</v>
      </c>
      <c r="F412" s="0" t="s">
        <v>784</v>
      </c>
      <c r="G412" s="0" t="s">
        <v>785</v>
      </c>
      <c r="H412" s="0" t="s">
        <v>786</v>
      </c>
      <c r="I412" s="0" t="s">
        <v>255</v>
      </c>
    </row>
    <row r="413" customFormat="false" ht="15" hidden="false" customHeight="false" outlineLevel="0" collapsed="false">
      <c r="A413" s="0" t="n">
        <v>412</v>
      </c>
      <c r="B413" s="0" t="s">
        <v>157</v>
      </c>
      <c r="C413" s="0" t="s">
        <v>152</v>
      </c>
      <c r="D413" s="0" t="s">
        <v>158</v>
      </c>
      <c r="E413" s="0" t="s">
        <v>159</v>
      </c>
      <c r="F413" s="0" t="s">
        <v>787</v>
      </c>
      <c r="G413" s="0" t="s">
        <v>788</v>
      </c>
      <c r="H413" s="0" t="s">
        <v>789</v>
      </c>
      <c r="I413" s="0" t="s">
        <v>255</v>
      </c>
    </row>
    <row r="414" customFormat="false" ht="15" hidden="false" customHeight="false" outlineLevel="0" collapsed="false">
      <c r="A414" s="0" t="n">
        <v>413</v>
      </c>
      <c r="B414" s="0" t="s">
        <v>157</v>
      </c>
      <c r="C414" s="0" t="s">
        <v>152</v>
      </c>
      <c r="D414" s="0" t="s">
        <v>158</v>
      </c>
      <c r="E414" s="0" t="s">
        <v>159</v>
      </c>
      <c r="F414" s="0" t="s">
        <v>790</v>
      </c>
      <c r="G414" s="0" t="s">
        <v>791</v>
      </c>
      <c r="I414" s="0" t="s">
        <v>255</v>
      </c>
    </row>
    <row r="415" customFormat="false" ht="15" hidden="false" customHeight="false" outlineLevel="0" collapsed="false">
      <c r="A415" s="0" t="n">
        <v>414</v>
      </c>
      <c r="B415" s="0" t="s">
        <v>157</v>
      </c>
      <c r="C415" s="0" t="s">
        <v>152</v>
      </c>
      <c r="D415" s="0" t="s">
        <v>158</v>
      </c>
      <c r="E415" s="0" t="s">
        <v>159</v>
      </c>
      <c r="F415" s="0" t="s">
        <v>792</v>
      </c>
      <c r="G415" s="0" t="s">
        <v>793</v>
      </c>
      <c r="I415" s="0" t="s">
        <v>255</v>
      </c>
    </row>
    <row r="416" customFormat="false" ht="15" hidden="false" customHeight="false" outlineLevel="0" collapsed="false">
      <c r="A416" s="0" t="n">
        <v>415</v>
      </c>
      <c r="B416" s="0" t="s">
        <v>157</v>
      </c>
      <c r="C416" s="0" t="s">
        <v>152</v>
      </c>
      <c r="D416" s="0" t="s">
        <v>158</v>
      </c>
      <c r="E416" s="0" t="s">
        <v>159</v>
      </c>
      <c r="F416" s="0" t="s">
        <v>794</v>
      </c>
      <c r="G416" s="0" t="s">
        <v>417</v>
      </c>
      <c r="I416" s="0" t="s">
        <v>255</v>
      </c>
    </row>
    <row r="417" customFormat="false" ht="15" hidden="false" customHeight="false" outlineLevel="0" collapsed="false">
      <c r="A417" s="0" t="n">
        <v>416</v>
      </c>
      <c r="B417" s="0" t="s">
        <v>157</v>
      </c>
      <c r="C417" s="0" t="s">
        <v>152</v>
      </c>
      <c r="D417" s="0" t="s">
        <v>158</v>
      </c>
      <c r="E417" s="0" t="s">
        <v>159</v>
      </c>
      <c r="F417" s="0" t="s">
        <v>795</v>
      </c>
      <c r="G417" s="0" t="s">
        <v>254</v>
      </c>
      <c r="I417" s="0" t="s">
        <v>255</v>
      </c>
    </row>
    <row r="418" customFormat="false" ht="15" hidden="false" customHeight="false" outlineLevel="0" collapsed="false">
      <c r="A418" s="0" t="n">
        <v>417</v>
      </c>
      <c r="B418" s="0" t="s">
        <v>162</v>
      </c>
      <c r="C418" s="0" t="s">
        <v>47</v>
      </c>
      <c r="D418" s="0" t="s">
        <v>163</v>
      </c>
      <c r="E418" s="0" t="s">
        <v>164</v>
      </c>
      <c r="F418" s="0" t="s">
        <v>295</v>
      </c>
      <c r="G418" s="0" t="s">
        <v>521</v>
      </c>
      <c r="I418" s="0" t="s">
        <v>166</v>
      </c>
    </row>
    <row r="419" customFormat="false" ht="15" hidden="false" customHeight="false" outlineLevel="0" collapsed="false">
      <c r="A419" s="0" t="n">
        <v>418</v>
      </c>
      <c r="B419" s="0" t="s">
        <v>162</v>
      </c>
      <c r="C419" s="0" t="s">
        <v>47</v>
      </c>
      <c r="D419" s="0" t="s">
        <v>163</v>
      </c>
      <c r="E419" s="0" t="s">
        <v>164</v>
      </c>
      <c r="F419" s="0" t="s">
        <v>796</v>
      </c>
      <c r="G419" s="0" t="s">
        <v>651</v>
      </c>
      <c r="I419" s="0" t="s">
        <v>166</v>
      </c>
    </row>
    <row r="420" customFormat="false" ht="15" hidden="false" customHeight="false" outlineLevel="0" collapsed="false">
      <c r="A420" s="0" t="n">
        <v>419</v>
      </c>
      <c r="B420" s="0" t="s">
        <v>162</v>
      </c>
      <c r="C420" s="0" t="s">
        <v>47</v>
      </c>
      <c r="D420" s="0" t="s">
        <v>163</v>
      </c>
      <c r="E420" s="0" t="s">
        <v>164</v>
      </c>
      <c r="F420" s="0" t="s">
        <v>797</v>
      </c>
      <c r="G420" s="0" t="s">
        <v>798</v>
      </c>
      <c r="I420" s="0" t="s">
        <v>166</v>
      </c>
    </row>
    <row r="421" customFormat="false" ht="15" hidden="false" customHeight="false" outlineLevel="0" collapsed="false">
      <c r="A421" s="0" t="n">
        <v>420</v>
      </c>
      <c r="B421" s="0" t="s">
        <v>162</v>
      </c>
      <c r="C421" s="0" t="s">
        <v>47</v>
      </c>
      <c r="D421" s="0" t="s">
        <v>163</v>
      </c>
      <c r="E421" s="0" t="s">
        <v>164</v>
      </c>
      <c r="F421" s="0" t="s">
        <v>482</v>
      </c>
      <c r="G421" s="0" t="s">
        <v>525</v>
      </c>
      <c r="I421" s="0" t="s">
        <v>166</v>
      </c>
    </row>
    <row r="422" customFormat="false" ht="15" hidden="false" customHeight="false" outlineLevel="0" collapsed="false">
      <c r="A422" s="0" t="n">
        <v>421</v>
      </c>
      <c r="B422" s="0" t="s">
        <v>162</v>
      </c>
      <c r="C422" s="0" t="s">
        <v>47</v>
      </c>
      <c r="D422" s="0" t="s">
        <v>163</v>
      </c>
      <c r="E422" s="0" t="s">
        <v>164</v>
      </c>
      <c r="F422" s="0" t="s">
        <v>799</v>
      </c>
      <c r="G422" s="0" t="s">
        <v>583</v>
      </c>
      <c r="I422" s="0" t="s">
        <v>166</v>
      </c>
    </row>
    <row r="423" customFormat="false" ht="15" hidden="false" customHeight="false" outlineLevel="0" collapsed="false">
      <c r="A423" s="0" t="n">
        <v>422</v>
      </c>
      <c r="B423" s="0" t="s">
        <v>162</v>
      </c>
      <c r="C423" s="0" t="s">
        <v>47</v>
      </c>
      <c r="D423" s="0" t="s">
        <v>163</v>
      </c>
      <c r="E423" s="0" t="s">
        <v>164</v>
      </c>
      <c r="F423" s="0" t="s">
        <v>800</v>
      </c>
      <c r="G423" s="0" t="s">
        <v>657</v>
      </c>
      <c r="I423" s="0" t="s">
        <v>166</v>
      </c>
    </row>
    <row r="424" customFormat="false" ht="15" hidden="false" customHeight="false" outlineLevel="0" collapsed="false">
      <c r="A424" s="0" t="n">
        <v>423</v>
      </c>
      <c r="B424" s="0" t="s">
        <v>162</v>
      </c>
      <c r="C424" s="0" t="s">
        <v>47</v>
      </c>
      <c r="D424" s="0" t="s">
        <v>163</v>
      </c>
      <c r="E424" s="0" t="s">
        <v>164</v>
      </c>
      <c r="F424" s="0" t="s">
        <v>801</v>
      </c>
      <c r="G424" s="0" t="s">
        <v>802</v>
      </c>
      <c r="I424" s="0" t="s">
        <v>166</v>
      </c>
    </row>
    <row r="425" customFormat="false" ht="15" hidden="false" customHeight="false" outlineLevel="0" collapsed="false">
      <c r="A425" s="0" t="n">
        <v>424</v>
      </c>
      <c r="B425" s="0" t="s">
        <v>162</v>
      </c>
      <c r="C425" s="0" t="s">
        <v>47</v>
      </c>
      <c r="D425" s="0" t="s">
        <v>163</v>
      </c>
      <c r="E425" s="0" t="s">
        <v>164</v>
      </c>
      <c r="F425" s="0" t="s">
        <v>661</v>
      </c>
      <c r="G425" s="0" t="s">
        <v>788</v>
      </c>
      <c r="I425" s="0" t="s">
        <v>166</v>
      </c>
    </row>
    <row r="426" customFormat="false" ht="15" hidden="false" customHeight="false" outlineLevel="0" collapsed="false">
      <c r="A426" s="0" t="n">
        <v>425</v>
      </c>
      <c r="B426" s="0" t="s">
        <v>162</v>
      </c>
      <c r="C426" s="0" t="s">
        <v>47</v>
      </c>
      <c r="D426" s="0" t="s">
        <v>163</v>
      </c>
      <c r="E426" s="0" t="s">
        <v>164</v>
      </c>
      <c r="F426" s="0" t="s">
        <v>803</v>
      </c>
      <c r="G426" s="0" t="s">
        <v>657</v>
      </c>
      <c r="I426" s="0" t="s">
        <v>166</v>
      </c>
    </row>
    <row r="427" customFormat="false" ht="15" hidden="false" customHeight="false" outlineLevel="0" collapsed="false">
      <c r="A427" s="0" t="n">
        <v>426</v>
      </c>
      <c r="B427" s="0" t="s">
        <v>167</v>
      </c>
      <c r="C427" s="0" t="s">
        <v>168</v>
      </c>
      <c r="D427" s="0" t="s">
        <v>804</v>
      </c>
      <c r="E427" s="0" t="s">
        <v>805</v>
      </c>
      <c r="F427" s="0" t="s">
        <v>806</v>
      </c>
      <c r="G427" s="0" t="s">
        <v>254</v>
      </c>
      <c r="I427" s="0" t="s">
        <v>807</v>
      </c>
    </row>
    <row r="428" customFormat="false" ht="15" hidden="false" customHeight="false" outlineLevel="0" collapsed="false">
      <c r="A428" s="0" t="n">
        <v>427</v>
      </c>
      <c r="B428" s="0" t="s">
        <v>167</v>
      </c>
      <c r="C428" s="0" t="s">
        <v>168</v>
      </c>
      <c r="D428" s="0" t="s">
        <v>804</v>
      </c>
      <c r="E428" s="0" t="s">
        <v>805</v>
      </c>
      <c r="F428" s="0" t="s">
        <v>808</v>
      </c>
      <c r="G428" s="0" t="s">
        <v>809</v>
      </c>
      <c r="I428" s="0" t="s">
        <v>807</v>
      </c>
    </row>
    <row r="429" customFormat="false" ht="15" hidden="false" customHeight="false" outlineLevel="0" collapsed="false">
      <c r="A429" s="0" t="n">
        <v>428</v>
      </c>
      <c r="B429" s="0" t="s">
        <v>173</v>
      </c>
      <c r="C429" s="0" t="s">
        <v>174</v>
      </c>
      <c r="D429" s="0" t="s">
        <v>175</v>
      </c>
      <c r="E429" s="0" t="s">
        <v>176</v>
      </c>
      <c r="F429" s="0" t="s">
        <v>810</v>
      </c>
      <c r="G429" s="0" t="s">
        <v>811</v>
      </c>
      <c r="I429" s="0" t="s">
        <v>255</v>
      </c>
    </row>
    <row r="430" customFormat="false" ht="15" hidden="false" customHeight="false" outlineLevel="0" collapsed="false">
      <c r="A430" s="0" t="n">
        <v>429</v>
      </c>
      <c r="B430" s="0" t="s">
        <v>173</v>
      </c>
      <c r="C430" s="0" t="s">
        <v>174</v>
      </c>
      <c r="D430" s="0" t="s">
        <v>175</v>
      </c>
      <c r="E430" s="0" t="s">
        <v>176</v>
      </c>
      <c r="F430" s="0" t="s">
        <v>812</v>
      </c>
      <c r="G430" s="0" t="s">
        <v>813</v>
      </c>
      <c r="I430" s="0" t="s">
        <v>255</v>
      </c>
    </row>
    <row r="431" customFormat="false" ht="15" hidden="false" customHeight="false" outlineLevel="0" collapsed="false">
      <c r="A431" s="0" t="n">
        <v>430</v>
      </c>
      <c r="B431" s="0" t="s">
        <v>173</v>
      </c>
      <c r="C431" s="0" t="s">
        <v>174</v>
      </c>
      <c r="D431" s="0" t="s">
        <v>175</v>
      </c>
      <c r="E431" s="0" t="s">
        <v>176</v>
      </c>
      <c r="F431" s="0" t="s">
        <v>814</v>
      </c>
      <c r="G431" s="0" t="s">
        <v>815</v>
      </c>
      <c r="I431" s="0" t="s">
        <v>255</v>
      </c>
    </row>
    <row r="432" customFormat="false" ht="15" hidden="false" customHeight="false" outlineLevel="0" collapsed="false">
      <c r="A432" s="0" t="n">
        <v>431</v>
      </c>
      <c r="B432" s="0" t="s">
        <v>173</v>
      </c>
      <c r="C432" s="0" t="s">
        <v>174</v>
      </c>
      <c r="D432" s="0" t="s">
        <v>175</v>
      </c>
      <c r="E432" s="0" t="s">
        <v>176</v>
      </c>
      <c r="F432" s="0" t="s">
        <v>816</v>
      </c>
      <c r="G432" s="0" t="s">
        <v>817</v>
      </c>
      <c r="I432" s="0" t="s">
        <v>255</v>
      </c>
    </row>
    <row r="433" customFormat="false" ht="15" hidden="false" customHeight="false" outlineLevel="0" collapsed="false">
      <c r="A433" s="0" t="n">
        <v>432</v>
      </c>
      <c r="B433" s="0" t="s">
        <v>173</v>
      </c>
      <c r="C433" s="0" t="s">
        <v>174</v>
      </c>
      <c r="D433" s="0" t="s">
        <v>175</v>
      </c>
      <c r="E433" s="0" t="s">
        <v>176</v>
      </c>
      <c r="F433" s="0" t="s">
        <v>818</v>
      </c>
      <c r="G433" s="0" t="s">
        <v>254</v>
      </c>
      <c r="I433" s="0" t="s">
        <v>255</v>
      </c>
    </row>
    <row r="434" customFormat="false" ht="15" hidden="false" customHeight="false" outlineLevel="0" collapsed="false">
      <c r="A434" s="0" t="n">
        <v>433</v>
      </c>
      <c r="B434" s="0" t="s">
        <v>179</v>
      </c>
      <c r="C434" s="0" t="s">
        <v>109</v>
      </c>
      <c r="D434" s="0" t="s">
        <v>180</v>
      </c>
      <c r="E434" s="0" t="s">
        <v>181</v>
      </c>
      <c r="F434" s="0" t="s">
        <v>299</v>
      </c>
      <c r="G434" s="0" t="s">
        <v>819</v>
      </c>
      <c r="I434" s="0" t="s">
        <v>255</v>
      </c>
    </row>
    <row r="435" customFormat="false" ht="15" hidden="false" customHeight="false" outlineLevel="0" collapsed="false">
      <c r="A435" s="0" t="n">
        <v>434</v>
      </c>
      <c r="B435" s="0" t="s">
        <v>179</v>
      </c>
      <c r="C435" s="0" t="s">
        <v>109</v>
      </c>
      <c r="D435" s="0" t="s">
        <v>180</v>
      </c>
      <c r="E435" s="0" t="s">
        <v>181</v>
      </c>
      <c r="F435" s="0" t="s">
        <v>820</v>
      </c>
      <c r="G435" s="0" t="s">
        <v>821</v>
      </c>
      <c r="I435" s="0" t="s">
        <v>255</v>
      </c>
    </row>
    <row r="436" customFormat="false" ht="15" hidden="false" customHeight="false" outlineLevel="0" collapsed="false">
      <c r="A436" s="0" t="n">
        <v>435</v>
      </c>
      <c r="B436" s="0" t="s">
        <v>179</v>
      </c>
      <c r="C436" s="0" t="s">
        <v>109</v>
      </c>
      <c r="D436" s="0" t="s">
        <v>180</v>
      </c>
      <c r="E436" s="0" t="s">
        <v>181</v>
      </c>
      <c r="F436" s="0" t="s">
        <v>822</v>
      </c>
      <c r="G436" s="0" t="s">
        <v>254</v>
      </c>
      <c r="I436" s="0" t="s">
        <v>255</v>
      </c>
    </row>
    <row r="437" customFormat="false" ht="15" hidden="false" customHeight="false" outlineLevel="0" collapsed="false">
      <c r="A437" s="0" t="n">
        <v>436</v>
      </c>
      <c r="B437" s="0" t="s">
        <v>184</v>
      </c>
      <c r="C437" s="0" t="s">
        <v>47</v>
      </c>
      <c r="D437" s="0" t="s">
        <v>185</v>
      </c>
      <c r="E437" s="0" t="s">
        <v>186</v>
      </c>
      <c r="F437" s="0" t="s">
        <v>253</v>
      </c>
      <c r="G437" s="0" t="s">
        <v>823</v>
      </c>
      <c r="I437" s="0" t="s">
        <v>188</v>
      </c>
    </row>
    <row r="438" customFormat="false" ht="15" hidden="false" customHeight="false" outlineLevel="0" collapsed="false">
      <c r="A438" s="0" t="n">
        <v>437</v>
      </c>
      <c r="B438" s="0" t="s">
        <v>184</v>
      </c>
      <c r="C438" s="0" t="s">
        <v>47</v>
      </c>
      <c r="D438" s="0" t="s">
        <v>185</v>
      </c>
      <c r="E438" s="0" t="s">
        <v>186</v>
      </c>
      <c r="F438" s="0" t="s">
        <v>824</v>
      </c>
      <c r="G438" s="0" t="s">
        <v>825</v>
      </c>
      <c r="I438" s="0" t="s">
        <v>188</v>
      </c>
    </row>
    <row r="439" customFormat="false" ht="15" hidden="false" customHeight="false" outlineLevel="0" collapsed="false">
      <c r="A439" s="0" t="n">
        <v>438</v>
      </c>
      <c r="B439" s="0" t="s">
        <v>184</v>
      </c>
      <c r="C439" s="0" t="s">
        <v>47</v>
      </c>
      <c r="D439" s="0" t="s">
        <v>185</v>
      </c>
      <c r="E439" s="0" t="s">
        <v>186</v>
      </c>
      <c r="F439" s="0" t="s">
        <v>826</v>
      </c>
      <c r="G439" s="0" t="s">
        <v>254</v>
      </c>
      <c r="I439" s="0" t="s">
        <v>188</v>
      </c>
    </row>
    <row r="440" customFormat="false" ht="15" hidden="false" customHeight="false" outlineLevel="0" collapsed="false">
      <c r="A440" s="0" t="n">
        <v>439</v>
      </c>
      <c r="B440" s="0" t="s">
        <v>184</v>
      </c>
      <c r="C440" s="0" t="s">
        <v>47</v>
      </c>
      <c r="D440" s="0" t="s">
        <v>185</v>
      </c>
      <c r="E440" s="0" t="s">
        <v>186</v>
      </c>
      <c r="F440" s="0" t="s">
        <v>282</v>
      </c>
      <c r="G440" s="0" t="s">
        <v>254</v>
      </c>
      <c r="I440" s="0" t="s">
        <v>188</v>
      </c>
    </row>
    <row r="441" customFormat="false" ht="15" hidden="false" customHeight="false" outlineLevel="0" collapsed="false">
      <c r="A441" s="0" t="n">
        <v>440</v>
      </c>
      <c r="B441" s="0" t="s">
        <v>184</v>
      </c>
      <c r="C441" s="0" t="s">
        <v>47</v>
      </c>
      <c r="D441" s="0" t="s">
        <v>185</v>
      </c>
      <c r="E441" s="0" t="s">
        <v>186</v>
      </c>
      <c r="F441" s="0" t="s">
        <v>827</v>
      </c>
      <c r="G441" s="0" t="s">
        <v>254</v>
      </c>
      <c r="I441" s="0" t="s">
        <v>188</v>
      </c>
    </row>
    <row r="442" customFormat="false" ht="15" hidden="false" customHeight="false" outlineLevel="0" collapsed="false">
      <c r="A442" s="0" t="n">
        <v>441</v>
      </c>
      <c r="B442" s="0" t="s">
        <v>195</v>
      </c>
      <c r="C442" s="0" t="s">
        <v>196</v>
      </c>
      <c r="D442" s="0" t="s">
        <v>197</v>
      </c>
      <c r="E442" s="0" t="s">
        <v>198</v>
      </c>
      <c r="F442" s="0" t="s">
        <v>828</v>
      </c>
      <c r="G442" s="0" t="s">
        <v>829</v>
      </c>
      <c r="I442" s="0" t="s">
        <v>255</v>
      </c>
    </row>
    <row r="443" customFormat="false" ht="15" hidden="false" customHeight="false" outlineLevel="0" collapsed="false">
      <c r="A443" s="0" t="n">
        <v>442</v>
      </c>
      <c r="B443" s="0" t="s">
        <v>195</v>
      </c>
      <c r="C443" s="0" t="s">
        <v>196</v>
      </c>
      <c r="D443" s="0" t="s">
        <v>197</v>
      </c>
      <c r="E443" s="0" t="s">
        <v>198</v>
      </c>
      <c r="F443" s="0" t="s">
        <v>830</v>
      </c>
      <c r="G443" s="0" t="s">
        <v>831</v>
      </c>
      <c r="I443" s="0" t="s">
        <v>255</v>
      </c>
    </row>
    <row r="444" customFormat="false" ht="15" hidden="false" customHeight="false" outlineLevel="0" collapsed="false">
      <c r="A444" s="0" t="n">
        <v>443</v>
      </c>
      <c r="B444" s="0" t="s">
        <v>195</v>
      </c>
      <c r="C444" s="0" t="s">
        <v>196</v>
      </c>
      <c r="D444" s="0" t="s">
        <v>197</v>
      </c>
      <c r="E444" s="0" t="s">
        <v>198</v>
      </c>
      <c r="F444" s="0" t="s">
        <v>832</v>
      </c>
      <c r="G444" s="0" t="s">
        <v>833</v>
      </c>
      <c r="I444" s="0" t="s">
        <v>255</v>
      </c>
    </row>
    <row r="445" customFormat="false" ht="15" hidden="false" customHeight="false" outlineLevel="0" collapsed="false">
      <c r="A445" s="0" t="n">
        <v>444</v>
      </c>
      <c r="B445" s="0" t="s">
        <v>195</v>
      </c>
      <c r="C445" s="0" t="s">
        <v>196</v>
      </c>
      <c r="D445" s="0" t="s">
        <v>197</v>
      </c>
      <c r="E445" s="0" t="s">
        <v>198</v>
      </c>
      <c r="F445" s="0" t="s">
        <v>834</v>
      </c>
      <c r="G445" s="0" t="s">
        <v>835</v>
      </c>
      <c r="I445" s="0" t="s">
        <v>255</v>
      </c>
    </row>
    <row r="446" customFormat="false" ht="15" hidden="false" customHeight="false" outlineLevel="0" collapsed="false">
      <c r="A446" s="0" t="n">
        <v>445</v>
      </c>
      <c r="B446" s="0" t="s">
        <v>201</v>
      </c>
      <c r="C446" s="0" t="s">
        <v>202</v>
      </c>
      <c r="D446" s="0" t="s">
        <v>836</v>
      </c>
      <c r="E446" s="0" t="s">
        <v>204</v>
      </c>
      <c r="F446" s="0" t="s">
        <v>295</v>
      </c>
      <c r="G446" s="0" t="s">
        <v>837</v>
      </c>
      <c r="I446" s="0" t="s">
        <v>206</v>
      </c>
    </row>
    <row r="447" customFormat="false" ht="15" hidden="false" customHeight="false" outlineLevel="0" collapsed="false">
      <c r="A447" s="0" t="n">
        <v>446</v>
      </c>
      <c r="B447" s="0" t="s">
        <v>201</v>
      </c>
      <c r="C447" s="0" t="s">
        <v>202</v>
      </c>
      <c r="D447" s="0" t="s">
        <v>836</v>
      </c>
      <c r="E447" s="0" t="s">
        <v>204</v>
      </c>
      <c r="F447" s="0" t="s">
        <v>297</v>
      </c>
      <c r="G447" s="0" t="s">
        <v>838</v>
      </c>
      <c r="I447" s="0" t="s">
        <v>206</v>
      </c>
    </row>
    <row r="448" customFormat="false" ht="15" hidden="false" customHeight="false" outlineLevel="0" collapsed="false">
      <c r="A448" s="0" t="n">
        <v>447</v>
      </c>
      <c r="B448" s="0" t="s">
        <v>201</v>
      </c>
      <c r="C448" s="0" t="s">
        <v>202</v>
      </c>
      <c r="D448" s="0" t="s">
        <v>836</v>
      </c>
      <c r="E448" s="0" t="s">
        <v>204</v>
      </c>
      <c r="F448" s="0" t="s">
        <v>839</v>
      </c>
      <c r="G448" s="0" t="s">
        <v>840</v>
      </c>
      <c r="I448" s="0" t="s">
        <v>206</v>
      </c>
    </row>
    <row r="449" customFormat="false" ht="15" hidden="false" customHeight="false" outlineLevel="0" collapsed="false">
      <c r="A449" s="0" t="n">
        <v>448</v>
      </c>
      <c r="B449" s="0" t="s">
        <v>201</v>
      </c>
      <c r="C449" s="0" t="s">
        <v>202</v>
      </c>
      <c r="D449" s="0" t="s">
        <v>836</v>
      </c>
      <c r="E449" s="0" t="s">
        <v>204</v>
      </c>
      <c r="F449" s="0" t="s">
        <v>841</v>
      </c>
      <c r="G449" s="0" t="s">
        <v>840</v>
      </c>
      <c r="I449" s="0" t="s">
        <v>206</v>
      </c>
    </row>
    <row r="450" customFormat="false" ht="15" hidden="false" customHeight="false" outlineLevel="0" collapsed="false">
      <c r="A450" s="0" t="n">
        <v>449</v>
      </c>
      <c r="B450" s="0" t="s">
        <v>201</v>
      </c>
      <c r="C450" s="0" t="s">
        <v>202</v>
      </c>
      <c r="D450" s="0" t="s">
        <v>836</v>
      </c>
      <c r="E450" s="0" t="s">
        <v>204</v>
      </c>
      <c r="F450" s="0" t="s">
        <v>301</v>
      </c>
      <c r="G450" s="0" t="s">
        <v>842</v>
      </c>
      <c r="I450" s="0" t="s">
        <v>206</v>
      </c>
    </row>
    <row r="451" customFormat="false" ht="15" hidden="false" customHeight="false" outlineLevel="0" collapsed="false">
      <c r="A451" s="0" t="n">
        <v>450</v>
      </c>
      <c r="B451" s="0" t="s">
        <v>201</v>
      </c>
      <c r="C451" s="0" t="s">
        <v>202</v>
      </c>
      <c r="D451" s="0" t="s">
        <v>836</v>
      </c>
      <c r="E451" s="0" t="s">
        <v>204</v>
      </c>
      <c r="F451" s="0" t="s">
        <v>303</v>
      </c>
      <c r="G451" s="0" t="s">
        <v>843</v>
      </c>
      <c r="I451" s="0" t="s">
        <v>206</v>
      </c>
    </row>
    <row r="452" customFormat="false" ht="15" hidden="false" customHeight="false" outlineLevel="0" collapsed="false">
      <c r="A452" s="0" t="n">
        <v>451</v>
      </c>
      <c r="B452" s="0" t="s">
        <v>201</v>
      </c>
      <c r="C452" s="0" t="s">
        <v>202</v>
      </c>
      <c r="D452" s="0" t="s">
        <v>836</v>
      </c>
      <c r="E452" s="0" t="s">
        <v>204</v>
      </c>
      <c r="F452" s="0" t="s">
        <v>844</v>
      </c>
      <c r="G452" s="0" t="s">
        <v>845</v>
      </c>
      <c r="I452" s="0" t="s">
        <v>206</v>
      </c>
    </row>
    <row r="453" customFormat="false" ht="15" hidden="false" customHeight="false" outlineLevel="0" collapsed="false">
      <c r="A453" s="0" t="n">
        <v>452</v>
      </c>
      <c r="B453" s="0" t="s">
        <v>201</v>
      </c>
      <c r="C453" s="0" t="s">
        <v>202</v>
      </c>
      <c r="D453" s="0" t="s">
        <v>836</v>
      </c>
      <c r="E453" s="0" t="s">
        <v>204</v>
      </c>
      <c r="F453" s="0" t="s">
        <v>846</v>
      </c>
      <c r="G453" s="0" t="s">
        <v>847</v>
      </c>
      <c r="I453" s="0" t="s">
        <v>206</v>
      </c>
    </row>
    <row r="454" customFormat="false" ht="15" hidden="false" customHeight="false" outlineLevel="0" collapsed="false">
      <c r="A454" s="0" t="n">
        <v>453</v>
      </c>
      <c r="B454" s="0" t="s">
        <v>207</v>
      </c>
      <c r="C454" s="0" t="s">
        <v>208</v>
      </c>
      <c r="D454" s="0" t="s">
        <v>848</v>
      </c>
      <c r="E454" s="0" t="s">
        <v>210</v>
      </c>
      <c r="F454" s="0" t="s">
        <v>299</v>
      </c>
      <c r="G454" s="0" t="s">
        <v>849</v>
      </c>
      <c r="I454" s="0" t="s">
        <v>255</v>
      </c>
    </row>
    <row r="455" customFormat="false" ht="15" hidden="false" customHeight="false" outlineLevel="0" collapsed="false">
      <c r="A455" s="0" t="n">
        <v>454</v>
      </c>
      <c r="B455" s="0" t="s">
        <v>207</v>
      </c>
      <c r="C455" s="0" t="s">
        <v>208</v>
      </c>
      <c r="D455" s="0" t="s">
        <v>848</v>
      </c>
      <c r="E455" s="0" t="s">
        <v>210</v>
      </c>
      <c r="F455" s="0" t="s">
        <v>850</v>
      </c>
      <c r="G455" s="0" t="s">
        <v>651</v>
      </c>
      <c r="I455" s="0" t="s">
        <v>255</v>
      </c>
    </row>
    <row r="456" customFormat="false" ht="15" hidden="false" customHeight="false" outlineLevel="0" collapsed="false">
      <c r="A456" s="0" t="n">
        <v>455</v>
      </c>
      <c r="B456" s="0" t="s">
        <v>207</v>
      </c>
      <c r="C456" s="0" t="s">
        <v>208</v>
      </c>
      <c r="D456" s="0" t="s">
        <v>848</v>
      </c>
      <c r="E456" s="0" t="s">
        <v>210</v>
      </c>
      <c r="F456" s="0" t="s">
        <v>851</v>
      </c>
      <c r="G456" s="0" t="s">
        <v>525</v>
      </c>
      <c r="I456" s="0" t="s">
        <v>255</v>
      </c>
    </row>
    <row r="457" customFormat="false" ht="15" hidden="false" customHeight="false" outlineLevel="0" collapsed="false">
      <c r="A457" s="0" t="n">
        <v>456</v>
      </c>
      <c r="B457" s="0" t="s">
        <v>207</v>
      </c>
      <c r="C457" s="0" t="s">
        <v>208</v>
      </c>
      <c r="D457" s="0" t="s">
        <v>848</v>
      </c>
      <c r="E457" s="0" t="s">
        <v>210</v>
      </c>
      <c r="F457" s="0" t="s">
        <v>852</v>
      </c>
      <c r="G457" s="0" t="s">
        <v>853</v>
      </c>
      <c r="I457" s="0" t="s">
        <v>255</v>
      </c>
    </row>
    <row r="458" customFormat="false" ht="15" hidden="false" customHeight="false" outlineLevel="0" collapsed="false">
      <c r="A458" s="0" t="n">
        <v>457</v>
      </c>
      <c r="B458" s="0" t="s">
        <v>207</v>
      </c>
      <c r="C458" s="0" t="s">
        <v>208</v>
      </c>
      <c r="D458" s="0" t="s">
        <v>848</v>
      </c>
      <c r="E458" s="0" t="s">
        <v>210</v>
      </c>
      <c r="F458" s="0" t="s">
        <v>854</v>
      </c>
      <c r="G458" s="0" t="s">
        <v>855</v>
      </c>
      <c r="I458" s="0" t="s">
        <v>255</v>
      </c>
    </row>
    <row r="459" customFormat="false" ht="15" hidden="false" customHeight="false" outlineLevel="0" collapsed="false">
      <c r="A459" s="0" t="n">
        <v>458</v>
      </c>
      <c r="B459" s="0" t="s">
        <v>213</v>
      </c>
      <c r="C459" s="0" t="s">
        <v>208</v>
      </c>
      <c r="D459" s="0" t="s">
        <v>856</v>
      </c>
      <c r="E459" s="0" t="s">
        <v>215</v>
      </c>
      <c r="F459" s="0" t="s">
        <v>857</v>
      </c>
      <c r="G459" s="0" t="s">
        <v>858</v>
      </c>
      <c r="I459" s="0" t="s">
        <v>255</v>
      </c>
    </row>
    <row r="460" customFormat="false" ht="15" hidden="false" customHeight="false" outlineLevel="0" collapsed="false">
      <c r="A460" s="0" t="n">
        <v>459</v>
      </c>
      <c r="B460" s="0" t="s">
        <v>213</v>
      </c>
      <c r="C460" s="0" t="s">
        <v>208</v>
      </c>
      <c r="D460" s="0" t="s">
        <v>856</v>
      </c>
      <c r="E460" s="0" t="s">
        <v>215</v>
      </c>
      <c r="F460" s="0" t="s">
        <v>859</v>
      </c>
      <c r="G460" s="0" t="s">
        <v>356</v>
      </c>
      <c r="I460" s="0" t="s">
        <v>255</v>
      </c>
    </row>
    <row r="461" customFormat="false" ht="15" hidden="false" customHeight="false" outlineLevel="0" collapsed="false">
      <c r="A461" s="0" t="n">
        <v>460</v>
      </c>
      <c r="B461" s="0" t="s">
        <v>213</v>
      </c>
      <c r="C461" s="0" t="s">
        <v>208</v>
      </c>
      <c r="D461" s="0" t="s">
        <v>856</v>
      </c>
      <c r="E461" s="0" t="s">
        <v>215</v>
      </c>
      <c r="F461" s="0" t="s">
        <v>860</v>
      </c>
      <c r="G461" s="0" t="s">
        <v>356</v>
      </c>
      <c r="I461" s="0" t="s">
        <v>255</v>
      </c>
    </row>
    <row r="462" customFormat="false" ht="15" hidden="false" customHeight="false" outlineLevel="0" collapsed="false">
      <c r="A462" s="0" t="n">
        <v>461</v>
      </c>
      <c r="B462" s="0" t="s">
        <v>213</v>
      </c>
      <c r="C462" s="0" t="s">
        <v>208</v>
      </c>
      <c r="D462" s="0" t="s">
        <v>856</v>
      </c>
      <c r="E462" s="0" t="s">
        <v>215</v>
      </c>
      <c r="F462" s="0" t="s">
        <v>861</v>
      </c>
      <c r="G462" s="0" t="s">
        <v>862</v>
      </c>
      <c r="I462" s="0" t="s">
        <v>255</v>
      </c>
    </row>
    <row r="463" customFormat="false" ht="15" hidden="false" customHeight="false" outlineLevel="0" collapsed="false">
      <c r="A463" s="0" t="n">
        <v>462</v>
      </c>
      <c r="B463" s="0" t="s">
        <v>213</v>
      </c>
      <c r="C463" s="0" t="s">
        <v>208</v>
      </c>
      <c r="D463" s="0" t="s">
        <v>856</v>
      </c>
      <c r="E463" s="0" t="s">
        <v>215</v>
      </c>
      <c r="F463" s="0" t="s">
        <v>863</v>
      </c>
      <c r="G463" s="0" t="s">
        <v>254</v>
      </c>
      <c r="I463" s="0" t="s">
        <v>255</v>
      </c>
    </row>
    <row r="464" customFormat="false" ht="15" hidden="false" customHeight="false" outlineLevel="0" collapsed="false">
      <c r="A464" s="0" t="n">
        <v>463</v>
      </c>
      <c r="B464" s="0" t="s">
        <v>213</v>
      </c>
      <c r="C464" s="0" t="s">
        <v>208</v>
      </c>
      <c r="D464" s="0" t="s">
        <v>856</v>
      </c>
      <c r="E464" s="0" t="s">
        <v>215</v>
      </c>
      <c r="F464" s="0" t="s">
        <v>864</v>
      </c>
      <c r="G464" s="0" t="s">
        <v>254</v>
      </c>
      <c r="I464" s="0" t="s">
        <v>255</v>
      </c>
    </row>
    <row r="465" customFormat="false" ht="15" hidden="false" customHeight="false" outlineLevel="0" collapsed="false">
      <c r="A465" s="0" t="n">
        <v>464</v>
      </c>
      <c r="B465" s="0" t="s">
        <v>218</v>
      </c>
      <c r="C465" s="0" t="s">
        <v>53</v>
      </c>
      <c r="D465" s="0" t="s">
        <v>219</v>
      </c>
      <c r="E465" s="0" t="s">
        <v>220</v>
      </c>
      <c r="F465" s="0" t="s">
        <v>865</v>
      </c>
      <c r="G465" s="0" t="s">
        <v>866</v>
      </c>
      <c r="I465" s="0" t="s">
        <v>222</v>
      </c>
    </row>
    <row r="466" customFormat="false" ht="15" hidden="false" customHeight="false" outlineLevel="0" collapsed="false">
      <c r="A466" s="0" t="n">
        <v>465</v>
      </c>
      <c r="B466" s="0" t="s">
        <v>218</v>
      </c>
      <c r="C466" s="0" t="s">
        <v>53</v>
      </c>
      <c r="D466" s="0" t="s">
        <v>219</v>
      </c>
      <c r="E466" s="0" t="s">
        <v>220</v>
      </c>
      <c r="F466" s="0" t="s">
        <v>867</v>
      </c>
      <c r="G466" s="0" t="s">
        <v>556</v>
      </c>
      <c r="I466" s="0" t="s">
        <v>222</v>
      </c>
    </row>
    <row r="467" customFormat="false" ht="15" hidden="false" customHeight="false" outlineLevel="0" collapsed="false">
      <c r="A467" s="0" t="n">
        <v>466</v>
      </c>
      <c r="B467" s="0" t="s">
        <v>218</v>
      </c>
      <c r="C467" s="0" t="s">
        <v>53</v>
      </c>
      <c r="D467" s="0" t="s">
        <v>219</v>
      </c>
      <c r="E467" s="0" t="s">
        <v>220</v>
      </c>
      <c r="F467" s="0" t="s">
        <v>868</v>
      </c>
      <c r="G467" s="0" t="s">
        <v>556</v>
      </c>
      <c r="I467" s="0" t="s">
        <v>222</v>
      </c>
    </row>
    <row r="468" customFormat="false" ht="15" hidden="false" customHeight="false" outlineLevel="0" collapsed="false">
      <c r="A468" s="0" t="n">
        <v>467</v>
      </c>
      <c r="B468" s="0" t="s">
        <v>218</v>
      </c>
      <c r="C468" s="0" t="s">
        <v>53</v>
      </c>
      <c r="D468" s="0" t="s">
        <v>219</v>
      </c>
      <c r="E468" s="0" t="s">
        <v>220</v>
      </c>
      <c r="F468" s="0" t="s">
        <v>869</v>
      </c>
      <c r="G468" s="0" t="s">
        <v>556</v>
      </c>
      <c r="I468" s="0" t="s">
        <v>222</v>
      </c>
    </row>
    <row r="469" customFormat="false" ht="15" hidden="false" customHeight="false" outlineLevel="0" collapsed="false">
      <c r="A469" s="0" t="n">
        <v>468</v>
      </c>
      <c r="B469" s="0" t="s">
        <v>218</v>
      </c>
      <c r="C469" s="0" t="s">
        <v>53</v>
      </c>
      <c r="D469" s="0" t="s">
        <v>219</v>
      </c>
      <c r="E469" s="0" t="s">
        <v>220</v>
      </c>
      <c r="F469" s="0" t="s">
        <v>870</v>
      </c>
      <c r="G469" s="0" t="s">
        <v>871</v>
      </c>
      <c r="I469" s="0" t="s">
        <v>222</v>
      </c>
    </row>
    <row r="470" customFormat="false" ht="15" hidden="false" customHeight="false" outlineLevel="0" collapsed="false">
      <c r="A470" s="0" t="n">
        <v>469</v>
      </c>
      <c r="B470" s="0" t="s">
        <v>223</v>
      </c>
      <c r="C470" s="0" t="s">
        <v>109</v>
      </c>
      <c r="D470" s="0" t="s">
        <v>224</v>
      </c>
      <c r="E470" s="0" t="s">
        <v>225</v>
      </c>
      <c r="F470" s="0" t="s">
        <v>872</v>
      </c>
      <c r="G470" s="0" t="s">
        <v>873</v>
      </c>
      <c r="I470" s="0" t="s">
        <v>227</v>
      </c>
    </row>
    <row r="471" customFormat="false" ht="15" hidden="false" customHeight="false" outlineLevel="0" collapsed="false">
      <c r="A471" s="0" t="n">
        <v>470</v>
      </c>
      <c r="B471" s="0" t="s">
        <v>223</v>
      </c>
      <c r="C471" s="0" t="s">
        <v>109</v>
      </c>
      <c r="D471" s="0" t="s">
        <v>224</v>
      </c>
      <c r="E471" s="0" t="s">
        <v>225</v>
      </c>
      <c r="F471" s="0" t="s">
        <v>329</v>
      </c>
      <c r="G471" s="0" t="s">
        <v>874</v>
      </c>
      <c r="I471" s="0" t="s">
        <v>227</v>
      </c>
    </row>
    <row r="472" customFormat="false" ht="15" hidden="false" customHeight="false" outlineLevel="0" collapsed="false">
      <c r="A472" s="0" t="n">
        <v>471</v>
      </c>
      <c r="B472" s="0" t="s">
        <v>223</v>
      </c>
      <c r="C472" s="0" t="s">
        <v>109</v>
      </c>
      <c r="D472" s="0" t="s">
        <v>224</v>
      </c>
      <c r="E472" s="0" t="s">
        <v>225</v>
      </c>
      <c r="F472" s="0" t="s">
        <v>875</v>
      </c>
      <c r="G472" s="0" t="s">
        <v>876</v>
      </c>
      <c r="I472" s="0" t="s">
        <v>227</v>
      </c>
    </row>
    <row r="473" customFormat="false" ht="15" hidden="false" customHeight="false" outlineLevel="0" collapsed="false">
      <c r="A473" s="0" t="n">
        <v>472</v>
      </c>
      <c r="B473" s="0" t="s">
        <v>223</v>
      </c>
      <c r="C473" s="0" t="s">
        <v>109</v>
      </c>
      <c r="D473" s="0" t="s">
        <v>224</v>
      </c>
      <c r="E473" s="0" t="s">
        <v>225</v>
      </c>
      <c r="F473" s="0" t="s">
        <v>313</v>
      </c>
      <c r="G473" s="0" t="s">
        <v>877</v>
      </c>
      <c r="I473" s="0" t="s">
        <v>227</v>
      </c>
    </row>
    <row r="474" customFormat="false" ht="15" hidden="false" customHeight="false" outlineLevel="0" collapsed="false">
      <c r="A474" s="0" t="n">
        <v>473</v>
      </c>
      <c r="B474" s="0" t="s">
        <v>228</v>
      </c>
      <c r="C474" s="0" t="s">
        <v>229</v>
      </c>
      <c r="D474" s="0" t="s">
        <v>230</v>
      </c>
      <c r="E474" s="0" t="s">
        <v>231</v>
      </c>
      <c r="F474" s="0" t="s">
        <v>878</v>
      </c>
      <c r="G474" s="0" t="s">
        <v>879</v>
      </c>
      <c r="I474" s="0" t="s">
        <v>233</v>
      </c>
    </row>
    <row r="475" customFormat="false" ht="15" hidden="false" customHeight="false" outlineLevel="0" collapsed="false">
      <c r="A475" s="0" t="n">
        <v>474</v>
      </c>
      <c r="B475" s="0" t="s">
        <v>228</v>
      </c>
      <c r="C475" s="0" t="s">
        <v>229</v>
      </c>
      <c r="D475" s="0" t="s">
        <v>230</v>
      </c>
      <c r="E475" s="0" t="s">
        <v>231</v>
      </c>
      <c r="F475" s="0" t="s">
        <v>593</v>
      </c>
      <c r="G475" s="0" t="s">
        <v>254</v>
      </c>
      <c r="I475" s="0" t="s">
        <v>233</v>
      </c>
    </row>
    <row r="476" customFormat="false" ht="15" hidden="false" customHeight="false" outlineLevel="0" collapsed="false">
      <c r="A476" s="0" t="n">
        <v>475</v>
      </c>
      <c r="B476" s="0" t="s">
        <v>228</v>
      </c>
      <c r="C476" s="0" t="s">
        <v>229</v>
      </c>
      <c r="D476" s="0" t="s">
        <v>230</v>
      </c>
      <c r="E476" s="0" t="s">
        <v>231</v>
      </c>
      <c r="F476" s="0" t="s">
        <v>880</v>
      </c>
      <c r="G476" s="0" t="s">
        <v>254</v>
      </c>
      <c r="I476" s="0" t="s">
        <v>233</v>
      </c>
    </row>
    <row r="477" customFormat="false" ht="15" hidden="false" customHeight="false" outlineLevel="0" collapsed="false">
      <c r="A477" s="0" t="n">
        <v>476</v>
      </c>
      <c r="B477" s="0" t="s">
        <v>234</v>
      </c>
      <c r="C477" s="0" t="s">
        <v>235</v>
      </c>
      <c r="D477" s="0" t="s">
        <v>236</v>
      </c>
      <c r="E477" s="0" t="s">
        <v>237</v>
      </c>
      <c r="F477" s="0" t="s">
        <v>881</v>
      </c>
      <c r="G477" s="0" t="s">
        <v>882</v>
      </c>
      <c r="I477" s="0" t="s">
        <v>255</v>
      </c>
    </row>
    <row r="478" customFormat="false" ht="15" hidden="false" customHeight="false" outlineLevel="0" collapsed="false">
      <c r="A478" s="0" t="n">
        <v>477</v>
      </c>
      <c r="B478" s="0" t="s">
        <v>234</v>
      </c>
      <c r="C478" s="0" t="s">
        <v>235</v>
      </c>
      <c r="D478" s="0" t="s">
        <v>236</v>
      </c>
      <c r="E478" s="0" t="s">
        <v>237</v>
      </c>
      <c r="F478" s="0" t="s">
        <v>883</v>
      </c>
      <c r="G478" s="0" t="s">
        <v>254</v>
      </c>
      <c r="I478" s="0" t="s">
        <v>255</v>
      </c>
    </row>
    <row r="479" customFormat="false" ht="15" hidden="false" customHeight="false" outlineLevel="0" collapsed="false">
      <c r="A479" s="0" t="n">
        <v>478</v>
      </c>
      <c r="B479" s="0" t="s">
        <v>234</v>
      </c>
      <c r="C479" s="0" t="s">
        <v>235</v>
      </c>
      <c r="D479" s="0" t="s">
        <v>236</v>
      </c>
      <c r="E479" s="0" t="s">
        <v>237</v>
      </c>
      <c r="F479" s="0" t="s">
        <v>884</v>
      </c>
      <c r="G479" s="0" t="s">
        <v>254</v>
      </c>
      <c r="I479" s="0" t="s">
        <v>255</v>
      </c>
    </row>
    <row r="480" customFormat="false" ht="15" hidden="false" customHeight="false" outlineLevel="0" collapsed="false">
      <c r="A480" s="0" t="n">
        <v>479</v>
      </c>
      <c r="B480" s="0" t="s">
        <v>234</v>
      </c>
      <c r="C480" s="0" t="s">
        <v>235</v>
      </c>
      <c r="D480" s="0" t="s">
        <v>236</v>
      </c>
      <c r="E480" s="0" t="s">
        <v>237</v>
      </c>
      <c r="F480" s="0" t="s">
        <v>292</v>
      </c>
      <c r="G480" s="0" t="s">
        <v>254</v>
      </c>
      <c r="I480" s="0" t="s">
        <v>255</v>
      </c>
    </row>
    <row r="481" customFormat="false" ht="15" hidden="false" customHeight="false" outlineLevel="0" collapsed="false">
      <c r="A481" s="0" t="n">
        <v>480</v>
      </c>
      <c r="B481" s="0" t="s">
        <v>240</v>
      </c>
      <c r="C481" s="0" t="s">
        <v>47</v>
      </c>
      <c r="D481" s="0" t="s">
        <v>241</v>
      </c>
      <c r="E481" s="0" t="s">
        <v>242</v>
      </c>
      <c r="F481" s="0" t="s">
        <v>295</v>
      </c>
      <c r="G481" s="0" t="s">
        <v>885</v>
      </c>
      <c r="I481" s="0" t="s">
        <v>244</v>
      </c>
    </row>
    <row r="482" customFormat="false" ht="15" hidden="false" customHeight="false" outlineLevel="0" collapsed="false">
      <c r="A482" s="0" t="n">
        <v>481</v>
      </c>
      <c r="B482" s="0" t="s">
        <v>240</v>
      </c>
      <c r="C482" s="0" t="s">
        <v>47</v>
      </c>
      <c r="D482" s="0" t="s">
        <v>241</v>
      </c>
      <c r="E482" s="0" t="s">
        <v>242</v>
      </c>
      <c r="F482" s="0" t="s">
        <v>422</v>
      </c>
      <c r="G482" s="0" t="s">
        <v>886</v>
      </c>
      <c r="I482" s="0" t="s">
        <v>244</v>
      </c>
    </row>
    <row r="483" customFormat="false" ht="15" hidden="false" customHeight="false" outlineLevel="0" collapsed="false">
      <c r="A483" s="0" t="n">
        <v>482</v>
      </c>
      <c r="B483" s="0" t="s">
        <v>240</v>
      </c>
      <c r="C483" s="0" t="s">
        <v>47</v>
      </c>
      <c r="D483" s="0" t="s">
        <v>241</v>
      </c>
      <c r="E483" s="0" t="s">
        <v>242</v>
      </c>
      <c r="F483" s="0" t="s">
        <v>887</v>
      </c>
      <c r="G483" s="0" t="s">
        <v>888</v>
      </c>
      <c r="I483" s="0" t="s">
        <v>244</v>
      </c>
    </row>
    <row r="484" customFormat="false" ht="15" hidden="false" customHeight="false" outlineLevel="0" collapsed="false">
      <c r="A484" s="0" t="n">
        <v>483</v>
      </c>
      <c r="B484" s="0" t="s">
        <v>240</v>
      </c>
      <c r="C484" s="0" t="s">
        <v>47</v>
      </c>
      <c r="D484" s="0" t="s">
        <v>241</v>
      </c>
      <c r="E484" s="0" t="s">
        <v>242</v>
      </c>
      <c r="F484" s="0" t="s">
        <v>889</v>
      </c>
      <c r="G484" s="0" t="s">
        <v>890</v>
      </c>
      <c r="I484" s="0" t="s">
        <v>244</v>
      </c>
    </row>
    <row r="485" customFormat="false" ht="15" hidden="false" customHeight="false" outlineLevel="0" collapsed="false">
      <c r="A485" s="0" t="n">
        <v>484</v>
      </c>
      <c r="B485" s="0" t="s">
        <v>240</v>
      </c>
      <c r="C485" s="0" t="s">
        <v>47</v>
      </c>
      <c r="D485" s="0" t="s">
        <v>241</v>
      </c>
      <c r="E485" s="0" t="s">
        <v>242</v>
      </c>
      <c r="F485" s="0" t="s">
        <v>891</v>
      </c>
      <c r="G485" s="0" t="s">
        <v>892</v>
      </c>
      <c r="I485" s="0" t="s">
        <v>244</v>
      </c>
    </row>
    <row r="486" customFormat="false" ht="15" hidden="false" customHeight="false" outlineLevel="0" collapsed="false">
      <c r="A486" s="0" t="n">
        <v>485</v>
      </c>
      <c r="B486" s="0" t="s">
        <v>240</v>
      </c>
      <c r="C486" s="0" t="s">
        <v>47</v>
      </c>
      <c r="D486" s="0" t="s">
        <v>241</v>
      </c>
      <c r="E486" s="0" t="s">
        <v>242</v>
      </c>
      <c r="F486" s="0" t="s">
        <v>893</v>
      </c>
      <c r="G486" s="0" t="s">
        <v>894</v>
      </c>
      <c r="I486" s="0" t="s">
        <v>244</v>
      </c>
    </row>
    <row r="487" customFormat="false" ht="15" hidden="false" customHeight="false" outlineLevel="0" collapsed="false">
      <c r="A487" s="0" t="n">
        <v>486</v>
      </c>
      <c r="B487" s="0" t="s">
        <v>245</v>
      </c>
      <c r="C487" s="0" t="s">
        <v>59</v>
      </c>
      <c r="D487" s="0" t="s">
        <v>895</v>
      </c>
      <c r="E487" s="0" t="s">
        <v>247</v>
      </c>
      <c r="F487" s="0" t="s">
        <v>282</v>
      </c>
      <c r="G487" s="0" t="s">
        <v>896</v>
      </c>
      <c r="I487" s="0" t="s">
        <v>897</v>
      </c>
    </row>
    <row r="488" customFormat="false" ht="15" hidden="false" customHeight="false" outlineLevel="0" collapsed="false">
      <c r="A488" s="0" t="n">
        <v>487</v>
      </c>
      <c r="B488" s="0" t="s">
        <v>245</v>
      </c>
      <c r="C488" s="0" t="s">
        <v>59</v>
      </c>
      <c r="D488" s="0" t="s">
        <v>895</v>
      </c>
      <c r="E488" s="0" t="s">
        <v>247</v>
      </c>
      <c r="F488" s="0" t="s">
        <v>898</v>
      </c>
      <c r="G488" s="0" t="s">
        <v>785</v>
      </c>
      <c r="I488" s="0" t="s">
        <v>897</v>
      </c>
    </row>
    <row r="489" customFormat="false" ht="15" hidden="false" customHeight="false" outlineLevel="0" collapsed="false">
      <c r="A489" s="0" t="n">
        <v>488</v>
      </c>
      <c r="B489" s="0" t="s">
        <v>245</v>
      </c>
      <c r="C489" s="0" t="s">
        <v>59</v>
      </c>
      <c r="D489" s="0" t="s">
        <v>895</v>
      </c>
      <c r="E489" s="0" t="s">
        <v>247</v>
      </c>
      <c r="F489" s="0" t="s">
        <v>899</v>
      </c>
      <c r="G489" s="0" t="s">
        <v>417</v>
      </c>
      <c r="H489" s="0" t="s">
        <v>786</v>
      </c>
      <c r="I489" s="0" t="s">
        <v>897</v>
      </c>
    </row>
    <row r="490" customFormat="false" ht="15" hidden="false" customHeight="false" outlineLevel="0" collapsed="false">
      <c r="A490" s="0" t="n">
        <v>489</v>
      </c>
      <c r="B490" s="0" t="s">
        <v>245</v>
      </c>
      <c r="C490" s="0" t="s">
        <v>59</v>
      </c>
      <c r="D490" s="0" t="s">
        <v>895</v>
      </c>
      <c r="E490" s="0" t="s">
        <v>247</v>
      </c>
      <c r="F490" s="0" t="s">
        <v>900</v>
      </c>
      <c r="G490" s="0" t="s">
        <v>574</v>
      </c>
      <c r="H490" s="0" t="s">
        <v>786</v>
      </c>
      <c r="I490" s="0" t="s">
        <v>897</v>
      </c>
    </row>
    <row r="491" customFormat="false" ht="15" hidden="false" customHeight="false" outlineLevel="0" collapsed="false">
      <c r="A491" s="0" t="n">
        <v>490</v>
      </c>
      <c r="B491" s="0" t="s">
        <v>245</v>
      </c>
      <c r="C491" s="0" t="s">
        <v>59</v>
      </c>
      <c r="D491" s="0" t="s">
        <v>895</v>
      </c>
      <c r="E491" s="0" t="s">
        <v>247</v>
      </c>
      <c r="F491" s="0" t="s">
        <v>901</v>
      </c>
      <c r="G491" s="0" t="s">
        <v>902</v>
      </c>
      <c r="I491" s="0" t="s">
        <v>897</v>
      </c>
    </row>
    <row r="492" customFormat="false" ht="15" hidden="false" customHeight="false" outlineLevel="0" collapsed="false">
      <c r="A492" s="0" t="n">
        <v>491</v>
      </c>
      <c r="B492" s="0" t="s">
        <v>245</v>
      </c>
      <c r="C492" s="0" t="s">
        <v>59</v>
      </c>
      <c r="D492" s="0" t="s">
        <v>895</v>
      </c>
      <c r="E492" s="0" t="s">
        <v>247</v>
      </c>
      <c r="F492" s="0" t="s">
        <v>903</v>
      </c>
      <c r="G492" s="0" t="s">
        <v>904</v>
      </c>
      <c r="I492" s="0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0"/>
  </cols>
  <sheetData>
    <row r="2" customFormat="false" ht="19.7" hidden="false" customHeight="false" outlineLevel="0" collapsed="false">
      <c r="B2" s="2" t="s">
        <v>905</v>
      </c>
    </row>
    <row r="3" customFormat="false" ht="15" hidden="false" customHeight="false" outlineLevel="0" collapsed="false">
      <c r="B3" s="3" t="s">
        <v>906</v>
      </c>
    </row>
    <row r="5" customFormat="false" ht="15" hidden="false" customHeight="false" outlineLevel="0" collapsed="false">
      <c r="B5" s="4" t="s">
        <v>907</v>
      </c>
      <c r="D5" s="4" t="s">
        <v>908</v>
      </c>
      <c r="F5" s="4" t="s">
        <v>909</v>
      </c>
      <c r="H5" s="4" t="s">
        <v>910</v>
      </c>
    </row>
    <row r="6" customFormat="false" ht="15" hidden="false" customHeight="false" outlineLevel="0" collapsed="false">
      <c r="B6" s="0" t="n">
        <f aca="false">COUNTA('Clinics Overview'!B2:B44)</f>
        <v>43</v>
      </c>
      <c r="D6" s="0" t="n">
        <f aca="false">SUMPRODUCT(--((ISNUMBER(SEARCH("yes",'Clinics Overview'!G2:G44))+ISNUMBER(SEARCH("partial",'Clinics Overview'!G2:G44)))&gt;0))</f>
        <v>30</v>
      </c>
      <c r="F6" s="0" t="n">
        <f aca="false">B6-D6</f>
        <v>13</v>
      </c>
      <c r="H6" s="0" t="n">
        <f aca="false">COUNTA('All Procedures'!F2:F492)</f>
        <v>491</v>
      </c>
    </row>
    <row r="8" customFormat="false" ht="15" hidden="false" customHeight="false" outlineLevel="0" collapsed="false">
      <c r="B8" s="5" t="s">
        <v>911</v>
      </c>
    </row>
    <row r="9" customFormat="false" ht="15" hidden="false" customHeight="false" outlineLevel="0" collapsed="false">
      <c r="B9" s="4" t="s">
        <v>912</v>
      </c>
      <c r="C9" s="4" t="s">
        <v>913</v>
      </c>
      <c r="D9" s="4" t="s">
        <v>914</v>
      </c>
      <c r="E9" s="4" t="s">
        <v>915</v>
      </c>
      <c r="F9" s="4" t="s">
        <v>916</v>
      </c>
    </row>
    <row r="10" customFormat="false" ht="15" hidden="false" customHeight="false" outlineLevel="0" collapsed="false">
      <c r="B10" s="0" t="s">
        <v>917</v>
      </c>
      <c r="C10" s="0" t="n">
        <f aca="false">SUMPRODUCT(--(COUNTIFS('All Procedures'!B2:B492,'All Procedures'!B2:B492,'All Procedures'!F2:F492,"*botox*")+COUNTIFS('All Procedures'!B2:B492,'All Procedures'!B2:B492,'All Procedures'!F2:F492,"*dysport*")+COUNTIFS('All Procedures'!B2:B492,'All Procedures'!B2:B492,'All Procedures'!F2:F492,"*xeomin*")+COUNTIFS('All Procedures'!B2:B492,'All Procedures'!B2:B492,'All Procedures'!F2:F492,"*daxxify*")+COUNTIFS('All Procedures'!B2:B492,'All Procedures'!B2:B492,'All Procedures'!F2:F492,"*jeuveau*")&gt;0)/COUNTIF('All Procedures'!B2:B492,'All Procedures'!B2:B492))</f>
        <v>32</v>
      </c>
      <c r="D10" s="0" t="s">
        <v>918</v>
      </c>
      <c r="E10" s="0" t="s">
        <v>919</v>
      </c>
      <c r="F10" s="0" t="s">
        <v>920</v>
      </c>
    </row>
    <row r="11" customFormat="false" ht="15" hidden="false" customHeight="false" outlineLevel="0" collapsed="false">
      <c r="B11" s="0" t="s">
        <v>921</v>
      </c>
      <c r="C11" s="0" t="n">
        <f aca="false">SUMPRODUCT(--(COUNTIFS('All Procedures'!B2:B492,'All Procedures'!B2:B492,'All Procedures'!F2:F492,"*filler*")&gt;0)/COUNTIF('All Procedures'!B2:B492,'All Procedures'!B2:B492))</f>
        <v>27</v>
      </c>
      <c r="D11" s="0" t="s">
        <v>922</v>
      </c>
      <c r="E11" s="0" t="s">
        <v>923</v>
      </c>
      <c r="F11" s="0" t="s">
        <v>924</v>
      </c>
    </row>
    <row r="12" customFormat="false" ht="15" hidden="false" customHeight="false" outlineLevel="0" collapsed="false">
      <c r="B12" s="0" t="s">
        <v>925</v>
      </c>
      <c r="C12" s="0" t="n">
        <f aca="false">SUMPRODUCT(--(COUNTIFS('All Procedures'!B2:B492,'All Procedures'!B2:B492,'All Procedures'!F2:F492,"*microneedling*")+COUNTIFS('All Procedures'!B2:B492,'All Procedures'!B2:B492,'All Procedures'!F2:F492,"*morpheus8*")+COUNTIFS('All Procedures'!B2:B492,'All Procedures'!B2:B492,'All Procedures'!F2:F492,"*skinpen*")&gt;0)/COUNTIF('All Procedures'!B2:B492,'All Procedures'!B2:B492))</f>
        <v>20</v>
      </c>
      <c r="D12" s="0" t="s">
        <v>926</v>
      </c>
      <c r="E12" s="0" t="s">
        <v>927</v>
      </c>
      <c r="F12" s="0" t="s">
        <v>928</v>
      </c>
    </row>
    <row r="13" customFormat="false" ht="15" hidden="false" customHeight="false" outlineLevel="0" collapsed="false">
      <c r="B13" s="0" t="s">
        <v>262</v>
      </c>
      <c r="C13" s="0" t="n">
        <f aca="false">SUMPRODUCT(--(COUNTIFS('All Procedures'!B2:B492,'All Procedures'!B2:B492,'All Procedures'!F2:F492,"*peel*")&gt;0)/COUNTIF('All Procedures'!B2:B492,'All Procedures'!B2:B492))</f>
        <v>21</v>
      </c>
      <c r="D13" s="0" t="s">
        <v>929</v>
      </c>
      <c r="E13" s="0" t="s">
        <v>930</v>
      </c>
      <c r="F13" s="0" t="s">
        <v>931</v>
      </c>
    </row>
    <row r="14" customFormat="false" ht="15" hidden="false" customHeight="false" outlineLevel="0" collapsed="false">
      <c r="B14" s="0" t="s">
        <v>932</v>
      </c>
      <c r="C14" s="0" t="n">
        <f aca="false">SUMPRODUCT(--(COUNTIFS('All Procedures'!B2:B492,'All Procedures'!B2:B492,'All Procedures'!F2:F492,"*ipl*")+COUNTIFS('All Procedures'!B2:B492,'All Procedures'!B2:B492,'All Procedures'!F2:F492,"*photofacial*")+COUNTIFS('All Procedures'!B2:B492,'All Procedures'!B2:B492,'All Procedures'!F2:F492,"*bbl*")&gt;0)/COUNTIF('All Procedures'!B2:B492,'All Procedures'!B2:B492))</f>
        <v>10</v>
      </c>
      <c r="D14" s="0" t="s">
        <v>933</v>
      </c>
      <c r="E14" s="0" t="s">
        <v>934</v>
      </c>
      <c r="F14" s="0" t="s">
        <v>935</v>
      </c>
    </row>
    <row r="15" customFormat="false" ht="15" hidden="false" customHeight="false" outlineLevel="0" collapsed="false">
      <c r="B15" s="0" t="s">
        <v>329</v>
      </c>
      <c r="C15" s="0" t="n">
        <f aca="false">SUMPRODUCT(--(COUNTIFS('All Procedures'!B2:B492,'All Procedures'!B2:B492,'All Procedures'!F2:F492,"*laser hair*")&gt;0)/COUNTIF('All Procedures'!B2:B492,'All Procedures'!B2:B492))</f>
        <v>13</v>
      </c>
      <c r="D15" s="0" t="s">
        <v>936</v>
      </c>
      <c r="E15" s="0" t="s">
        <v>937</v>
      </c>
      <c r="F15" s="0" t="s">
        <v>938</v>
      </c>
    </row>
    <row r="16" customFormat="false" ht="15" hidden="false" customHeight="false" outlineLevel="0" collapsed="false">
      <c r="B16" s="0" t="s">
        <v>939</v>
      </c>
      <c r="C16" s="0" t="n">
        <f aca="false">SUMPRODUCT(--(COUNTIFS('All Procedures'!B2:B492,'All Procedures'!B2:B492,'All Procedures'!F2:F492,"*sculptra*")+COUNTIFS('All Procedures'!B2:B492,'All Procedures'!B2:B492,'All Procedures'!F2:F492,"*radiesse*")&gt;0)/COUNTIF('All Procedures'!B2:B492,'All Procedures'!B2:B492))</f>
        <v>14</v>
      </c>
      <c r="D16" s="0" t="s">
        <v>940</v>
      </c>
      <c r="E16" s="0" t="s">
        <v>941</v>
      </c>
      <c r="F16" s="0" t="s">
        <v>942</v>
      </c>
    </row>
    <row r="17" customFormat="false" ht="15" hidden="false" customHeight="false" outlineLevel="0" collapsed="false">
      <c r="B17" s="0" t="s">
        <v>313</v>
      </c>
      <c r="C17" s="0" t="n">
        <f aca="false">SUMPRODUCT(--(COUNTIFS('All Procedures'!B2:B492,'All Procedures'!B2:B492,'All Procedures'!F2:F492,"*hydrafacial*")+COUNTIFS('All Procedures'!B2:B492,'All Procedures'!B2:B492,'All Procedures'!F2:F492,"*hydra facial*")&gt;0)/COUNTIF('All Procedures'!B2:B492,'All Procedures'!B2:B492))</f>
        <v>12</v>
      </c>
      <c r="D17" s="0" t="s">
        <v>943</v>
      </c>
      <c r="E17" s="0" t="s">
        <v>944</v>
      </c>
      <c r="F17" s="0" t="s">
        <v>945</v>
      </c>
    </row>
    <row r="18" customFormat="false" ht="15" hidden="false" customHeight="false" outlineLevel="0" collapsed="false">
      <c r="B18" s="0" t="s">
        <v>946</v>
      </c>
      <c r="C18" s="0" t="n">
        <f aca="false">SUMPRODUCT(--(COUNTIFS('All Procedures'!B2:B492,'All Procedures'!B2:B492,'All Procedures'!F2:F492,"*prp*")&gt;0)/COUNTIF('All Procedures'!B2:B492,'All Procedures'!B2:B492))</f>
        <v>6</v>
      </c>
      <c r="D18" s="0" t="s">
        <v>947</v>
      </c>
      <c r="E18" s="0" t="s">
        <v>948</v>
      </c>
      <c r="F18" s="0" t="s">
        <v>949</v>
      </c>
    </row>
    <row r="19" customFormat="false" ht="15" hidden="false" customHeight="false" outlineLevel="0" collapsed="false">
      <c r="B19" s="0" t="s">
        <v>438</v>
      </c>
      <c r="C19" s="0" t="n">
        <f aca="false">SUMPRODUCT(--(COUNTIFS('All Procedures'!B2:B492,'All Procedures'!B2:B492,'All Procedures'!F2:F492,"*coolsculpt*")+COUNTIFS('All Procedures'!B2:B492,'All Procedures'!B2:B492,'All Procedures'!F2:F492,"*cooltone*")&gt;0)/COUNTIF('All Procedures'!B2:B492,'All Procedures'!B2:B492))</f>
        <v>5</v>
      </c>
      <c r="D19" s="0" t="s">
        <v>950</v>
      </c>
      <c r="E19" s="0" t="s">
        <v>951</v>
      </c>
      <c r="F19" s="0" t="s">
        <v>952</v>
      </c>
    </row>
    <row r="20" customFormat="false" ht="15" hidden="false" customHeight="false" outlineLevel="0" collapsed="false">
      <c r="B20" s="0" t="s">
        <v>953</v>
      </c>
      <c r="C20" s="0" t="n">
        <f aca="false">SUMPRODUCT(--(COUNTIFS('All Procedures'!B2:B492,'All Procedures'!B2:B492,'All Procedures'!F2:F492,"*microdermabrasion*")+COUNTIFS('All Procedures'!B2:B492,'All Procedures'!B2:B492,'All Procedures'!F2:F492,"*dermaplan*")&gt;0)/COUNTIF('All Procedures'!B2:B492,'All Procedures'!B2:B492))</f>
        <v>7</v>
      </c>
      <c r="D20" s="0" t="s">
        <v>954</v>
      </c>
      <c r="E20" s="0" t="s">
        <v>955</v>
      </c>
      <c r="F20" s="0" t="s">
        <v>956</v>
      </c>
    </row>
    <row r="21" customFormat="false" ht="15" hidden="false" customHeight="false" outlineLevel="0" collapsed="false">
      <c r="B21" s="0" t="s">
        <v>957</v>
      </c>
      <c r="C21" s="0" t="n">
        <f aca="false">SUMPRODUCT(--(COUNTIFS('All Procedures'!B2:B492,'All Procedures'!B2:B492,'All Procedures'!F2:F492,"*emsculpt*")+COUNTIFS('All Procedures'!B2:B492,'All Procedures'!B2:B492,'All Procedures'!F2:F492,"*body contouring*")&gt;0)/COUNTIF('All Procedures'!B2:B492,'All Procedures'!B2:B492))</f>
        <v>5</v>
      </c>
      <c r="D21" s="0" t="s">
        <v>950</v>
      </c>
      <c r="E21" s="0" t="s">
        <v>951</v>
      </c>
      <c r="F21" s="0" t="s">
        <v>958</v>
      </c>
    </row>
    <row r="22" customFormat="false" ht="15" hidden="false" customHeight="false" outlineLevel="0" collapsed="false">
      <c r="B22" s="0" t="s">
        <v>303</v>
      </c>
      <c r="C22" s="0" t="n">
        <f aca="false">SUMPRODUCT(--(COUNTIFS('All Procedures'!B2:B492,'All Procedures'!B2:B492,'All Procedures'!F2:F492,"*kybella*")&gt;0)/COUNTIF('All Procedures'!B2:B492,'All Procedures'!B2:B492))</f>
        <v>13</v>
      </c>
      <c r="D22" s="0" t="s">
        <v>959</v>
      </c>
      <c r="E22" s="0" t="s">
        <v>960</v>
      </c>
      <c r="F22" s="0" t="s">
        <v>961</v>
      </c>
    </row>
    <row r="23" customFormat="false" ht="15" hidden="false" customHeight="false" outlineLevel="0" collapsed="false">
      <c r="B23" s="0" t="s">
        <v>723</v>
      </c>
      <c r="C23" s="0" t="n">
        <f aca="false">SUMPRODUCT(--(COUNTIFS('All Procedures'!B2:B492,'All Procedures'!B2:B492,'All Procedures'!F2:F492,"*ultherapy*")&gt;0)/COUNTIF('All Procedures'!B2:B492,'All Procedures'!B2:B492))</f>
        <v>1</v>
      </c>
      <c r="D23" s="0" t="s">
        <v>950</v>
      </c>
      <c r="E23" s="0" t="s">
        <v>951</v>
      </c>
      <c r="F23" s="0" t="s">
        <v>962</v>
      </c>
    </row>
    <row r="24" customFormat="false" ht="15" hidden="false" customHeight="false" outlineLevel="0" collapsed="false">
      <c r="B24" s="0" t="s">
        <v>963</v>
      </c>
      <c r="C24" s="0" t="n">
        <f aca="false">SUMPRODUCT(--(COUNTIFS('All Procedures'!B2:B492,'All Procedures'!B2:B492,'All Procedures'!F2:F492,"*pdo thread*")+COUNTIFS('All Procedures'!B2:B492,'All Procedures'!B2:B492,'All Procedures'!F2:F492,"*thread lift*")&gt;0)/COUNTIF('All Procedures'!B2:B492,'All Procedures'!B2:B492))</f>
        <v>4</v>
      </c>
      <c r="D24" s="0" t="s">
        <v>964</v>
      </c>
      <c r="E24" s="0" t="s">
        <v>965</v>
      </c>
      <c r="F24" s="0" t="s">
        <v>966</v>
      </c>
    </row>
    <row r="26" customFormat="false" ht="15" hidden="false" customHeight="false" outlineLevel="0" collapsed="false">
      <c r="B26" s="0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968</v>
      </c>
    </row>
    <row r="3" customFormat="false" ht="15" hidden="false" customHeight="false" outlineLevel="0" collapsed="false">
      <c r="A3" s="0" t="s">
        <v>969</v>
      </c>
    </row>
    <row r="4" customFormat="false" ht="15" hidden="false" customHeight="false" outlineLevel="0" collapsed="false">
      <c r="A4" s="0" t="s">
        <v>970</v>
      </c>
    </row>
    <row r="5" customFormat="false" ht="15" hidden="false" customHeight="false" outlineLevel="0" collapsed="false">
      <c r="A5" s="0" t="s">
        <v>971</v>
      </c>
    </row>
    <row r="6" customFormat="false" ht="15" hidden="false" customHeight="false" outlineLevel="0" collapsed="false">
      <c r="A6" s="0" t="s">
        <v>972</v>
      </c>
    </row>
    <row r="7" customFormat="false" ht="15" hidden="false" customHeight="false" outlineLevel="0" collapsed="false">
      <c r="A7" s="0" t="s">
        <v>973</v>
      </c>
    </row>
    <row r="9" customFormat="false" ht="15" hidden="false" customHeight="false" outlineLevel="0" collapsed="false">
      <c r="A9" s="0" t="s">
        <v>974</v>
      </c>
    </row>
    <row r="10" customFormat="false" ht="15" hidden="false" customHeight="false" outlineLevel="0" collapsed="false">
      <c r="A10" s="0" t="s">
        <v>975</v>
      </c>
    </row>
    <row r="11" customFormat="false" ht="15" hidden="false" customHeight="false" outlineLevel="0" collapsed="false">
      <c r="A11" s="0" t="s">
        <v>976</v>
      </c>
    </row>
    <row r="12" customFormat="false" ht="15" hidden="false" customHeight="false" outlineLevel="0" collapsed="false">
      <c r="A12" s="0" t="s">
        <v>977</v>
      </c>
    </row>
    <row r="13" customFormat="false" ht="15" hidden="false" customHeight="false" outlineLevel="0" collapsed="false">
      <c r="A13" s="0" t="s">
        <v>978</v>
      </c>
    </row>
    <row r="14" customFormat="false" ht="15" hidden="false" customHeight="false" outlineLevel="0" collapsed="false">
      <c r="A14" s="0" t="s">
        <v>979</v>
      </c>
    </row>
    <row r="15" customFormat="false" ht="15" hidden="false" customHeight="false" outlineLevel="0" collapsed="false">
      <c r="A15" s="0" t="s">
        <v>980</v>
      </c>
    </row>
    <row r="16" customFormat="false" ht="15" hidden="false" customHeight="false" outlineLevel="0" collapsed="false">
      <c r="A16" s="0" t="s">
        <v>981</v>
      </c>
    </row>
    <row r="17" customFormat="false" ht="15" hidden="false" customHeight="false" outlineLevel="0" collapsed="false">
      <c r="A17" s="0" t="s">
        <v>982</v>
      </c>
    </row>
    <row r="18" customFormat="false" ht="15" hidden="false" customHeight="false" outlineLevel="0" collapsed="false">
      <c r="A18" s="0" t="s">
        <v>983</v>
      </c>
    </row>
    <row r="19" customFormat="false" ht="15" hidden="false" customHeight="false" outlineLevel="0" collapsed="false">
      <c r="A19" s="0" t="s">
        <v>984</v>
      </c>
    </row>
    <row r="20" customFormat="false" ht="15" hidden="false" customHeight="false" outlineLevel="0" collapsed="false">
      <c r="A20" s="0" t="s">
        <v>985</v>
      </c>
    </row>
    <row r="21" customFormat="false" ht="15" hidden="false" customHeight="false" outlineLevel="0" collapsed="false">
      <c r="A21" s="0" t="s">
        <v>986</v>
      </c>
    </row>
    <row r="22" customFormat="false" ht="15" hidden="false" customHeight="false" outlineLevel="0" collapsed="false">
      <c r="A22" s="0" t="s">
        <v>987</v>
      </c>
    </row>
    <row r="24" customFormat="false" ht="15" hidden="false" customHeight="false" outlineLevel="0" collapsed="false">
      <c r="A24" s="0" t="s">
        <v>988</v>
      </c>
    </row>
    <row r="25" customFormat="false" ht="15" hidden="false" customHeight="false" outlineLevel="0" collapsed="false">
      <c r="A25" s="0" t="s">
        <v>989</v>
      </c>
    </row>
    <row r="27" customFormat="false" ht="15" hidden="false" customHeight="false" outlineLevel="0" collapsed="false">
      <c r="A27" s="0" t="s">
        <v>990</v>
      </c>
    </row>
    <row r="28" customFormat="false" ht="15" hidden="false" customHeight="false" outlineLevel="0" collapsed="false">
      <c r="A28" s="0" t="s">
        <v>991</v>
      </c>
    </row>
    <row r="29" customFormat="false" ht="15" hidden="false" customHeight="false" outlineLevel="0" collapsed="false">
      <c r="A29" s="0" t="s">
        <v>992</v>
      </c>
    </row>
    <row r="30" customFormat="false" ht="15" hidden="false" customHeight="false" outlineLevel="0" collapsed="false">
      <c r="A30" s="0" t="s">
        <v>993</v>
      </c>
    </row>
    <row r="31" customFormat="false" ht="15" hidden="false" customHeight="false" outlineLevel="0" collapsed="false">
      <c r="A31" s="0" t="s">
        <v>994</v>
      </c>
    </row>
    <row r="32" customFormat="false" ht="15" hidden="false" customHeight="false" outlineLevel="0" collapsed="false">
      <c r="A32" s="0" t="s">
        <v>995</v>
      </c>
    </row>
    <row r="33" customFormat="false" ht="15" hidden="false" customHeight="false" outlineLevel="0" collapsed="false">
      <c r="A33" s="0" t="s">
        <v>996</v>
      </c>
    </row>
    <row r="34" customFormat="false" ht="15" hidden="false" customHeight="false" outlineLevel="0" collapsed="false">
      <c r="A34" s="0" t="s">
        <v>997</v>
      </c>
    </row>
    <row r="35" customFormat="false" ht="15" hidden="false" customHeight="false" outlineLevel="0" collapsed="false">
      <c r="A35" s="0" t="s">
        <v>998</v>
      </c>
    </row>
    <row r="36" customFormat="false" ht="15" hidden="false" customHeight="false" outlineLevel="0" collapsed="false">
      <c r="A36" s="0" t="s">
        <v>999</v>
      </c>
    </row>
    <row r="37" customFormat="false" ht="15" hidden="false" customHeight="false" outlineLevel="0" collapsed="false">
      <c r="A37" s="0" t="s">
        <v>1000</v>
      </c>
    </row>
    <row r="38" customFormat="false" ht="15" hidden="false" customHeight="false" outlineLevel="0" collapsed="false">
      <c r="A38" s="0" t="s">
        <v>1001</v>
      </c>
    </row>
    <row r="39" customFormat="false" ht="15" hidden="false" customHeight="false" outlineLevel="0" collapsed="false">
      <c r="A39" s="0" t="s">
        <v>1002</v>
      </c>
    </row>
    <row r="41" customFormat="false" ht="15" hidden="false" customHeight="false" outlineLevel="0" collapsed="false">
      <c r="A41" s="0" t="s">
        <v>1003</v>
      </c>
    </row>
    <row r="42" customFormat="false" ht="15" hidden="false" customHeight="false" outlineLevel="0" collapsed="false">
      <c r="A42" s="0" t="s">
        <v>1004</v>
      </c>
    </row>
    <row r="43" customFormat="false" ht="15" hidden="false" customHeight="false" outlineLevel="0" collapsed="false">
      <c r="A43" s="0" t="s">
        <v>1005</v>
      </c>
    </row>
    <row r="44" customFormat="false" ht="15" hidden="false" customHeight="false" outlineLevel="0" collapsed="false">
      <c r="A44" s="0" t="s">
        <v>1006</v>
      </c>
    </row>
    <row r="45" customFormat="false" ht="15" hidden="false" customHeight="false" outlineLevel="0" collapsed="false">
      <c r="A45" s="0" t="s">
        <v>1007</v>
      </c>
    </row>
    <row r="46" customFormat="false" ht="15" hidden="false" customHeight="false" outlineLevel="0" collapsed="false">
      <c r="A46" s="0" t="s">
        <v>1008</v>
      </c>
    </row>
    <row r="48" customFormat="false" ht="15" hidden="false" customHeight="false" outlineLevel="0" collapsed="false">
      <c r="A48" s="0" t="s">
        <v>1009</v>
      </c>
    </row>
    <row r="49" customFormat="false" ht="15" hidden="false" customHeight="false" outlineLevel="0" collapsed="false">
      <c r="A49" s="0" t="s">
        <v>1010</v>
      </c>
    </row>
    <row r="50" customFormat="false" ht="15" hidden="false" customHeight="false" outlineLevel="0" collapsed="false">
      <c r="A50" s="0" t="s">
        <v>1011</v>
      </c>
    </row>
    <row r="51" customFormat="false" ht="15" hidden="false" customHeight="false" outlineLevel="0" collapsed="false">
      <c r="A51" s="0" t="s">
        <v>1012</v>
      </c>
    </row>
    <row r="52" customFormat="false" ht="15" hidden="false" customHeight="false" outlineLevel="0" collapsed="false">
      <c r="A52" s="0" t="s">
        <v>1013</v>
      </c>
    </row>
    <row r="53" customFormat="false" ht="15" hidden="false" customHeight="false" outlineLevel="0" collapsed="false">
      <c r="A53" s="0" t="s">
        <v>1014</v>
      </c>
    </row>
    <row r="54" customFormat="false" ht="15" hidden="false" customHeight="false" outlineLevel="0" collapsed="false">
      <c r="A54" s="0" t="s">
        <v>1015</v>
      </c>
    </row>
    <row r="55" customFormat="false" ht="15" hidden="false" customHeight="false" outlineLevel="0" collapsed="false">
      <c r="A55" s="0" t="s">
        <v>1016</v>
      </c>
    </row>
    <row r="57" customFormat="false" ht="15" hidden="false" customHeight="false" outlineLevel="0" collapsed="false">
      <c r="A57" s="0" t="s">
        <v>1017</v>
      </c>
    </row>
    <row r="58" customFormat="false" ht="15" hidden="false" customHeight="false" outlineLevel="0" collapsed="false">
      <c r="A58" s="0" t="s">
        <v>1018</v>
      </c>
    </row>
    <row r="59" customFormat="false" ht="15" hidden="false" customHeight="false" outlineLevel="0" collapsed="false">
      <c r="A59" s="0" t="s">
        <v>1019</v>
      </c>
    </row>
    <row r="60" customFormat="false" ht="15" hidden="false" customHeight="false" outlineLevel="0" collapsed="false">
      <c r="A60" s="0" t="s">
        <v>1020</v>
      </c>
    </row>
    <row r="61" customFormat="false" ht="15" hidden="false" customHeight="false" outlineLevel="0" collapsed="false">
      <c r="A61" s="0" t="s">
        <v>1021</v>
      </c>
    </row>
    <row r="62" customFormat="false" ht="15" hidden="false" customHeight="false" outlineLevel="0" collapsed="false">
      <c r="A62" s="0" t="s">
        <v>1022</v>
      </c>
    </row>
    <row r="63" customFormat="false" ht="15" hidden="false" customHeight="false" outlineLevel="0" collapsed="false">
      <c r="A63" s="0" t="s">
        <v>1023</v>
      </c>
    </row>
    <row r="64" customFormat="false" ht="15" hidden="false" customHeight="false" outlineLevel="0" collapsed="false">
      <c r="A64" s="0" t="s">
        <v>1024</v>
      </c>
    </row>
    <row r="65" customFormat="false" ht="15" hidden="false" customHeight="false" outlineLevel="0" collapsed="false">
      <c r="A65" s="0" t="s">
        <v>1025</v>
      </c>
    </row>
    <row r="66" customFormat="false" ht="15" hidden="false" customHeight="false" outlineLevel="0" collapsed="false">
      <c r="A66" s="0" t="s">
        <v>1026</v>
      </c>
    </row>
    <row r="67" customFormat="false" ht="15" hidden="false" customHeight="false" outlineLevel="0" collapsed="false">
      <c r="A67" s="0" t="s">
        <v>1027</v>
      </c>
    </row>
    <row r="68" customFormat="false" ht="15" hidden="false" customHeight="false" outlineLevel="0" collapsed="false">
      <c r="A68" s="0" t="s">
        <v>1028</v>
      </c>
    </row>
    <row r="71" customFormat="false" ht="15" hidden="false" customHeight="false" outlineLevel="0" collapsed="false">
      <c r="A71" s="0" t="s">
        <v>1029</v>
      </c>
    </row>
    <row r="72" customFormat="false" ht="15" hidden="false" customHeight="false" outlineLevel="0" collapsed="false">
      <c r="A72" s="0" t="s">
        <v>1030</v>
      </c>
    </row>
    <row r="73" customFormat="false" ht="15" hidden="false" customHeight="false" outlineLevel="0" collapsed="false">
      <c r="A73" s="0" t="s">
        <v>1031</v>
      </c>
    </row>
    <row r="74" customFormat="false" ht="15" hidden="false" customHeight="false" outlineLevel="0" collapsed="false">
      <c r="A74" s="0" t="s">
        <v>1032</v>
      </c>
    </row>
    <row r="75" customFormat="false" ht="15" hidden="false" customHeight="false" outlineLevel="0" collapsed="false">
      <c r="A75" s="0" t="s">
        <v>1033</v>
      </c>
    </row>
    <row r="76" customFormat="false" ht="15" hidden="false" customHeight="false" outlineLevel="0" collapsed="false">
      <c r="A76" s="0" t="s">
        <v>1034</v>
      </c>
    </row>
    <row r="77" customFormat="false" ht="15" hidden="false" customHeight="false" outlineLevel="0" collapsed="false">
      <c r="A77" s="0" t="s">
        <v>1035</v>
      </c>
    </row>
    <row r="78" customFormat="false" ht="15" hidden="false" customHeight="false" outlineLevel="0" collapsed="false">
      <c r="A78" s="0" t="s">
        <v>1036</v>
      </c>
    </row>
    <row r="79" customFormat="false" ht="15" hidden="false" customHeight="false" outlineLevel="0" collapsed="false">
      <c r="A79" s="0" t="s">
        <v>1037</v>
      </c>
    </row>
    <row r="81" customFormat="false" ht="15" hidden="false" customHeight="false" outlineLevel="0" collapsed="false">
      <c r="A81" s="0" t="s">
        <v>1038</v>
      </c>
    </row>
    <row r="82" customFormat="false" ht="15" hidden="false" customHeight="false" outlineLevel="0" collapsed="false">
      <c r="A82" s="0" t="s">
        <v>1039</v>
      </c>
    </row>
    <row r="83" customFormat="false" ht="15" hidden="false" customHeight="false" outlineLevel="0" collapsed="false">
      <c r="A83" s="0" t="s">
        <v>1040</v>
      </c>
    </row>
    <row r="84" customFormat="false" ht="15" hidden="false" customHeight="false" outlineLevel="0" collapsed="false">
      <c r="A84" s="0" t="s">
        <v>1041</v>
      </c>
    </row>
    <row r="85" customFormat="false" ht="15" hidden="false" customHeight="false" outlineLevel="0" collapsed="false">
      <c r="A85" s="0" t="s">
        <v>1042</v>
      </c>
    </row>
    <row r="86" customFormat="false" ht="15" hidden="false" customHeight="false" outlineLevel="0" collapsed="false">
      <c r="A86" s="0" t="s">
        <v>1043</v>
      </c>
    </row>
    <row r="87" customFormat="false" ht="15" hidden="false" customHeight="false" outlineLevel="0" collapsed="false">
      <c r="A87" s="0" t="s">
        <v>1044</v>
      </c>
    </row>
    <row r="88" customFormat="false" ht="15" hidden="false" customHeight="false" outlineLevel="0" collapsed="false">
      <c r="A88" s="0" t="s">
        <v>1045</v>
      </c>
    </row>
    <row r="89" customFormat="false" ht="15" hidden="false" customHeight="false" outlineLevel="0" collapsed="false">
      <c r="A89" s="0" t="s">
        <v>1046</v>
      </c>
    </row>
    <row r="90" customFormat="false" ht="15" hidden="false" customHeight="false" outlineLevel="0" collapsed="false">
      <c r="A90" s="0" t="s">
        <v>1047</v>
      </c>
    </row>
    <row r="91" customFormat="false" ht="15" hidden="false" customHeight="false" outlineLevel="0" collapsed="false">
      <c r="A91" s="0" t="s">
        <v>1048</v>
      </c>
    </row>
    <row r="92" customFormat="false" ht="15" hidden="false" customHeight="false" outlineLevel="0" collapsed="false">
      <c r="A92" s="0" t="s">
        <v>1049</v>
      </c>
    </row>
    <row r="93" customFormat="false" ht="15" hidden="false" customHeight="false" outlineLevel="0" collapsed="false">
      <c r="A93" s="0" t="s">
        <v>1050</v>
      </c>
    </row>
    <row r="95" customFormat="false" ht="15" hidden="false" customHeight="false" outlineLevel="0" collapsed="false">
      <c r="A95" s="0" t="s">
        <v>1051</v>
      </c>
    </row>
    <row r="96" customFormat="false" ht="15" hidden="false" customHeight="false" outlineLevel="0" collapsed="false">
      <c r="A96" s="0" t="s">
        <v>1052</v>
      </c>
    </row>
    <row r="97" customFormat="false" ht="15" hidden="false" customHeight="false" outlineLevel="0" collapsed="false">
      <c r="A97" s="0" t="s">
        <v>1053</v>
      </c>
    </row>
    <row r="98" customFormat="false" ht="15" hidden="false" customHeight="false" outlineLevel="0" collapsed="false">
      <c r="A98" s="0" t="s">
        <v>1054</v>
      </c>
    </row>
    <row r="99" customFormat="false" ht="15" hidden="false" customHeight="false" outlineLevel="0" collapsed="false">
      <c r="A99" s="0" t="s">
        <v>1055</v>
      </c>
    </row>
    <row r="100" customFormat="false" ht="15" hidden="false" customHeight="false" outlineLevel="0" collapsed="false">
      <c r="A100" s="0" t="s">
        <v>1056</v>
      </c>
    </row>
    <row r="101" customFormat="false" ht="15" hidden="false" customHeight="false" outlineLevel="0" collapsed="false">
      <c r="A101" s="0" t="s">
        <v>1057</v>
      </c>
    </row>
    <row r="102" customFormat="false" ht="15" hidden="false" customHeight="false" outlineLevel="0" collapsed="false">
      <c r="A102" s="0" t="s">
        <v>1058</v>
      </c>
    </row>
    <row r="103" customFormat="false" ht="15" hidden="false" customHeight="false" outlineLevel="0" collapsed="false">
      <c r="A103" s="0" t="s">
        <v>1059</v>
      </c>
    </row>
    <row r="104" customFormat="false" ht="15" hidden="false" customHeight="false" outlineLevel="0" collapsed="false">
      <c r="A104" s="0" t="s">
        <v>1060</v>
      </c>
    </row>
    <row r="105" customFormat="false" ht="15" hidden="false" customHeight="false" outlineLevel="0" collapsed="false">
      <c r="A105" s="0" t="s">
        <v>1061</v>
      </c>
    </row>
    <row r="106" customFormat="false" ht="15" hidden="false" customHeight="false" outlineLevel="0" collapsed="false">
      <c r="A106" s="0" t="s">
        <v>1062</v>
      </c>
    </row>
    <row r="107" customFormat="false" ht="15" hidden="false" customHeight="false" outlineLevel="0" collapsed="false">
      <c r="A107" s="0" t="s">
        <v>1063</v>
      </c>
    </row>
    <row r="108" customFormat="false" ht="15" hidden="false" customHeight="false" outlineLevel="0" collapsed="false">
      <c r="A108" s="0" t="s">
        <v>1064</v>
      </c>
    </row>
    <row r="109" customFormat="false" ht="15" hidden="false" customHeight="false" outlineLevel="0" collapsed="false">
      <c r="A109" s="0" t="s">
        <v>1065</v>
      </c>
    </row>
    <row r="110" customFormat="false" ht="15" hidden="false" customHeight="false" outlineLevel="0" collapsed="false">
      <c r="A110" s="0" t="s">
        <v>1066</v>
      </c>
    </row>
    <row r="111" customFormat="false" ht="15" hidden="false" customHeight="false" outlineLevel="0" collapsed="false">
      <c r="A111" s="0" t="s">
        <v>1067</v>
      </c>
    </row>
    <row r="112" customFormat="false" ht="15" hidden="false" customHeight="false" outlineLevel="0" collapsed="false">
      <c r="A112" s="0" t="s">
        <v>1068</v>
      </c>
    </row>
    <row r="113" customFormat="false" ht="15" hidden="false" customHeight="false" outlineLevel="0" collapsed="false">
      <c r="A113" s="0" t="s">
        <v>1069</v>
      </c>
    </row>
    <row r="114" customFormat="false" ht="15" hidden="false" customHeight="false" outlineLevel="0" collapsed="false">
      <c r="A114" s="0" t="s">
        <v>1070</v>
      </c>
    </row>
    <row r="115" customFormat="false" ht="15" hidden="false" customHeight="false" outlineLevel="0" collapsed="false">
      <c r="A115" s="0" t="s">
        <v>1071</v>
      </c>
    </row>
    <row r="116" customFormat="false" ht="15" hidden="false" customHeight="false" outlineLevel="0" collapsed="false">
      <c r="A116" s="0" t="s">
        <v>1072</v>
      </c>
    </row>
    <row r="117" customFormat="false" ht="15" hidden="false" customHeight="false" outlineLevel="0" collapsed="false">
      <c r="A117" s="0" t="s">
        <v>1073</v>
      </c>
    </row>
    <row r="118" customFormat="false" ht="15" hidden="false" customHeight="false" outlineLevel="0" collapsed="false">
      <c r="A118" s="0" t="s">
        <v>1074</v>
      </c>
    </row>
    <row r="119" customFormat="false" ht="15" hidden="false" customHeight="false" outlineLevel="0" collapsed="false">
      <c r="A119" s="0" t="s">
        <v>1075</v>
      </c>
    </row>
    <row r="120" customFormat="false" ht="15" hidden="false" customHeight="false" outlineLevel="0" collapsed="false">
      <c r="A120" s="0" t="s">
        <v>1076</v>
      </c>
    </row>
    <row r="121" customFormat="false" ht="15" hidden="false" customHeight="false" outlineLevel="0" collapsed="false">
      <c r="A121" s="0" t="s">
        <v>1077</v>
      </c>
    </row>
    <row r="122" customFormat="false" ht="15" hidden="false" customHeight="false" outlineLevel="0" collapsed="false">
      <c r="A122" s="0" t="s">
        <v>1078</v>
      </c>
    </row>
    <row r="123" customFormat="false" ht="15" hidden="false" customHeight="false" outlineLevel="0" collapsed="false">
      <c r="A123" s="0" t="s">
        <v>1079</v>
      </c>
    </row>
    <row r="124" customFormat="false" ht="15" hidden="false" customHeight="false" outlineLevel="0" collapsed="false">
      <c r="A124" s="0" t="s">
        <v>1080</v>
      </c>
    </row>
    <row r="125" customFormat="false" ht="15" hidden="false" customHeight="false" outlineLevel="0" collapsed="false">
      <c r="A125" s="0" t="s">
        <v>1081</v>
      </c>
    </row>
    <row r="126" customFormat="false" ht="15" hidden="false" customHeight="false" outlineLevel="0" collapsed="false">
      <c r="A126" s="0" t="s">
        <v>1082</v>
      </c>
    </row>
    <row r="127" customFormat="false" ht="15" hidden="false" customHeight="false" outlineLevel="0" collapsed="false">
      <c r="A127" s="0" t="s">
        <v>1083</v>
      </c>
    </row>
    <row r="128" customFormat="false" ht="15" hidden="false" customHeight="false" outlineLevel="0" collapsed="false">
      <c r="A128" s="0" t="s">
        <v>1084</v>
      </c>
    </row>
    <row r="129" customFormat="false" ht="15" hidden="false" customHeight="false" outlineLevel="0" collapsed="false">
      <c r="A129" s="0" t="s">
        <v>1085</v>
      </c>
    </row>
    <row r="130" customFormat="false" ht="15" hidden="false" customHeight="false" outlineLevel="0" collapsed="false">
      <c r="A130" s="0" t="s">
        <v>1086</v>
      </c>
    </row>
    <row r="131" customFormat="false" ht="15" hidden="false" customHeight="false" outlineLevel="0" collapsed="false">
      <c r="A131" s="0" t="s">
        <v>1087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2026-08-18T12:07:27Z</dcterms:created>
  <dc:creator>openpyxl</dc:creator>
  <dc:description/>
  <dc:language>en-US</dc:language>
  <cp:lastModifiedBy/>
  <dcterms:modified xsi:type="dcterms:W3CDTF">2026-08-18T16:46:51Z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