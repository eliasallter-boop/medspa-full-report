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ll Procedures" sheetId="2" state="visible" r:id="rId4"/>
    <sheet name="Clinics Overview" sheetId="3" state="visible" r:id="rId5"/>
    <sheet name="Notes" sheetId="4" state="visible" r:id="rId6"/>
    <sheet name="New Clinics (Maps sweep)" sheetId="5" state="visible" r:id="rId7"/>
    <sheet name="New Clinics (Expanded Dir v3)"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<sst xmlns="http://schemas.openxmlformats.org/spreadsheetml/2006/main" count="11248" uniqueCount="2054">
  <si>
    <t xml:space="preserve">Manhattan Med Spa Market Dashboard</t>
  </si>
  <si>
    <t xml:space="preserve">Live summary of tracked clinics, pricing outreach, and procedure popularity  |  Source workbook updated 8/14/26</t>
  </si>
  <si>
    <t xml:space="preserve">Total Clinics Tracked</t>
  </si>
  <si>
    <t xml:space="preserve">Clinics w/ Published Pricing</t>
  </si>
  <si>
    <t xml:space="preserve">Clinics w/ No Public Pricing</t>
  </si>
  <si>
    <t xml:space="preserve">Procedure Line Items Logged</t>
  </si>
  <si>
    <t xml:space="preserve">Most Popular Procedures (by # of clinics offering, across 176 tracked clinics)</t>
  </si>
  <si>
    <t xml:space="preserve">Procedure</t>
  </si>
  <si>
    <t xml:space="preserve"># Clinics Offering</t>
  </si>
  <si>
    <t xml:space="preserve">Typical Price Range</t>
  </si>
  <si>
    <t xml:space="preserve">Median Price</t>
  </si>
  <si>
    <t xml:space="preserve">Notes</t>
  </si>
  <si>
    <t xml:space="preserve">Botox / Neuromodulators</t>
  </si>
  <si>
    <t xml:space="preserve">$150-$1,000 flat/area; $10-$18/unit</t>
  </si>
  <si>
    <t xml:space="preserve">~$15/unit</t>
  </si>
  <si>
    <t xml:space="preserve">Most common single offering by far; often priced per unit rather than flat</t>
  </si>
  <si>
    <t xml:space="preserve">Dermal / Lip Fillers</t>
  </si>
  <si>
    <t xml:space="preserve">$300-$2,400/syringe</t>
  </si>
  <si>
    <t xml:space="preserve">~$900/syringe</t>
  </si>
  <si>
    <t xml:space="preserve">Wide range depending on filler brand (Juvederm, Restylane, Sculptra, etc.)</t>
  </si>
  <si>
    <t xml:space="preserve">Microneedling / RF Microneedling</t>
  </si>
  <si>
    <t xml:space="preserve">$175-$1,750/session</t>
  </si>
  <si>
    <t xml:space="preserve">~$700/session</t>
  </si>
  <si>
    <t xml:space="preserve">Includes Morpheus8 and other RF-microneedling devices</t>
  </si>
  <si>
    <t xml:space="preserve">Laser Hair Removal</t>
  </si>
  <si>
    <t xml:space="preserve">$39-$1,000/session</t>
  </si>
  <si>
    <t xml:space="preserve">~$250/session</t>
  </si>
  <si>
    <t xml:space="preserve">Often sold as packages (6-8 sessions) at a discount</t>
  </si>
  <si>
    <t xml:space="preserve">HydraFacial</t>
  </si>
  <si>
    <t xml:space="preserve">$199-$650/session</t>
  </si>
  <si>
    <t xml:space="preserve">~$287/session</t>
  </si>
  <si>
    <t xml:space="preserve">Frequently bundled with membership pricing</t>
  </si>
  <si>
    <t xml:space="preserve">Chemical Peels</t>
  </si>
  <si>
    <t xml:space="preserve">$125-$350/session</t>
  </si>
  <si>
    <t xml:space="preserve">~$160/session</t>
  </si>
  <si>
    <t xml:space="preserve">Least consistently published pricing of the top categories</t>
  </si>
  <si>
    <t xml:space="preserve">Kybella</t>
  </si>
  <si>
    <t xml:space="preserve">$600-$2,000/session</t>
  </si>
  <si>
    <t xml:space="preserve">Priced per vial in many cases</t>
  </si>
  <si>
    <t xml:space="preserve">Ultherapy</t>
  </si>
  <si>
    <t xml:space="preserve">$1,000-$4,000/session</t>
  </si>
  <si>
    <t xml:space="preserve">~$2,850/session</t>
  </si>
  <si>
    <t xml:space="preserve">Highest median price of the tracked procedures</t>
  </si>
  <si>
    <t xml:space="preserve">CoolSculpting</t>
  </si>
  <si>
    <t xml:space="preserve">$400-$800/applicator</t>
  </si>
  <si>
    <t xml:space="preserve">~$700/applicator</t>
  </si>
  <si>
    <t xml:space="preserve">Priced per applicator/cycle; full treatment needs multiple</t>
  </si>
  <si>
    <t xml:space="preserve">Note: "# Clinics Offering" is a live formula scanning the All Procedures sheet. Price ranges/medians are derived from a one-time parse of published prices and email-reply pricing across the dataset (outliers excluded) - not a live formula, since pricing is stored as free text (e.g. "$12-$16 per unit, starting") that cannot be reliably parsed by spreadsheet formulas. Re-run the analysis after major data updates.</t>
  </si>
  <si>
    <t xml:space="preserve">#</t>
  </si>
  <si>
    <t xml:space="preserve">Clinic</t>
  </si>
  <si>
    <t xml:space="preserve">Neighborhood</t>
  </si>
  <si>
    <t xml:space="preserve">Address</t>
  </si>
  <si>
    <t xml:space="preserve">Website</t>
  </si>
  <si>
    <t xml:space="preserve">Procedure / Treatment</t>
  </si>
  <si>
    <t xml:space="preserve">Price</t>
  </si>
  <si>
    <t xml:space="preserve">Duration</t>
  </si>
  <si>
    <t xml:space="preserve">Contact / Scheduling Email</t>
  </si>
  <si>
    <t xml:space="preserve">Plump Cosmetics &amp; Injectables</t>
  </si>
  <si>
    <t xml:space="preserve">SoHo / Tribeca / West Village / Uptown (6 NYC-metro locations)</t>
  </si>
  <si>
    <t xml:space="preserve">Multiple Manhattan locations</t>
  </si>
  <si>
    <t xml:space="preserve">https://getplump.com/</t>
  </si>
  <si>
    <t xml:space="preserve">Neuromodulators (Botox/Dysport)</t>
  </si>
  <si>
    <t xml:space="preserve">Not published (consultation required)</t>
  </si>
  <si>
    <t xml:space="preserve">Not published</t>
  </si>
  <si>
    <t xml:space="preserve">info@getplump.com</t>
  </si>
  <si>
    <t xml:space="preserve">Filler</t>
  </si>
  <si>
    <t xml:space="preserve">Skin treatments</t>
  </si>
  <si>
    <t xml:space="preserve">Sculptra</t>
  </si>
  <si>
    <t xml:space="preserve">Next Health</t>
  </si>
  <si>
    <t xml:space="preserve">Flatiron District</t>
  </si>
  <si>
    <t xml:space="preserve">160 Madison Ave, Mezzanine Fl, New York, NY 10016</t>
  </si>
  <si>
    <t xml:space="preserve">https://www.next-health.com/location/new-york-city</t>
  </si>
  <si>
    <t xml:space="preserve">Hangover IV</t>
  </si>
  <si>
    <t xml:space="preserve">$299</t>
  </si>
  <si>
    <t xml:space="preserve">30 min</t>
  </si>
  <si>
    <t xml:space="preserve">info@next-health.com</t>
  </si>
  <si>
    <t xml:space="preserve">Longevity IV</t>
  </si>
  <si>
    <t xml:space="preserve">Glamour IV</t>
  </si>
  <si>
    <t xml:space="preserve">Gut Health IV</t>
  </si>
  <si>
    <t xml:space="preserve">Energy Plus IV</t>
  </si>
  <si>
    <t xml:space="preserve">Stress IV</t>
  </si>
  <si>
    <t xml:space="preserve">Super Immune IV</t>
  </si>
  <si>
    <t xml:space="preserve">Muscle IV</t>
  </si>
  <si>
    <t xml:space="preserve">Detox IV</t>
  </si>
  <si>
    <t xml:space="preserve">Brain IV</t>
  </si>
  <si>
    <t xml:space="preserve">Weight Loss IV</t>
  </si>
  <si>
    <t xml:space="preserve">Hydration IV</t>
  </si>
  <si>
    <t xml:space="preserve">$199</t>
  </si>
  <si>
    <t xml:space="preserve">IV Add-on: High Dose Glutathione</t>
  </si>
  <si>
    <t xml:space="preserve">$189 (push $99)</t>
  </si>
  <si>
    <t xml:space="preserve">+10 min</t>
  </si>
  <si>
    <t xml:space="preserve">IV Add-on: NAD+ 100mg</t>
  </si>
  <si>
    <t xml:space="preserve">$189</t>
  </si>
  <si>
    <t xml:space="preserve">IV Add-on: Hydration</t>
  </si>
  <si>
    <t xml:space="preserve">$69</t>
  </si>
  <si>
    <t xml:space="preserve">IV Add-on: Trace Elements Combo</t>
  </si>
  <si>
    <t xml:space="preserve">$99</t>
  </si>
  <si>
    <t xml:space="preserve">IV Add-on: Amino Acids</t>
  </si>
  <si>
    <t xml:space="preserve">IV Add-on: Zofran / Toradol</t>
  </si>
  <si>
    <t xml:space="preserve">Vitamin Shots (Super B/Brain B/Beauty B/Limitless/Lean B/CoQ10)</t>
  </si>
  <si>
    <t xml:space="preserve">$59</t>
  </si>
  <si>
    <t xml:space="preserve">15 min</t>
  </si>
  <si>
    <t xml:space="preserve">Baseline Lab Test</t>
  </si>
  <si>
    <t xml:space="preserve">$399</t>
  </si>
  <si>
    <t xml:space="preserve">3x4 Genetic Test</t>
  </si>
  <si>
    <t xml:space="preserve">$599</t>
  </si>
  <si>
    <t xml:space="preserve">Galleri Multi-Cancer Early Detection Test</t>
  </si>
  <si>
    <t xml:space="preserve">$1,499</t>
  </si>
  <si>
    <t xml:space="preserve">Food Sensitivity Test</t>
  </si>
  <si>
    <t xml:space="preserve">$499</t>
  </si>
  <si>
    <t xml:space="preserve">Wheat Zoomer Test</t>
  </si>
  <si>
    <t xml:space="preserve">Micronutrient Test</t>
  </si>
  <si>
    <t xml:space="preserve">$699</t>
  </si>
  <si>
    <t xml:space="preserve">Vitract Gut Test</t>
  </si>
  <si>
    <t xml:space="preserve">Genetic Risk Panel</t>
  </si>
  <si>
    <t xml:space="preserve">Total Wellness Package</t>
  </si>
  <si>
    <t xml:space="preserve">$3,499</t>
  </si>
  <si>
    <t xml:space="preserve">Total Tox Burden Package</t>
  </si>
  <si>
    <t xml:space="preserve">$999</t>
  </si>
  <si>
    <t xml:space="preserve">Hormone Therapy / Optimization</t>
  </si>
  <si>
    <t xml:space="preserve">Ozone Therapy</t>
  </si>
  <si>
    <t xml:space="preserve">Hyperbaric Oxygen Therapy</t>
  </si>
  <si>
    <t xml:space="preserve">Cryotherapy</t>
  </si>
  <si>
    <t xml:space="preserve">Infrared LED Therapy</t>
  </si>
  <si>
    <t xml:space="preserve">Peptide Therapy</t>
  </si>
  <si>
    <t xml:space="preserve">Next Beauty Aesthetics (Botox/Fillers/Microneedling)</t>
  </si>
  <si>
    <t xml:space="preserve">Weight Optimization / GLP-1 Program</t>
  </si>
  <si>
    <t xml:space="preserve">Executive Physical</t>
  </si>
  <si>
    <t xml:space="preserve">Therapeutic Plasma Exchange (TPE)</t>
  </si>
  <si>
    <t xml:space="preserve">EBOO Therapy</t>
  </si>
  <si>
    <t xml:space="preserve">Anna Avaliani MD Cosmetic &amp; Laser Surgery</t>
  </si>
  <si>
    <t xml:space="preserve">Upper East Side (Park Ave)</t>
  </si>
  <si>
    <t xml:space="preserve">30 East 60th St, Suite 1100, New York, NY 10022</t>
  </si>
  <si>
    <t xml:space="preserve">https://www.dravaliani.com/</t>
  </si>
  <si>
    <t xml:space="preserve">Botox</t>
  </si>
  <si>
    <t xml:space="preserve">$12-$16 per unit, starting (per email reply, 8/14/26)</t>
  </si>
  <si>
    <t xml:space="preserve">info@dravaliani.com</t>
  </si>
  <si>
    <t xml:space="preserve">Dysport</t>
  </si>
  <si>
    <t xml:space="preserve">Daxxify</t>
  </si>
  <si>
    <t xml:space="preserve">Xeomin</t>
  </si>
  <si>
    <t xml:space="preserve">Jeuveau/Nabota</t>
  </si>
  <si>
    <t xml:space="preserve">Sculptra Face</t>
  </si>
  <si>
    <t xml:space="preserve">Sculptra Body</t>
  </si>
  <si>
    <t xml:space="preserve">Sculptra Butt Lift</t>
  </si>
  <si>
    <t xml:space="preserve">Radiesse</t>
  </si>
  <si>
    <t xml:space="preserve">Renuva Fat Matrix</t>
  </si>
  <si>
    <t xml:space="preserve">Alloclae</t>
  </si>
  <si>
    <t xml:space="preserve">Juvederm Ultra XC</t>
  </si>
  <si>
    <t xml:space="preserve">Juvederm Ultra Plus XC</t>
  </si>
  <si>
    <t xml:space="preserve">Juvederm Volbella XC</t>
  </si>
  <si>
    <t xml:space="preserve">Juvederm Vollure XC</t>
  </si>
  <si>
    <t xml:space="preserve">Juvederm Voluma XC</t>
  </si>
  <si>
    <t xml:space="preserve">Juvederm Volux XC</t>
  </si>
  <si>
    <t xml:space="preserve">Restylane-L</t>
  </si>
  <si>
    <t xml:space="preserve">Restylane Lyft</t>
  </si>
  <si>
    <t xml:space="preserve">Restylane Silk</t>
  </si>
  <si>
    <t xml:space="preserve">Restylane Kysse</t>
  </si>
  <si>
    <t xml:space="preserve">Restylane Refyne</t>
  </si>
  <si>
    <t xml:space="preserve">Restylane Defyne</t>
  </si>
  <si>
    <t xml:space="preserve">Restylane Contour</t>
  </si>
  <si>
    <t xml:space="preserve">Restylane Eyelight</t>
  </si>
  <si>
    <t xml:space="preserve">Rejuran PDRN</t>
  </si>
  <si>
    <t xml:space="preserve">MSC Exosomes for Skin</t>
  </si>
  <si>
    <t xml:space="preserve">MSC Exosomes for Hair Restoration</t>
  </si>
  <si>
    <t xml:space="preserve">Skinvive by Juvederm</t>
  </si>
  <si>
    <t xml:space="preserve">Growth Factor Serum: Hair</t>
  </si>
  <si>
    <t xml:space="preserve">Growth Factor Serum: Under Eyes</t>
  </si>
  <si>
    <t xml:space="preserve">Growth Factor Serum: Face</t>
  </si>
  <si>
    <t xml:space="preserve">CoolSculpting Elite</t>
  </si>
  <si>
    <t xml:space="preserve">SculpSure</t>
  </si>
  <si>
    <t xml:space="preserve">SculpSure Submental</t>
  </si>
  <si>
    <t xml:space="preserve">EMFACE</t>
  </si>
  <si>
    <t xml:space="preserve">EMFACE EYE</t>
  </si>
  <si>
    <t xml:space="preserve">Emface Submental</t>
  </si>
  <si>
    <t xml:space="preserve">Emface TMJ</t>
  </si>
  <si>
    <t xml:space="preserve">EMSCULPT</t>
  </si>
  <si>
    <t xml:space="preserve">EMSCULPT NEO</t>
  </si>
  <si>
    <t xml:space="preserve">EmSculpt Edge</t>
  </si>
  <si>
    <t xml:space="preserve">EmSella Pelvic Floor Therapy</t>
  </si>
  <si>
    <t xml:space="preserve">PicoSure Focus</t>
  </si>
  <si>
    <t xml:space="preserve">PicoSure Tattoo Removal</t>
  </si>
  <si>
    <t xml:space="preserve">PicoSure Tattoo 532 (Red Ink)</t>
  </si>
  <si>
    <t xml:space="preserve">UltraClear 3DMIRACL</t>
  </si>
  <si>
    <t xml:space="preserve">UltraClear Laser-Coring</t>
  </si>
  <si>
    <t xml:space="preserve">Genius RF Microneedling</t>
  </si>
  <si>
    <t xml:space="preserve">TempSure Envi</t>
  </si>
  <si>
    <t xml:space="preserve">TempSure Firm</t>
  </si>
  <si>
    <t xml:space="preserve">Ultherapy Prime</t>
  </si>
  <si>
    <t xml:space="preserve">1540 Fractional Laser</t>
  </si>
  <si>
    <t xml:space="preserve">ICON Max G IPL</t>
  </si>
  <si>
    <t xml:space="preserve">Microneedling Pen</t>
  </si>
  <si>
    <t xml:space="preserve">ELITE+ Nd:YAG Laser Vein Removal</t>
  </si>
  <si>
    <t xml:space="preserve">Cynosure Elite+ Laser Hair Removal</t>
  </si>
  <si>
    <t xml:space="preserve">PDO Face Threads</t>
  </si>
  <si>
    <t xml:space="preserve">Fox Eyes NYC</t>
  </si>
  <si>
    <t xml:space="preserve">Non-Surgical Forehead Filler</t>
  </si>
  <si>
    <t xml:space="preserve">From $599, starting (per email reply, 8/14/26 - general filler starting price, may vary by area)</t>
  </si>
  <si>
    <t xml:space="preserve">Non-Surgical Lip Augmentation</t>
  </si>
  <si>
    <t xml:space="preserve">Non-Surgical Brow Lift</t>
  </si>
  <si>
    <t xml:space="preserve">Non-Surgical Eye Rejuvenation/Bag Removal</t>
  </si>
  <si>
    <t xml:space="preserve">Non-Surgical Facial Balancing</t>
  </si>
  <si>
    <t xml:space="preserve">Non-Surgical Nose Job</t>
  </si>
  <si>
    <t xml:space="preserve">Non-Surgical Temple Augmentation</t>
  </si>
  <si>
    <t xml:space="preserve">Non-Surgical Ear Lobe Rejuvenation</t>
  </si>
  <si>
    <t xml:space="preserve">Non-Surgical Chin Augmentation</t>
  </si>
  <si>
    <t xml:space="preserve">Non-Surgical Hand Rejuvenation</t>
  </si>
  <si>
    <t xml:space="preserve">Non-Surgical Butt Augmentation</t>
  </si>
  <si>
    <t xml:space="preserve">Non-Surgical Nipple Augmentation</t>
  </si>
  <si>
    <t xml:space="preserve">Non-Surgical Labia Filler</t>
  </si>
  <si>
    <t xml:space="preserve">Ozempic/GLP-1 Skin Treatments</t>
  </si>
  <si>
    <t xml:space="preserve">Ozempic/GLP-1 Body Treatments</t>
  </si>
  <si>
    <t xml:space="preserve">Cellulite Treatment</t>
  </si>
  <si>
    <t xml:space="preserve">Stretch Marks Treatment</t>
  </si>
  <si>
    <t xml:space="preserve">Hyperhidrosis (Anti-Sweating) Treatment</t>
  </si>
  <si>
    <t xml:space="preserve">4D HydrafacialMD Treatment</t>
  </si>
  <si>
    <t xml:space="preserve">Asclera Vein Removal</t>
  </si>
  <si>
    <t xml:space="preserve">Hair Growth Regenerative Treatment</t>
  </si>
  <si>
    <t xml:space="preserve">Hair Laser Therapy</t>
  </si>
  <si>
    <t xml:space="preserve">SkinSpirit</t>
  </si>
  <si>
    <t xml:space="preserve">Upper East Side (also Tribeca)</t>
  </si>
  <si>
    <t xml:space="preserve">160 E 89th St, New York, NY 10128</t>
  </si>
  <si>
    <t xml:space="preserve">https://www.skinspirit.com/locations/nyc-east89</t>
  </si>
  <si>
    <t xml:space="preserve">east89th@skinspirit.com</t>
  </si>
  <si>
    <t xml:space="preserve">Dermal Filler (general)</t>
  </si>
  <si>
    <t xml:space="preserve">Facial Balancing</t>
  </si>
  <si>
    <t xml:space="preserve">Juvederm</t>
  </si>
  <si>
    <t xml:space="preserve">Restylane</t>
  </si>
  <si>
    <t xml:space="preserve">Custom Facial</t>
  </si>
  <si>
    <t xml:space="preserve">Signature Facial</t>
  </si>
  <si>
    <t xml:space="preserve">Power Hour Treatment</t>
  </si>
  <si>
    <t xml:space="preserve">DiamondGlow</t>
  </si>
  <si>
    <t xml:space="preserve">Teen Facial</t>
  </si>
  <si>
    <t xml:space="preserve">Microneedling</t>
  </si>
  <si>
    <t xml:space="preserve">Microneedling with Exosomes</t>
  </si>
  <si>
    <t xml:space="preserve">Microneedling with Growth Factors (AnteAGE MD)</t>
  </si>
  <si>
    <t xml:space="preserve">Microneedling with PRP/PRF</t>
  </si>
  <si>
    <t xml:space="preserve">BBL/IPL Photofacial</t>
  </si>
  <si>
    <t xml:space="preserve">RF Microneedling (Morpheus8)</t>
  </si>
  <si>
    <t xml:space="preserve">Halo Laser Resurfacing</t>
  </si>
  <si>
    <t xml:space="preserve">PDO Threads</t>
  </si>
  <si>
    <t xml:space="preserve">B12 Injections</t>
  </si>
  <si>
    <t xml:space="preserve">CPW Vein &amp; Aesthetic Center (Jessica Plotnick, PA-C)</t>
  </si>
  <si>
    <t xml:space="preserve">Upper West Side</t>
  </si>
  <si>
    <t xml:space="preserve">75 Central Park West, New York, NY 10023</t>
  </si>
  <si>
    <t xml:space="preserve">https://www.cpwmedspa.com/</t>
  </si>
  <si>
    <t xml:space="preserve">Tetra PRO CoolPeel CO2 Laser</t>
  </si>
  <si>
    <t xml:space="preserve">not published</t>
  </si>
  <si>
    <t xml:space="preserve">Sclerotherapy (leg &amp; facial veins)</t>
  </si>
  <si>
    <t xml:space="preserve">Botox &amp; Neurotoxins</t>
  </si>
  <si>
    <t xml:space="preserve">Facial Fillers (Juvederm Voluma/Ultra XC, Restylane Lyft, Volbella, Silk, Belotero)</t>
  </si>
  <si>
    <t xml:space="preserve">IPL Photofacials</t>
  </si>
  <si>
    <t xml:space="preserve">M22 IPL (veins/acne/cherry hemangioma)</t>
  </si>
  <si>
    <t xml:space="preserve">Acne &amp; Acne Scars</t>
  </si>
  <si>
    <t xml:space="preserve">Masseter Muscle Treatment</t>
  </si>
  <si>
    <t xml:space="preserve">Hyperhidrosis Treatment</t>
  </si>
  <si>
    <t xml:space="preserve">Lip Flip / Lip Filler</t>
  </si>
  <si>
    <t xml:space="preserve">Joanna Vargas</t>
  </si>
  <si>
    <t xml:space="preserve">Bryant Park / Midtown</t>
  </si>
  <si>
    <t xml:space="preserve">501 5th Ave, 3rd Fl, New York, NY 10017</t>
  </si>
  <si>
    <t xml:space="preserve">https://joannavargas.com/</t>
  </si>
  <si>
    <t xml:space="preserve">Triple Crown Classic (facial)</t>
  </si>
  <si>
    <t xml:space="preserve">$275</t>
  </si>
  <si>
    <t xml:space="preserve">salon@joannavargas.com</t>
  </si>
  <si>
    <t xml:space="preserve">Supernova Facial</t>
  </si>
  <si>
    <t xml:space="preserve">$325</t>
  </si>
  <si>
    <t xml:space="preserve">Purifying Facial</t>
  </si>
  <si>
    <t xml:space="preserve">$175</t>
  </si>
  <si>
    <t xml:space="preserve">Oxygen Purifying Facial</t>
  </si>
  <si>
    <t xml:space="preserve">$250</t>
  </si>
  <si>
    <t xml:space="preserve">Ballancer Pro (lymphatic compression)</t>
  </si>
  <si>
    <t xml:space="preserve">from $200</t>
  </si>
  <si>
    <t xml:space="preserve">The Tailor Made Massage</t>
  </si>
  <si>
    <t xml:space="preserve">from $190</t>
  </si>
  <si>
    <t xml:space="preserve">Happy Feet Massage</t>
  </si>
  <si>
    <t xml:space="preserve">$95</t>
  </si>
  <si>
    <t xml:space="preserve">Body Booster</t>
  </si>
  <si>
    <t xml:space="preserve">$50</t>
  </si>
  <si>
    <t xml:space="preserve">Forever Facial</t>
  </si>
  <si>
    <t xml:space="preserve">from $400</t>
  </si>
  <si>
    <t xml:space="preserve">Twilight Facial (Morpheus8)</t>
  </si>
  <si>
    <t xml:space="preserve">$1,200</t>
  </si>
  <si>
    <t xml:space="preserve">The Tone Up Massage</t>
  </si>
  <si>
    <t xml:space="preserve">from $150</t>
  </si>
  <si>
    <t xml:space="preserve">The Hot Stone Massage</t>
  </si>
  <si>
    <t xml:space="preserve">$280</t>
  </si>
  <si>
    <t xml:space="preserve">Power Peel Series</t>
  </si>
  <si>
    <t xml:space="preserve">Full-Body Microdermabrasion</t>
  </si>
  <si>
    <t xml:space="preserve">$200</t>
  </si>
  <si>
    <t xml:space="preserve">Cellstory Facial</t>
  </si>
  <si>
    <t xml:space="preserve">Clear + Brilliant</t>
  </si>
  <si>
    <t xml:space="preserve">Double Happiness Body Treatment</t>
  </si>
  <si>
    <t xml:space="preserve">Fire and Ice Facial</t>
  </si>
  <si>
    <t xml:space="preserve">Headmaster Esthetician Treatment</t>
  </si>
  <si>
    <t xml:space="preserve">Magic Glow Facial</t>
  </si>
  <si>
    <t xml:space="preserve">The Exosome Facelift Facial</t>
  </si>
  <si>
    <t xml:space="preserve">The Glass Skin Facial</t>
  </si>
  <si>
    <t xml:space="preserve">The Jet-Setter Massage</t>
  </si>
  <si>
    <t xml:space="preserve">Triple Crown Royale</t>
  </si>
  <si>
    <t xml:space="preserve">Vitalight Facial</t>
  </si>
  <si>
    <t xml:space="preserve">Xerf</t>
  </si>
  <si>
    <t xml:space="preserve">Relaxation Pod / Sleeping Beauty / Power Nap</t>
  </si>
  <si>
    <t xml:space="preserve">SkinTight MedSpa</t>
  </si>
  <si>
    <t xml:space="preserve">Upper East Side</t>
  </si>
  <si>
    <t xml:space="preserve">150 E 61st St, New York, NY 10065</t>
  </si>
  <si>
    <t xml:space="preserve">https://www.skintightmedspa.com/</t>
  </si>
  <si>
    <t xml:space="preserve">$16/unit</t>
  </si>
  <si>
    <t xml:space="preserve">info@skintightmedspa.com</t>
  </si>
  <si>
    <t xml:space="preserve">Jeuveau</t>
  </si>
  <si>
    <t xml:space="preserve">$800/syringe</t>
  </si>
  <si>
    <t xml:space="preserve">Voluma</t>
  </si>
  <si>
    <t xml:space="preserve">$900/1ml syringe</t>
  </si>
  <si>
    <t xml:space="preserve">$800/session</t>
  </si>
  <si>
    <t xml:space="preserve">Vollure XC</t>
  </si>
  <si>
    <t xml:space="preserve">$750/1ml syringe</t>
  </si>
  <si>
    <t xml:space="preserve">$950/1ml syringe</t>
  </si>
  <si>
    <t xml:space="preserve">$850</t>
  </si>
  <si>
    <t xml:space="preserve">Filler Touch-Up</t>
  </si>
  <si>
    <t xml:space="preserve">$300</t>
  </si>
  <si>
    <t xml:space="preserve">Hyperhidrosis (Excessive Underarm Sweat)</t>
  </si>
  <si>
    <t xml:space="preserve">$1,120</t>
  </si>
  <si>
    <t xml:space="preserve">Microneedling with HA</t>
  </si>
  <si>
    <t xml:space="preserve">$640</t>
  </si>
  <si>
    <t xml:space="preserve">Microneedling with PRP (Vampire Facial)</t>
  </si>
  <si>
    <t xml:space="preserve">$800</t>
  </si>
  <si>
    <t xml:space="preserve">Eyebrow Injections</t>
  </si>
  <si>
    <t xml:space="preserve">$400</t>
  </si>
  <si>
    <t xml:space="preserve">Clear+Brilliant Laser</t>
  </si>
  <si>
    <t xml:space="preserve">$600</t>
  </si>
  <si>
    <t xml:space="preserve">BodyFX (abdomen/hips/back/thighs/arms/neck)</t>
  </si>
  <si>
    <t xml:space="preserve">Fractora</t>
  </si>
  <si>
    <t xml:space="preserve">$1,000</t>
  </si>
  <si>
    <t xml:space="preserve">Forma Face and Body</t>
  </si>
  <si>
    <t xml:space="preserve">$700-$2,000/session/area</t>
  </si>
  <si>
    <t xml:space="preserve">IPL Lumecca</t>
  </si>
  <si>
    <t xml:space="preserve">$500-$750/session</t>
  </si>
  <si>
    <t xml:space="preserve">Sclerotherapy</t>
  </si>
  <si>
    <t xml:space="preserve">1 leg $500 / 2 legs $1,000 (3-6 sessions needed)</t>
  </si>
  <si>
    <t xml:space="preserve">PDO Thread Lift</t>
  </si>
  <si>
    <t xml:space="preserve">Laser Hair Growth Helmet (Theradome)</t>
  </si>
  <si>
    <t xml:space="preserve">MiracleFace MedSpa</t>
  </si>
  <si>
    <t xml:space="preserve">Midtown East</t>
  </si>
  <si>
    <t xml:space="preserve">211 East 43rd St, Suite 716, New York, NY 10017</t>
  </si>
  <si>
    <t xml:space="preserve">https://miraclefacemedspanyc.com/</t>
  </si>
  <si>
    <t xml:space="preserve">info@miraclefacemedspanyc.com</t>
  </si>
  <si>
    <t xml:space="preserve">Juvederm Filler</t>
  </si>
  <si>
    <t xml:space="preserve">Radiesse Treatment</t>
  </si>
  <si>
    <t xml:space="preserve">Lip Fillers</t>
  </si>
  <si>
    <t xml:space="preserve">Russian Lips</t>
  </si>
  <si>
    <t xml:space="preserve">Cheek Filler</t>
  </si>
  <si>
    <t xml:space="preserve">Under Eye Fillers</t>
  </si>
  <si>
    <t xml:space="preserve">Non-Surgical Rhinoplasty (Nose Filler)</t>
  </si>
  <si>
    <t xml:space="preserve">Hyaluronidase (dissolver)</t>
  </si>
  <si>
    <t xml:space="preserve">Kybella for Jowls &amp; Cheeks</t>
  </si>
  <si>
    <t xml:space="preserve">Secret RF Microneedling</t>
  </si>
  <si>
    <t xml:space="preserve">AquaGold</t>
  </si>
  <si>
    <t xml:space="preserve">Fraxel Laser</t>
  </si>
  <si>
    <t xml:space="preserve">Mesotherapy</t>
  </si>
  <si>
    <t xml:space="preserve">PRP Facial</t>
  </si>
  <si>
    <t xml:space="preserve">PDO Thread Face Lift</t>
  </si>
  <si>
    <t xml:space="preserve">CoolTone</t>
  </si>
  <si>
    <t xml:space="preserve">EmSculpt</t>
  </si>
  <si>
    <t xml:space="preserve">QWO Cellulite Treatment</t>
  </si>
  <si>
    <t xml:space="preserve">Brazilian Butt Lift (BBL)</t>
  </si>
  <si>
    <t xml:space="preserve">Intense Pulsed Light (IPL)</t>
  </si>
  <si>
    <t xml:space="preserve">Master Antioxidant IV Vitamin Therapy</t>
  </si>
  <si>
    <t xml:space="preserve">AIREM</t>
  </si>
  <si>
    <t xml:space="preserve">Garment District / Midtown</t>
  </si>
  <si>
    <t xml:space="preserve">240 W 37th St, 5th Fl, New York, NY 10018</t>
  </si>
  <si>
    <t xml:space="preserve">https://www.airem.com/</t>
  </si>
  <si>
    <t xml:space="preserve">DermaSmooth (Botox)</t>
  </si>
  <si>
    <t xml:space="preserve">hello@airem.com</t>
  </si>
  <si>
    <t xml:space="preserve">Voluderm (dermal fillers)</t>
  </si>
  <si>
    <t xml:space="preserve">FadeAway</t>
  </si>
  <si>
    <t xml:space="preserve">LaserTone</t>
  </si>
  <si>
    <t xml:space="preserve">SkinEven</t>
  </si>
  <si>
    <t xml:space="preserve">Everglow</t>
  </si>
  <si>
    <t xml:space="preserve">Micropore</t>
  </si>
  <si>
    <t xml:space="preserve">Skin Nutriv</t>
  </si>
  <si>
    <t xml:space="preserve">SkinBright Peel Series</t>
  </si>
  <si>
    <t xml:space="preserve">Everesse (skin tightening)</t>
  </si>
  <si>
    <t xml:space="preserve">Miracell</t>
  </si>
  <si>
    <t xml:space="preserve">Uplift</t>
  </si>
  <si>
    <t xml:space="preserve">Plasma Tite Neck</t>
  </si>
  <si>
    <t xml:space="preserve">Exosomes</t>
  </si>
  <si>
    <t xml:space="preserve">Secretome Stem Cell Rejuvenation</t>
  </si>
  <si>
    <t xml:space="preserve">CliniSkin Facial</t>
  </si>
  <si>
    <t xml:space="preserve">Pearlessence Facial</t>
  </si>
  <si>
    <t xml:space="preserve">SkinFusion Facials</t>
  </si>
  <si>
    <t xml:space="preserve">Miracell Scalp + Exosomes</t>
  </si>
  <si>
    <t xml:space="preserve">Scalp Nutriv</t>
  </si>
  <si>
    <t xml:space="preserve">BodyFit</t>
  </si>
  <si>
    <t xml:space="preserve">Harmoni Spa Experience</t>
  </si>
  <si>
    <t xml:space="preserve">Gwallee Renewal</t>
  </si>
  <si>
    <t xml:space="preserve">Facelift (surgical)</t>
  </si>
  <si>
    <t xml:space="preserve">Buccal Fat Removal</t>
  </si>
  <si>
    <t xml:space="preserve">Fat Grafting</t>
  </si>
  <si>
    <t xml:space="preserve">Chin Augmentation</t>
  </si>
  <si>
    <t xml:space="preserve">Facial Liposuction</t>
  </si>
  <si>
    <t xml:space="preserve">Jaw Reduction &amp; Chin Contouring</t>
  </si>
  <si>
    <t xml:space="preserve">Lip Lift</t>
  </si>
  <si>
    <t xml:space="preserve">Facial Implants</t>
  </si>
  <si>
    <t xml:space="preserve">Facial Feminization Surgery</t>
  </si>
  <si>
    <t xml:space="preserve">Brow Lift</t>
  </si>
  <si>
    <t xml:space="preserve">Blepharoplasty</t>
  </si>
  <si>
    <t xml:space="preserve">Rhinoplasty</t>
  </si>
  <si>
    <t xml:space="preserve">Septoplasty</t>
  </si>
  <si>
    <t xml:space="preserve">Necklift</t>
  </si>
  <si>
    <t xml:space="preserve">Neck Liposuction</t>
  </si>
  <si>
    <t xml:space="preserve">Scalp &amp; Hairline Advancement</t>
  </si>
  <si>
    <t xml:space="preserve">Otoplasty</t>
  </si>
  <si>
    <t xml:space="preserve">Earlobe Repair</t>
  </si>
  <si>
    <t xml:space="preserve">Mohs Reconstruction</t>
  </si>
  <si>
    <t xml:space="preserve">Coolspa by Aethos</t>
  </si>
  <si>
    <t xml:space="preserve">Flatiron &amp; Upper East Side</t>
  </si>
  <si>
    <t xml:space="preserve">50 E 61st St, New York, NY (+ Flatiron location)</t>
  </si>
  <si>
    <t xml:space="preserve">https://www.coolspa.com/</t>
  </si>
  <si>
    <t xml:space="preserve">Botox / Dysport / Xeomin / Jeuveau / Daxxify</t>
  </si>
  <si>
    <t xml:space="preserve">~under 30 min (results 7-10 days, last 3-5 mo)</t>
  </si>
  <si>
    <t xml:space="preserve">concierge@coolspa.com</t>
  </si>
  <si>
    <t xml:space="preserve">Dermal Fillers</t>
  </si>
  <si>
    <t xml:space="preserve">Morpheus8</t>
  </si>
  <si>
    <t xml:space="preserve">Evoke Facial Contouring</t>
  </si>
  <si>
    <t xml:space="preserve">PRP</t>
  </si>
  <si>
    <t xml:space="preserve">Ellacor</t>
  </si>
  <si>
    <t xml:space="preserve">VI Peel</t>
  </si>
  <si>
    <t xml:space="preserve">Sofwave</t>
  </si>
  <si>
    <t xml:space="preserve">Exosome Therapy</t>
  </si>
  <si>
    <t xml:space="preserve">PRF</t>
  </si>
  <si>
    <t xml:space="preserve">Rejuran Skin Booster</t>
  </si>
  <si>
    <t xml:space="preserve">CoolSculpting (incl. Elite)</t>
  </si>
  <si>
    <t xml:space="preserve">miraDry</t>
  </si>
  <si>
    <t xml:space="preserve">Cellulite Treatments</t>
  </si>
  <si>
    <t xml:space="preserve">Semaglutide / Tirzepatide</t>
  </si>
  <si>
    <t xml:space="preserve">IV Drip Therapy</t>
  </si>
  <si>
    <t xml:space="preserve">SmartGraft Hair Restoration</t>
  </si>
  <si>
    <t xml:space="preserve">PRP Hair Restoration</t>
  </si>
  <si>
    <t xml:space="preserve">Skinly Aesthetics</t>
  </si>
  <si>
    <t xml:space="preserve">157 East 64th Street, 2nd Fl, New York, NY 10065</t>
  </si>
  <si>
    <t xml:space="preserve">https://skinlyaesthetics.com/</t>
  </si>
  <si>
    <t xml:space="preserve">info@skinlyaesthetics.com</t>
  </si>
  <si>
    <t xml:space="preserve">Botox for Crow's Feet</t>
  </si>
  <si>
    <t xml:space="preserve">Botox Eyebrow Lift</t>
  </si>
  <si>
    <t xml:space="preserve">Botox for Masseters</t>
  </si>
  <si>
    <t xml:space="preserve">Chin Botox</t>
  </si>
  <si>
    <t xml:space="preserve">Lip Flip</t>
  </si>
  <si>
    <t xml:space="preserve">Baby Botox</t>
  </si>
  <si>
    <t xml:space="preserve">Neck-Tox</t>
  </si>
  <si>
    <t xml:space="preserve">Trap-Tox</t>
  </si>
  <si>
    <t xml:space="preserve">DAO Botox</t>
  </si>
  <si>
    <t xml:space="preserve">TMJ Botox</t>
  </si>
  <si>
    <t xml:space="preserve">Botox for Hyperhidrosis</t>
  </si>
  <si>
    <t xml:space="preserve">Restylane Filler</t>
  </si>
  <si>
    <t xml:space="preserve">Radiesse Filler</t>
  </si>
  <si>
    <t xml:space="preserve">RHA Filler</t>
  </si>
  <si>
    <t xml:space="preserve">Liquid Facelift</t>
  </si>
  <si>
    <t xml:space="preserve">Forehead Filler</t>
  </si>
  <si>
    <t xml:space="preserve">Under Eye Filler</t>
  </si>
  <si>
    <t xml:space="preserve">Nasolabial Fold Filler</t>
  </si>
  <si>
    <t xml:space="preserve">Lip Filler</t>
  </si>
  <si>
    <t xml:space="preserve">Russian Lip Technique</t>
  </si>
  <si>
    <t xml:space="preserve">Jawline Filler</t>
  </si>
  <si>
    <t xml:space="preserve">Chin Filler</t>
  </si>
  <si>
    <t xml:space="preserve">Endolift</t>
  </si>
  <si>
    <t xml:space="preserve">Upneeq</t>
  </si>
  <si>
    <t xml:space="preserve">Liquid Rhinoplasty</t>
  </si>
  <si>
    <t xml:space="preserve">CO2 Laser</t>
  </si>
  <si>
    <t xml:space="preserve">PurePlasma</t>
  </si>
  <si>
    <t xml:space="preserve">Carbon Laser Facial</t>
  </si>
  <si>
    <t xml:space="preserve">Agnes RF</t>
  </si>
  <si>
    <t xml:space="preserve">DermaPen Microneedling</t>
  </si>
  <si>
    <t xml:space="preserve">Skin Boosters</t>
  </si>
  <si>
    <t xml:space="preserve">Hyaluronidase (filler dissolving)</t>
  </si>
  <si>
    <t xml:space="preserve">Injectable BBL (Sculptra BBL)</t>
  </si>
  <si>
    <t xml:space="preserve">Hip Dip Contouring</t>
  </si>
  <si>
    <t xml:space="preserve">Liquid Butt Lift</t>
  </si>
  <si>
    <t xml:space="preserve">Non-Surgical BBL</t>
  </si>
  <si>
    <t xml:space="preserve">Liquid Breast Lift</t>
  </si>
  <si>
    <t xml:space="preserve">Aveli Cellulite Treatment</t>
  </si>
  <si>
    <t xml:space="preserve">Hand Filler</t>
  </si>
  <si>
    <t xml:space="preserve">Penile Augmentation</t>
  </si>
  <si>
    <t xml:space="preserve">EMSculpt</t>
  </si>
  <si>
    <t xml:space="preserve">Laser Tattoo Removal</t>
  </si>
  <si>
    <t xml:space="preserve">Semaglutide/Tirzepatide/Ozempic (weight loss)</t>
  </si>
  <si>
    <t xml:space="preserve">NAD+ Therapy</t>
  </si>
  <si>
    <t xml:space="preserve">Bioidentical Hormone Replacement Therapy (BHRT)</t>
  </si>
  <si>
    <t xml:space="preserve">Growth Hormone Supplement</t>
  </si>
  <si>
    <t xml:space="preserve">IV Therapy</t>
  </si>
  <si>
    <t xml:space="preserve">Addyi</t>
  </si>
  <si>
    <t xml:space="preserve">Skinova Medspa</t>
  </si>
  <si>
    <t xml:space="preserve">Midtown</t>
  </si>
  <si>
    <t xml:space="preserve">12 East 44th St, 8th Fl, New York, NY 10017</t>
  </si>
  <si>
    <t xml:space="preserve">https://skinovamedspa.com/</t>
  </si>
  <si>
    <t xml:space="preserve">$290</t>
  </si>
  <si>
    <t xml:space="preserve">80 min</t>
  </si>
  <si>
    <t xml:space="preserve">contact@skinovamedspa.com</t>
  </si>
  <si>
    <t xml:space="preserve">Express Facial</t>
  </si>
  <si>
    <t xml:space="preserve">$70</t>
  </si>
  <si>
    <t xml:space="preserve">Customized Facial</t>
  </si>
  <si>
    <t xml:space="preserve">$150</t>
  </si>
  <si>
    <t xml:space="preserve">Deep Pore Cleansing Facial</t>
  </si>
  <si>
    <t xml:space="preserve">Acne Facial</t>
  </si>
  <si>
    <t xml:space="preserve">Microdermabrasion Facial</t>
  </si>
  <si>
    <t xml:space="preserve">Hydro Facial</t>
  </si>
  <si>
    <t xml:space="preserve">LED Light Therapy Facial</t>
  </si>
  <si>
    <t xml:space="preserve">$100</t>
  </si>
  <si>
    <t xml:space="preserve">Back Facial</t>
  </si>
  <si>
    <t xml:space="preserve">$170</t>
  </si>
  <si>
    <t xml:space="preserve">Dermaplaning Facial</t>
  </si>
  <si>
    <t xml:space="preserve">$180</t>
  </si>
  <si>
    <t xml:space="preserve">Lymphatic Drainage Facial</t>
  </si>
  <si>
    <t xml:space="preserve">Anti-Aging Facial</t>
  </si>
  <si>
    <t xml:space="preserve">Chemical Peel</t>
  </si>
  <si>
    <t xml:space="preserve">$160</t>
  </si>
  <si>
    <t xml:space="preserve">VI Peel Original</t>
  </si>
  <si>
    <t xml:space="preserve">VI Peel Advanced</t>
  </si>
  <si>
    <t xml:space="preserve">VI Peel Precision Plus</t>
  </si>
  <si>
    <t xml:space="preserve">VI Peel Purify Precision Plus</t>
  </si>
  <si>
    <t xml:space="preserve">VI Peel Body</t>
  </si>
  <si>
    <t xml:space="preserve">$500 (4ml) / $700 (8ml)</t>
  </si>
  <si>
    <t xml:space="preserve">$18/unit</t>
  </si>
  <si>
    <t xml:space="preserve">Juvederm Ultra</t>
  </si>
  <si>
    <t xml:space="preserve">$650/syringe</t>
  </si>
  <si>
    <t xml:space="preserve">Juvederm Voluma</t>
  </si>
  <si>
    <t xml:space="preserve">$750/syringe</t>
  </si>
  <si>
    <t xml:space="preserve">Juvederm Volbella</t>
  </si>
  <si>
    <t xml:space="preserve">$700/syringe</t>
  </si>
  <si>
    <t xml:space="preserve">PRF Hair Restoration</t>
  </si>
  <si>
    <t xml:space="preserve">$950/session</t>
  </si>
  <si>
    <t xml:space="preserve">PRP Microneedling</t>
  </si>
  <si>
    <t xml:space="preserve">$500/session</t>
  </si>
  <si>
    <t xml:space="preserve">Biorevitalization (HA)</t>
  </si>
  <si>
    <t xml:space="preserve">$250/session</t>
  </si>
  <si>
    <t xml:space="preserve">$300/session</t>
  </si>
  <si>
    <t xml:space="preserve">Salmon Sperm Treatment (PDRN)</t>
  </si>
  <si>
    <t xml:space="preserve">Paramedical Tattooing</t>
  </si>
  <si>
    <t xml:space="preserve">Medical Weight Loss</t>
  </si>
  <si>
    <t xml:space="preserve">Endosphere Therapy</t>
  </si>
  <si>
    <t xml:space="preserve">Massage Therapy</t>
  </si>
  <si>
    <t xml:space="preserve">Sugaring</t>
  </si>
  <si>
    <t xml:space="preserve">Medi Pedi NYC</t>
  </si>
  <si>
    <t xml:space="preserve">Murray Hill / Midtown</t>
  </si>
  <si>
    <t xml:space="preserve">20 Park Ave, 1A, New York, NY 10016</t>
  </si>
  <si>
    <t xml:space="preserve">https://www.medipedinyc.com/</t>
  </si>
  <si>
    <t xml:space="preserve">Medical Pedicure (waterless treatment)</t>
  </si>
  <si>
    <t xml:space="preserve">hello@medipedinyc.com</t>
  </si>
  <si>
    <t xml:space="preserve">Nail Restoration (results last 6-8 weeks)</t>
  </si>
  <si>
    <t xml:space="preserve">Performance Foot Care</t>
  </si>
  <si>
    <t xml:space="preserve">Facegym</t>
  </si>
  <si>
    <t xml:space="preserve">Upper East Side (+ Nordstrom, Zero Bond, Saks Fifth Ave studios)</t>
  </si>
  <si>
    <t xml:space="preserve">1427 2nd Ave, New York, NY 10021</t>
  </si>
  <si>
    <t xml:space="preserve">https://facegym.com/</t>
  </si>
  <si>
    <t xml:space="preserve">Signature Sculpt (hands + EMS)</t>
  </si>
  <si>
    <t xml:space="preserve">£110 (£77 member) [displayed in GBP on site]</t>
  </si>
  <si>
    <t xml:space="preserve">35 min + consult</t>
  </si>
  <si>
    <t xml:space="preserve">info@facegym.com</t>
  </si>
  <si>
    <t xml:space="preserve">Signature Hands</t>
  </si>
  <si>
    <t xml:space="preserve">£110 (£77 member)</t>
  </si>
  <si>
    <t xml:space="preserve">Booster: Smoothing Nanoneedling</t>
  </si>
  <si>
    <t xml:space="preserve">£70 (£42 member)</t>
  </si>
  <si>
    <t xml:space="preserve">10 min</t>
  </si>
  <si>
    <t xml:space="preserve">Booster: Draining Cupping</t>
  </si>
  <si>
    <t xml:space="preserve">£40 (£24 member)</t>
  </si>
  <si>
    <t xml:space="preserve">Booster: Hydration Restoration (cryo)</t>
  </si>
  <si>
    <t xml:space="preserve">£110 (£66 member)</t>
  </si>
  <si>
    <t xml:space="preserve">Booster: Scalp Lift x Isamaya</t>
  </si>
  <si>
    <t xml:space="preserve">£55 (£33 member)</t>
  </si>
  <si>
    <t xml:space="preserve">Booster: Resurfacing Peel</t>
  </si>
  <si>
    <t xml:space="preserve">£50 (£30 member)</t>
  </si>
  <si>
    <t xml:space="preserve">Booster: Buccal Tension Release</t>
  </si>
  <si>
    <t xml:space="preserve">Booster: Extra Hand Time</t>
  </si>
  <si>
    <t xml:space="preserve">Booster: Tighten + Firm Full (RF)</t>
  </si>
  <si>
    <t xml:space="preserve">£300 (£180 member)</t>
  </si>
  <si>
    <t xml:space="preserve">40 min</t>
  </si>
  <si>
    <t xml:space="preserve">Booster: Tighten + Firm Partial (RF)</t>
  </si>
  <si>
    <t xml:space="preserve">Booster: Intense Cleanse (Skin IV)</t>
  </si>
  <si>
    <t xml:space="preserve">£85 (£51 member)</t>
  </si>
  <si>
    <t xml:space="preserve">Booster: Vitamin Shot (Skin IV)</t>
  </si>
  <si>
    <t xml:space="preserve">5 min</t>
  </si>
  <si>
    <t xml:space="preserve">Booster: LED Therapy</t>
  </si>
  <si>
    <t xml:space="preserve">KUR Skin Lab</t>
  </si>
  <si>
    <t xml:space="preserve">875 3rd Ave, M-101, New York, NY 10022</t>
  </si>
  <si>
    <t xml:space="preserve">https://kurskinlab.com/</t>
  </si>
  <si>
    <t xml:space="preserve">$120</t>
  </si>
  <si>
    <t xml:space="preserve">75 min</t>
  </si>
  <si>
    <t xml:space="preserve">Dermaplaning or Microdermabrasion + LED/Hyperbaric O2/RF add-on</t>
  </si>
  <si>
    <t xml:space="preserve">Hydro-Oxygenating Jet Peel or HydraFacial</t>
  </si>
  <si>
    <t xml:space="preserve">60 min</t>
  </si>
  <si>
    <t xml:space="preserve">Acne Control Treatment</t>
  </si>
  <si>
    <t xml:space="preserve">Deep Pore Detox Treatment</t>
  </si>
  <si>
    <t xml:space="preserve">Depigmentation Treatment with Tranexamic Acid (TXA)</t>
  </si>
  <si>
    <t xml:space="preserve">65 min</t>
  </si>
  <si>
    <t xml:space="preserve">Enhanced Microneedling</t>
  </si>
  <si>
    <t xml:space="preserve">Peachy (Grand Central Studio)</t>
  </si>
  <si>
    <t xml:space="preserve">Grand Central / Midtown (8 NYC-metro studios)</t>
  </si>
  <si>
    <t xml:space="preserve">237 Park Ave, Suite 0125, New York, NY 10017</t>
  </si>
  <si>
    <t xml:space="preserve">https://peachystudio.com/pages/grand-central-botox</t>
  </si>
  <si>
    <t xml:space="preserve">Wrinkle Treatment (forehead/glabella/crow's feet, unlimited Xeomin/Jeuveau units)</t>
  </si>
  <si>
    <t xml:space="preserve">$425 flat fee</t>
  </si>
  <si>
    <t xml:space="preserve">30-45 min (results 5-10 days, last 2-4 mo)</t>
  </si>
  <si>
    <t xml:space="preserve">hello@peachystudio.com</t>
  </si>
  <si>
    <t xml:space="preserve">Masseter Treatment (jawline slimming / TMJ)</t>
  </si>
  <si>
    <t xml:space="preserve">$525 flat fee</t>
  </si>
  <si>
    <t xml:space="preserve">Botox Facial with AquaGold</t>
  </si>
  <si>
    <t xml:space="preserve">$375 flat fee</t>
  </si>
  <si>
    <t xml:space="preserve">Brand Botox® or Dysport® upcharge</t>
  </si>
  <si>
    <t xml:space="preserve">+$150</t>
  </si>
  <si>
    <t xml:space="preserve">Prescription Retinoids</t>
  </si>
  <si>
    <t xml:space="preserve">Manhattan Aesthetics</t>
  </si>
  <si>
    <t xml:space="preserve">36 East 36th St, 2nd Fl, New York, NY 10016</t>
  </si>
  <si>
    <t xml:space="preserve">https://www.manhattan-aesthetics.com/</t>
  </si>
  <si>
    <t xml:space="preserve">Microdermabrasion</t>
  </si>
  <si>
    <t xml:space="preserve">Laser Skin Rejuvenation</t>
  </si>
  <si>
    <t xml:space="preserve">PicoSure Laser</t>
  </si>
  <si>
    <t xml:space="preserve">SculpSure (laser fat removal)</t>
  </si>
  <si>
    <t xml:space="preserve">Cellulite / Stretch Mark Treatment</t>
  </si>
  <si>
    <t xml:space="preserve">ThermiSmooth</t>
  </si>
  <si>
    <t xml:space="preserve">Spider Vein Removal</t>
  </si>
  <si>
    <t xml:space="preserve">Aerolase Treatments</t>
  </si>
  <si>
    <t xml:space="preserve">Thérapie Clinic (Upper East Side)</t>
  </si>
  <si>
    <t xml:space="preserve">228 East 86th St, New York, NY 10028</t>
  </si>
  <si>
    <t xml:space="preserve">https://therapieclinic.com/us/locations/upper-east-side</t>
  </si>
  <si>
    <t xml:space="preserve">Laser Hair Removal (women &amp; men)</t>
  </si>
  <si>
    <t xml:space="preserve">hello@therapieclinic.us</t>
  </si>
  <si>
    <t xml:space="preserve">Botox / Cosmetic Injections</t>
  </si>
  <si>
    <t xml:space="preserve">Skin Resurfacing</t>
  </si>
  <si>
    <t xml:space="preserve">HydraFacial-type Treatments</t>
  </si>
  <si>
    <t xml:space="preserve">Scar Removal</t>
  </si>
  <si>
    <t xml:space="preserve">Body Sculpting / Body Treatments</t>
  </si>
  <si>
    <t xml:space="preserve">Youtherapy MedSpa</t>
  </si>
  <si>
    <t xml:space="preserve">205 E 78th St, Ground Level, New York, NY 10075</t>
  </si>
  <si>
    <t xml:space="preserve">https://youtherapymedspa.com/</t>
  </si>
  <si>
    <t xml:space="preserve">Lip Enhancements</t>
  </si>
  <si>
    <t xml:space="preserve">PRF Therapy</t>
  </si>
  <si>
    <t xml:space="preserve">Thread Lifts</t>
  </si>
  <si>
    <t xml:space="preserve">Hyperdiluted Radiesse (Collagen Stimulator)</t>
  </si>
  <si>
    <t xml:space="preserve">Sclerotherapy (leg/facial veins)</t>
  </si>
  <si>
    <t xml:space="preserve">Masseter Botox (TMJ/migraine)</t>
  </si>
  <si>
    <t xml:space="preserve">Clear + Brilliant Laser</t>
  </si>
  <si>
    <t xml:space="preserve">CO2 Laser Resurfacing</t>
  </si>
  <si>
    <t xml:space="preserve">CoolPeel</t>
  </si>
  <si>
    <t xml:space="preserve">Cosmeceutical Facials</t>
  </si>
  <si>
    <t xml:space="preserve">Exfoliating Treatments</t>
  </si>
  <si>
    <t xml:space="preserve">LED Light Therapy</t>
  </si>
  <si>
    <t xml:space="preserve">ONDA Pro Body Contouring</t>
  </si>
  <si>
    <t xml:space="preserve">Signature Gold Infusion</t>
  </si>
  <si>
    <t xml:space="preserve">EMSculpt NEO</t>
  </si>
  <si>
    <t xml:space="preserve">VirtueRF Microneedling</t>
  </si>
  <si>
    <t xml:space="preserve">GLP-1 Weight Loss Program</t>
  </si>
  <si>
    <t xml:space="preserve">Upneeq Eye Drops</t>
  </si>
  <si>
    <t xml:space="preserve">M Beauty Studio &amp; Spa</t>
  </si>
  <si>
    <t xml:space="preserve">Midtown/Chelsea (+ Tribeca, NoMad, Flatiron, FiDi, Battery Park City, Murray Hill locations)</t>
  </si>
  <si>
    <t xml:space="preserve">143 W 29th St, Suite 205, New York, NY 10001</t>
  </si>
  <si>
    <t xml:space="preserve">https://mbeauty.studio/</t>
  </si>
  <si>
    <t xml:space="preserve">$199 (reg. $299)</t>
  </si>
  <si>
    <t xml:space="preserve">mbeautystudiospa@gmail.com</t>
  </si>
  <si>
    <t xml:space="preserve">Cryolipolysis (Fat Freeze)</t>
  </si>
  <si>
    <t xml:space="preserve">$249 (reg. $499)</t>
  </si>
  <si>
    <t xml:space="preserve">Ultrasound Cavitation (3 sessions)</t>
  </si>
  <si>
    <t xml:space="preserve">$149 (reg. $299)</t>
  </si>
  <si>
    <t xml:space="preserve">Laser Lipo &amp; Cavitation Combo</t>
  </si>
  <si>
    <t xml:space="preserve">$200 (reg. $500)</t>
  </si>
  <si>
    <t xml:space="preserve">Fat Freeze + Cavitation Combo</t>
  </si>
  <si>
    <t xml:space="preserve">$250 (reg. $500)</t>
  </si>
  <si>
    <t xml:space="preserve">2x HydraFacial Sessions</t>
  </si>
  <si>
    <t xml:space="preserve">$400 (reg. $500)</t>
  </si>
  <si>
    <t xml:space="preserve">Microneedling (2 sessions)</t>
  </si>
  <si>
    <t xml:space="preserve">$400 (reg. $600)</t>
  </si>
  <si>
    <t xml:space="preserve">Laser Hair Removal (1 medium + 1 small area)</t>
  </si>
  <si>
    <t xml:space="preserve">$250 (reg. $700)</t>
  </si>
  <si>
    <t xml:space="preserve">EmSculpt (2 sessions)</t>
  </si>
  <si>
    <t xml:space="preserve">$600 (reg. $1,200)</t>
  </si>
  <si>
    <t xml:space="preserve">IPL Photofacial</t>
  </si>
  <si>
    <t xml:space="preserve">RF Microneedling</t>
  </si>
  <si>
    <t xml:space="preserve">Venus Versa TriBella Facial Rejuvenation</t>
  </si>
  <si>
    <t xml:space="preserve">Venus Versa Skin Tightening</t>
  </si>
  <si>
    <t xml:space="preserve">RF Skin Tightening</t>
  </si>
  <si>
    <t xml:space="preserve">Venus Legacy Body Contouring</t>
  </si>
  <si>
    <t xml:space="preserve">Vacuum Butt Lifting</t>
  </si>
  <si>
    <t xml:space="preserve">Wood Therapy / Lymphatic Drainage</t>
  </si>
  <si>
    <t xml:space="preserve">Soprano Ice Laser Hair Removal</t>
  </si>
  <si>
    <t xml:space="preserve">Alchemy 43</t>
  </si>
  <si>
    <t xml:space="preserve">1334 3rd Ave, New York, NY 10075</t>
  </si>
  <si>
    <t xml:space="preserve">https://alchemy43.com/upper-east-side-ny/</t>
  </si>
  <si>
    <t xml:space="preserve">Botox / Dysport / Letybo</t>
  </si>
  <si>
    <t xml:space="preserve">$13.18/unit (member) or $15.50/unit (non-member)</t>
  </si>
  <si>
    <t xml:space="preserve">~15-20 min (results 7-14 days, last 3-4 mo)</t>
  </si>
  <si>
    <t xml:space="preserve">SKINVIVE</t>
  </si>
  <si>
    <t xml:space="preserve">PRP Injections</t>
  </si>
  <si>
    <t xml:space="preserve">PRP Hair Therapy</t>
  </si>
  <si>
    <t xml:space="preserve">Vitamin &amp; Peptide Injections</t>
  </si>
  <si>
    <t xml:space="preserve">NAD+ Injections</t>
  </si>
  <si>
    <t xml:space="preserve">DiamondGlow Facial</t>
  </si>
  <si>
    <t xml:space="preserve">Microneedling (+ with PRP)</t>
  </si>
  <si>
    <t xml:space="preserve">Fayced Aesthetics NYC</t>
  </si>
  <si>
    <t xml:space="preserve">172 E 75th St, Ground Fl, New York, NY 10021</t>
  </si>
  <si>
    <t xml:space="preserve">https://faycedaestheticsnyc.com/</t>
  </si>
  <si>
    <t xml:space="preserve">Dermal Fillers (Lip, Jawline, Cheek, Under-Eye, Chin, Nasolabial, Temple)</t>
  </si>
  <si>
    <t xml:space="preserve">Starting at $650+ (blanket floor price, not itemized)</t>
  </si>
  <si>
    <t xml:space="preserve">info@faycedaestheticsnyc.com</t>
  </si>
  <si>
    <t xml:space="preserve">Filler Dissolving</t>
  </si>
  <si>
    <t xml:space="preserve">SkinVive</t>
  </si>
  <si>
    <t xml:space="preserve">PRP for Facial Restoration</t>
  </si>
  <si>
    <t xml:space="preserve">PRP for Hair Restoration</t>
  </si>
  <si>
    <t xml:space="preserve">Morpheus8 (Face &amp; Body)</t>
  </si>
  <si>
    <t xml:space="preserve">CoolPeel/CO2 Laser</t>
  </si>
  <si>
    <t xml:space="preserve">SkinPen Microneedling</t>
  </si>
  <si>
    <t xml:space="preserve">Facial Treatments</t>
  </si>
  <si>
    <t xml:space="preserve">DiolazeXL Laser Hair Removal</t>
  </si>
  <si>
    <t xml:space="preserve">Lumecca IPL</t>
  </si>
  <si>
    <t xml:space="preserve">EZ Gel PRF</t>
  </si>
  <si>
    <t xml:space="preserve">DiamondGlow with Allergan</t>
  </si>
  <si>
    <t xml:space="preserve">Skin Spa New York</t>
  </si>
  <si>
    <t xml:space="preserve">Flatiron / Midtown East / Midtown / Upper West Side (multi-location chain)</t>
  </si>
  <si>
    <t xml:space="preserve">11 W 20th St (Flatiron) + other Manhattan locations</t>
  </si>
  <si>
    <t xml:space="preserve">https://skinspanewyork.com/</t>
  </si>
  <si>
    <t xml:space="preserve">Neuromodulators (Botox/Dysport/Xeomin)</t>
  </si>
  <si>
    <t xml:space="preserve">20u $300 / 60u $900 (~$15/unit)</t>
  </si>
  <si>
    <t xml:space="preserve">theskinspamideast@gmail.com</t>
  </si>
  <si>
    <t xml:space="preserve">Cosmetic Fillers (1 syringe HA)</t>
  </si>
  <si>
    <t xml:space="preserve">Cosmetic Fillers (1 syringe Radiesse/Sculptra)</t>
  </si>
  <si>
    <t xml:space="preserve">$900</t>
  </si>
  <si>
    <t xml:space="preserve">HydraFacial Deluxe</t>
  </si>
  <si>
    <t xml:space="preserve">$250 single / $750 (3-pack) / $1,500 (6-pack)</t>
  </si>
  <si>
    <t xml:space="preserve">45 min</t>
  </si>
  <si>
    <t xml:space="preserve">HydraFacial Platinum (7-step)</t>
  </si>
  <si>
    <t xml:space="preserve">1h 15min</t>
  </si>
  <si>
    <t xml:space="preserve">Morpheus8 Face &amp; Neck</t>
  </si>
  <si>
    <t xml:space="preserve">$1,500 (3-pack $4,500)</t>
  </si>
  <si>
    <t xml:space="preserve">Morpheus8 Full Face</t>
  </si>
  <si>
    <t xml:space="preserve">$1,200 (3-pack $3,600)</t>
  </si>
  <si>
    <t xml:space="preserve">Morpheus8 Neck</t>
  </si>
  <si>
    <t xml:space="preserve">$950 (3-pack $2,850)</t>
  </si>
  <si>
    <t xml:space="preserve">Morpheus8 Stretch Marks (3-pack)</t>
  </si>
  <si>
    <t xml:space="preserve">$1,700</t>
  </si>
  <si>
    <t xml:space="preserve">Morpheus8 Body Small/Medium/Large (3-pack)</t>
  </si>
  <si>
    <t xml:space="preserve">$3,600 / $4,050 / $4,500</t>
  </si>
  <si>
    <t xml:space="preserve">Laser Genesis (+)</t>
  </si>
  <si>
    <t xml:space="preserve">Lumecca IPL Face/Body</t>
  </si>
  <si>
    <t xml:space="preserve">Perfection Complexion Facial</t>
  </si>
  <si>
    <t xml:space="preserve">In the Spotlight Facial</t>
  </si>
  <si>
    <t xml:space="preserve">OxyGenesis Reveal</t>
  </si>
  <si>
    <t xml:space="preserve">Time Eraser Anti-Aging Facial</t>
  </si>
  <si>
    <t xml:space="preserve">Liquid Gold Facial (PRP)</t>
  </si>
  <si>
    <t xml:space="preserve">Collagen Induction Therapy (SkinPen)</t>
  </si>
  <si>
    <t xml:space="preserve">Forma Face Sculpting (+ Accelerated)</t>
  </si>
  <si>
    <t xml:space="preserve">Vitamin B12 Injections</t>
  </si>
  <si>
    <t xml:space="preserve">Salmon DNA Facial</t>
  </si>
  <si>
    <t xml:space="preserve">Mermaid Facial</t>
  </si>
  <si>
    <t xml:space="preserve">Emsculpt NEO</t>
  </si>
  <si>
    <t xml:space="preserve">EvolveX</t>
  </si>
  <si>
    <t xml:space="preserve">Forma Plus</t>
  </si>
  <si>
    <t xml:space="preserve">BodyFx</t>
  </si>
  <si>
    <t xml:space="preserve">Body Lumecca / Body Laser Genesis</t>
  </si>
  <si>
    <t xml:space="preserve">Waxing / Massage Therapy</t>
  </si>
  <si>
    <t xml:space="preserve">LovMedSpa</t>
  </si>
  <si>
    <t xml:space="preserve">Chelsea</t>
  </si>
  <si>
    <t xml:space="preserve">124 West 24th St, Suite 41, New York, NY 10011</t>
  </si>
  <si>
    <t xml:space="preserve">https://www.lovmedspa.com/new-york</t>
  </si>
  <si>
    <t xml:space="preserve">Botox (retail)</t>
  </si>
  <si>
    <t xml:space="preserve">$15/unit</t>
  </si>
  <si>
    <t xml:space="preserve">Botox (Essential member)</t>
  </si>
  <si>
    <t xml:space="preserve">$12/unit</t>
  </si>
  <si>
    <t xml:space="preserve">Botox (Premium member)</t>
  </si>
  <si>
    <t xml:space="preserve">$11/unit</t>
  </si>
  <si>
    <t xml:space="preserve">Botox (Elite member)</t>
  </si>
  <si>
    <t xml:space="preserve">$10/unit (results last 3-6 mo)</t>
  </si>
  <si>
    <t xml:space="preserve">Dermal Fillers (RHA/Restylane)</t>
  </si>
  <si>
    <t xml:space="preserve">PDO Thread Facelift</t>
  </si>
  <si>
    <t xml:space="preserve">Liquid BBL</t>
  </si>
  <si>
    <t xml:space="preserve">Medical Weight Loss (Semaglutide)</t>
  </si>
  <si>
    <t xml:space="preserve">Elite Aesthetics NYC</t>
  </si>
  <si>
    <t xml:space="preserve">Gramercy / Flatiron</t>
  </si>
  <si>
    <t xml:space="preserve">1145 Broadway, Fl 2, New York, NY 10001</t>
  </si>
  <si>
    <t xml:space="preserve">https://eliteaestheticsnyc.com/</t>
  </si>
  <si>
    <t xml:space="preserve">Neurotoxin (Botox/Dysport) standard</t>
  </si>
  <si>
    <t xml:space="preserve">$17-19/unit</t>
  </si>
  <si>
    <t xml:space="preserve">Neurotoxin new client special</t>
  </si>
  <si>
    <t xml:space="preserve">$10/unit</t>
  </si>
  <si>
    <t xml:space="preserve">Filler - Cheek</t>
  </si>
  <si>
    <t xml:space="preserve">$1,050-$1,250</t>
  </si>
  <si>
    <t xml:space="preserve">Filler - Chin</t>
  </si>
  <si>
    <t xml:space="preserve">Filler - Earlobe</t>
  </si>
  <si>
    <t xml:space="preserve">$850-$1,050</t>
  </si>
  <si>
    <t xml:space="preserve">Filler - Jawline</t>
  </si>
  <si>
    <t xml:space="preserve">Filler - Lip</t>
  </si>
  <si>
    <t xml:space="preserve">$950-$1,150</t>
  </si>
  <si>
    <t xml:space="preserve">Filler - Neck / Tech Neck</t>
  </si>
  <si>
    <t xml:space="preserve">Filler - Chin Shadow</t>
  </si>
  <si>
    <t xml:space="preserve">Filler - Nasolabial Fold</t>
  </si>
  <si>
    <t xml:space="preserve">Filler - Temple</t>
  </si>
  <si>
    <t xml:space="preserve">Filler - Under Eye</t>
  </si>
  <si>
    <t xml:space="preserve">$1,500/vial</t>
  </si>
  <si>
    <t xml:space="preserve">$1,000/vial</t>
  </si>
  <si>
    <t xml:space="preserve">PRP / PRF</t>
  </si>
  <si>
    <t xml:space="preserve">CO2 Laser - Refresh</t>
  </si>
  <si>
    <t xml:space="preserve">CO2 Laser - Renew</t>
  </si>
  <si>
    <t xml:space="preserve">$2,000</t>
  </si>
  <si>
    <t xml:space="preserve">CO2 Laser - Repair</t>
  </si>
  <si>
    <t xml:space="preserve">$3,000</t>
  </si>
  <si>
    <t xml:space="preserve">CO2 Laser - Body S/M/L</t>
  </si>
  <si>
    <t xml:space="preserve">$750 / $1,000 / $1,250</t>
  </si>
  <si>
    <t xml:space="preserve">Morpheus8 - Eyes or Mouth</t>
  </si>
  <si>
    <t xml:space="preserve">$700</t>
  </si>
  <si>
    <t xml:space="preserve">Morpheus8 - Full Face</t>
  </si>
  <si>
    <t xml:space="preserve">$1,250</t>
  </si>
  <si>
    <t xml:space="preserve">Morpheus8 - Neck</t>
  </si>
  <si>
    <t xml:space="preserve">Morpheus8 - Face &amp; Neck</t>
  </si>
  <si>
    <t xml:space="preserve">$1,500</t>
  </si>
  <si>
    <t xml:space="preserve">Morpheus8 - Face/Neck/Décolletage</t>
  </si>
  <si>
    <t xml:space="preserve">$1,750</t>
  </si>
  <si>
    <t xml:space="preserve">Morpheus8 - Body S/M/L</t>
  </si>
  <si>
    <t xml:space="preserve">$1,250 / $1,500 / $1,750</t>
  </si>
  <si>
    <t xml:space="preserve">HydraFacial Platinum</t>
  </si>
  <si>
    <t xml:space="preserve">HydraFacial Neck &amp; Décolletage</t>
  </si>
  <si>
    <t xml:space="preserve">$249</t>
  </si>
  <si>
    <t xml:space="preserve">HydraFacial Booty</t>
  </si>
  <si>
    <t xml:space="preserve">$349</t>
  </si>
  <si>
    <t xml:space="preserve">HydraFacial Full Back</t>
  </si>
  <si>
    <t xml:space="preserve">HydraFacial Half Back</t>
  </si>
  <si>
    <t xml:space="preserve">Lumecca IPL Face Spot</t>
  </si>
  <si>
    <t xml:space="preserve">Lumecca IPL Full Face</t>
  </si>
  <si>
    <t xml:space="preserve">$500</t>
  </si>
  <si>
    <t xml:space="preserve">Lumecca IPL Face &amp; Neck</t>
  </si>
  <si>
    <t xml:space="preserve">Lumecca IPL Face/Neck/Décolletage</t>
  </si>
  <si>
    <t xml:space="preserve">Lumecca IPL Body S/M/L</t>
  </si>
  <si>
    <t xml:space="preserve">$300 / $600 / $700</t>
  </si>
  <si>
    <t xml:space="preserve">Vampire Facial</t>
  </si>
  <si>
    <t xml:space="preserve">Elite Glow Facial</t>
  </si>
  <si>
    <t xml:space="preserve">$225</t>
  </si>
  <si>
    <t xml:space="preserve">Elite Lift Facial</t>
  </si>
  <si>
    <t xml:space="preserve">Elite Luxe Facial</t>
  </si>
  <si>
    <t xml:space="preserve">$350</t>
  </si>
  <si>
    <t xml:space="preserve">90 min</t>
  </si>
  <si>
    <t xml:space="preserve">SkinPen Microneedling Face</t>
  </si>
  <si>
    <t xml:space="preserve">SkinPen Microneedling Face &amp; Neck</t>
  </si>
  <si>
    <t xml:space="preserve">PRX Derm Perfexion</t>
  </si>
  <si>
    <t xml:space="preserve">Salmon DNA (PDRN)</t>
  </si>
  <si>
    <t xml:space="preserve">NAD+ IV Drip</t>
  </si>
  <si>
    <t xml:space="preserve">Immunity Drip</t>
  </si>
  <si>
    <t xml:space="preserve">$249 (+Glutathione add-on $75)</t>
  </si>
  <si>
    <t xml:space="preserve">Wrinkle Relaxers / Botox Party</t>
  </si>
  <si>
    <t xml:space="preserve">Anti-Sweat Injectables</t>
  </si>
  <si>
    <t xml:space="preserve">Hair Loss Treatments</t>
  </si>
  <si>
    <t xml:space="preserve">GLP-1 Weight Loss</t>
  </si>
  <si>
    <t xml:space="preserve">Tribeca MedSpa</t>
  </si>
  <si>
    <t xml:space="preserve">Tribeca (+ Upper East Side)</t>
  </si>
  <si>
    <t xml:space="preserve">114 Hudson St, New York, NY 10013</t>
  </si>
  <si>
    <t xml:space="preserve">https://www.tribecamedspa.com/</t>
  </si>
  <si>
    <t xml:space="preserve">Medical Facial</t>
  </si>
  <si>
    <t xml:space="preserve">starting at $325</t>
  </si>
  <si>
    <t xml:space="preserve">Skin Tightening Treatments</t>
  </si>
  <si>
    <t xml:space="preserve">starting at $300</t>
  </si>
  <si>
    <t xml:space="preserve">Skin Tone + Texture Treatments</t>
  </si>
  <si>
    <t xml:space="preserve">Acne + Rosacea Treatments</t>
  </si>
  <si>
    <t xml:space="preserve">Neurotoxin (general)</t>
  </si>
  <si>
    <t xml:space="preserve">starting at $240</t>
  </si>
  <si>
    <t xml:space="preserve">$6/unit</t>
  </si>
  <si>
    <t xml:space="preserve">Dermal Filler</t>
  </si>
  <si>
    <t xml:space="preserve">starting at $595</t>
  </si>
  <si>
    <t xml:space="preserve">$72/thread</t>
  </si>
  <si>
    <t xml:space="preserve">starting at $99</t>
  </si>
  <si>
    <t xml:space="preserve">starting at $800</t>
  </si>
  <si>
    <t xml:space="preserve">AviClear Laser Acne Treatment</t>
  </si>
  <si>
    <t xml:space="preserve">LightStim LED Light Therapy</t>
  </si>
  <si>
    <t xml:space="preserve">Laser Genesis</t>
  </si>
  <si>
    <t xml:space="preserve">IPL Photo Facial</t>
  </si>
  <si>
    <t xml:space="preserve">Morpheus8 RF Microneedling</t>
  </si>
  <si>
    <t xml:space="preserve">WarmSculpt (SculpSure)</t>
  </si>
  <si>
    <t xml:space="preserve">Laser Vein Removal</t>
  </si>
  <si>
    <t xml:space="preserve">PRF (Platelet Rich Fibrin)</t>
  </si>
  <si>
    <t xml:space="preserve">Non-Surgical Face Lift</t>
  </si>
  <si>
    <t xml:space="preserve">Forma Facial Skin Tightening</t>
  </si>
  <si>
    <t xml:space="preserve">Moxi and BBL</t>
  </si>
  <si>
    <t xml:space="preserve">Dual Radiance (IPL &amp; Microneedling)</t>
  </si>
  <si>
    <t xml:space="preserve">Fraxel</t>
  </si>
  <si>
    <t xml:space="preserve">Dermaplaning</t>
  </si>
  <si>
    <t xml:space="preserve">PRF Plasma Injections (hair)</t>
  </si>
  <si>
    <t xml:space="preserve">Exosome Therapy (hair)</t>
  </si>
  <si>
    <t xml:space="preserve">Evolve Med Spa (Tribeca)</t>
  </si>
  <si>
    <t xml:space="preserve">Tribeca / Flatiron</t>
  </si>
  <si>
    <t xml:space="preserve">50 W 17th St, Fl 12, Room 11, New York, NY 10011 (temp. relocation)</t>
  </si>
  <si>
    <t xml:space="preserve">https://evolvemedspa.com/in/new-york/tribeca-ny/</t>
  </si>
  <si>
    <t xml:space="preserve">$13/unit</t>
  </si>
  <si>
    <t xml:space="preserve">Lip/Dermal Filler - Versa</t>
  </si>
  <si>
    <t xml:space="preserve">$400/syringe</t>
  </si>
  <si>
    <t xml:space="preserve">Filler - Radiesse</t>
  </si>
  <si>
    <t xml:space="preserve">Filler - Belotero</t>
  </si>
  <si>
    <t xml:space="preserve">Filler - Restylane</t>
  </si>
  <si>
    <t xml:space="preserve">Filler - Sculptra</t>
  </si>
  <si>
    <t xml:space="preserve">$749</t>
  </si>
  <si>
    <t xml:space="preserve">$56</t>
  </si>
  <si>
    <t xml:space="preserve">PRF Gel Treatment</t>
  </si>
  <si>
    <t xml:space="preserve">$650 single / $500 new client / $1,170 (2-pack)</t>
  </si>
  <si>
    <t xml:space="preserve">PRF for Hair Loss</t>
  </si>
  <si>
    <t xml:space="preserve">$745 single / $2,500 (4-pack)</t>
  </si>
  <si>
    <t xml:space="preserve">$650 (1 vial) - $1,996 (4 vials)</t>
  </si>
  <si>
    <t xml:space="preserve">Non-Surgical Butt Lift (Radiesse BBL)</t>
  </si>
  <si>
    <t xml:space="preserve">$2,750 (10 syr) - $9,500 (50 syr)</t>
  </si>
  <si>
    <t xml:space="preserve">Hydrafacial Signature</t>
  </si>
  <si>
    <t xml:space="preserve">Hydrafacial Deluxe</t>
  </si>
  <si>
    <t xml:space="preserve">Hydrafacial Platinum</t>
  </si>
  <si>
    <t xml:space="preserve">Facial - Signature</t>
  </si>
  <si>
    <t xml:space="preserve">Facial - Deep Pore</t>
  </si>
  <si>
    <t xml:space="preserve">Facial - Express</t>
  </si>
  <si>
    <t xml:space="preserve">Facial - Fire and Ice</t>
  </si>
  <si>
    <t xml:space="preserve">$125</t>
  </si>
  <si>
    <t xml:space="preserve">Facial - Champagne</t>
  </si>
  <si>
    <t xml:space="preserve">$99 single / $49 add-on</t>
  </si>
  <si>
    <t xml:space="preserve">Chemical Peel (PCA Peel)</t>
  </si>
  <si>
    <t xml:space="preserve">Microneedling (face)</t>
  </si>
  <si>
    <t xml:space="preserve">$365 - $1,440 (face+neck 3-pack)</t>
  </si>
  <si>
    <t xml:space="preserve">Morpheus8 (face)</t>
  </si>
  <si>
    <t xml:space="preserve">$800 - $2,550 (abdomen 3-pack)</t>
  </si>
  <si>
    <t xml:space="preserve">$500-$600</t>
  </si>
  <si>
    <t xml:space="preserve">$175 (spot) - $1,485 (face+chest 3-pack)</t>
  </si>
  <si>
    <t xml:space="preserve">Candela Photofacial</t>
  </si>
  <si>
    <t xml:space="preserve">$300 single / $825 (3-pack)</t>
  </si>
  <si>
    <t xml:space="preserve">Red Carpet Laser Facial</t>
  </si>
  <si>
    <t xml:space="preserve">$200 single / $700 (4-pack)</t>
  </si>
  <si>
    <t xml:space="preserve">$800 (1 applicator) - $6,400 (16)</t>
  </si>
  <si>
    <t xml:space="preserve">EmSculpt NEO</t>
  </si>
  <si>
    <t xml:space="preserve">$800 single - $4,000 (10-pack)</t>
  </si>
  <si>
    <t xml:space="preserve">Neveskin (Cryoskin) Facial/Shape/Tone</t>
  </si>
  <si>
    <t xml:space="preserve">$99-$2,100</t>
  </si>
  <si>
    <t xml:space="preserve">Laser Hair Removal (per session)</t>
  </si>
  <si>
    <t xml:space="preserve">$120 (lip) - $1,000 (full body)</t>
  </si>
  <si>
    <t xml:space="preserve">Bel Angé MedSpa</t>
  </si>
  <si>
    <t xml:space="preserve">Tribeca</t>
  </si>
  <si>
    <t xml:space="preserve">70 Laight St, New York, NY 10013</t>
  </si>
  <si>
    <t xml:space="preserve">https://www.belangemedspa.com/</t>
  </si>
  <si>
    <t xml:space="preserve">Dermal Fillers (Juvederm, Restylane)</t>
  </si>
  <si>
    <t xml:space="preserve">EmSculpt Neo</t>
  </si>
  <si>
    <t xml:space="preserve">Facial Aesthetics</t>
  </si>
  <si>
    <t xml:space="preserve">Sylfirm X</t>
  </si>
  <si>
    <t xml:space="preserve">Laser Skin Rejuvenation (BBL HEROic, Sciton MOXI, IPL)</t>
  </si>
  <si>
    <t xml:space="preserve">Hydrafacial</t>
  </si>
  <si>
    <t xml:space="preserve">Medical Weight Loss (semaglutide)</t>
  </si>
  <si>
    <t xml:space="preserve">NAD Peptide Therapy</t>
  </si>
  <si>
    <t xml:space="preserve">SkinCeuticals SkinLab by Tribeca MedSpa</t>
  </si>
  <si>
    <t xml:space="preserve">Upper East Side (sister to Tribeca MedSpa)</t>
  </si>
  <si>
    <t xml:space="preserve">1231 3rd Ave, New York, NY 10021</t>
  </si>
  <si>
    <t xml:space="preserve">https://www.skinlab-nyc.com/</t>
  </si>
  <si>
    <t xml:space="preserve">SkinSmooth Facial (LED Micropeel + Phyto)</t>
  </si>
  <si>
    <t xml:space="preserve">SkinBright Facial (HydraFacialMD + Chemical Peel)</t>
  </si>
  <si>
    <t xml:space="preserve">SkinFirm Facial (Microneedling + HB5)</t>
  </si>
  <si>
    <t xml:space="preserve">SkinClear Facial (Micropeel + Blue Light)</t>
  </si>
  <si>
    <t xml:space="preserve">Botox / Xeomin / Dysport / Jeuveau</t>
  </si>
  <si>
    <t xml:space="preserve">Botox Lip Flip</t>
  </si>
  <si>
    <t xml:space="preserve">SkinScope Analysis / Custom D.O.S.E.</t>
  </si>
  <si>
    <t xml:space="preserve">Microcurrent Facials</t>
  </si>
  <si>
    <t xml:space="preserve">Manhattan Medspa</t>
  </si>
  <si>
    <t xml:space="preserve">Gramercy Park / Murray Hill</t>
  </si>
  <si>
    <t xml:space="preserve">112 East 23rd St, 4th Fl, New York, NY</t>
  </si>
  <si>
    <t xml:space="preserve">https://www.manhattan-medspa.com/</t>
  </si>
  <si>
    <t xml:space="preserve">Cosmetic Injectables (Botox/fillers)</t>
  </si>
  <si>
    <t xml:space="preserve">VI Peels</t>
  </si>
  <si>
    <t xml:space="preserve">Laser Hair Removal (incl. Brazilian 6-session package promo)</t>
  </si>
  <si>
    <t xml:space="preserve">Permanent Makeup</t>
  </si>
  <si>
    <t xml:space="preserve">ZO SkinHealth Suncare Products</t>
  </si>
  <si>
    <t xml:space="preserve">SEV Laser (Midtown/NoMad)</t>
  </si>
  <si>
    <t xml:space="preserve">NoMad</t>
  </si>
  <si>
    <t xml:space="preserve">290 5th Ave, 5th Fl, New York, NY 10001</t>
  </si>
  <si>
    <t xml:space="preserve">https://sevlaser.com/midtown/</t>
  </si>
  <si>
    <t xml:space="preserve">from $39/session (membership from $20/mo)</t>
  </si>
  <si>
    <t xml:space="preserve">Laser Facial</t>
  </si>
  <si>
    <t xml:space="preserve">from $100/treatment</t>
  </si>
  <si>
    <t xml:space="preserve">from $175/mo membership; intro $129 (reg $350)</t>
  </si>
  <si>
    <t xml:space="preserve">from $11/unit</t>
  </si>
  <si>
    <t xml:space="preserve">Dermal Fillers (Juvéderm, Restylane)</t>
  </si>
  <si>
    <t xml:space="preserve">intro offer free</t>
  </si>
  <si>
    <t xml:space="preserve">intro $499 (reg $600)</t>
  </si>
  <si>
    <t xml:space="preserve">Midtown Med Spa NYC</t>
  </si>
  <si>
    <t xml:space="preserve">35 W 36th St, Suite 7E, New York, NY 10018</t>
  </si>
  <si>
    <t xml:space="preserve">https://midtownmedspanyc.com/</t>
  </si>
  <si>
    <t xml:space="preserve">$12-$15/unit</t>
  </si>
  <si>
    <t xml:space="preserve">results last 3-4 mo</t>
  </si>
  <si>
    <t xml:space="preserve">Dermal Fillers (Juvederm)</t>
  </si>
  <si>
    <t xml:space="preserve">starting ~$650/syringe</t>
  </si>
  <si>
    <t xml:space="preserve">results last 6-18 mo</t>
  </si>
  <si>
    <t xml:space="preserve">results last up to 2 yrs</t>
  </si>
  <si>
    <t xml:space="preserve">Midtown Medical Spa and Lasers of NYC</t>
  </si>
  <si>
    <t xml:space="preserve">Midtown (Park Ave South)</t>
  </si>
  <si>
    <t xml:space="preserve">461 Park Ave S, Fl 7, Suite M, New York, NY 10016</t>
  </si>
  <si>
    <t xml:space="preserve">https://www.midtownmedicalspalasersnyc.com/</t>
  </si>
  <si>
    <t xml:space="preserve">Medical Facials (Anti-Aging/Hollywood/Acne/IPL Photofacial/Skin Rejuvenation/Resurfacing)</t>
  </si>
  <si>
    <t xml:space="preserve">Facial Fillers</t>
  </si>
  <si>
    <t xml:space="preserve">Cellulite Removal (Vasershape)</t>
  </si>
  <si>
    <t xml:space="preserve">Acne Scar &amp; Scar Treatments</t>
  </si>
  <si>
    <t xml:space="preserve">Sclerotherapy &amp; Laser Varicose Vein Removal</t>
  </si>
  <si>
    <t xml:space="preserve">Skin Tightening</t>
  </si>
  <si>
    <t xml:space="preserve">Laser Tattoo Removal (PicoSure/PicoWay)</t>
  </si>
  <si>
    <t xml:space="preserve">Threadlift / Non-Surgical Facelift</t>
  </si>
  <si>
    <t xml:space="preserve">Non-Surgical Vaginal Rejuvenation</t>
  </si>
  <si>
    <t xml:space="preserve">Dr. Lanna Aesthetics</t>
  </si>
  <si>
    <t xml:space="preserve">140 W 58th St, Suite A, New York, NY 10019</t>
  </si>
  <si>
    <t xml:space="preserve">https://doctorlanna.com/</t>
  </si>
  <si>
    <t xml:space="preserve">Celebrity Liquid Facelift</t>
  </si>
  <si>
    <t xml:space="preserve">FaceTite</t>
  </si>
  <si>
    <t xml:space="preserve">Forma Facial</t>
  </si>
  <si>
    <t xml:space="preserve">Density Laser</t>
  </si>
  <si>
    <t xml:space="preserve">Tattoo Removal</t>
  </si>
  <si>
    <t xml:space="preserve">Acne Scar Removal</t>
  </si>
  <si>
    <t xml:space="preserve">Hydradermabrasion Facial</t>
  </si>
  <si>
    <t xml:space="preserve">V-Line Contouring</t>
  </si>
  <si>
    <t xml:space="preserve">Meso Botox</t>
  </si>
  <si>
    <t xml:space="preserve">Glass Skin Facial</t>
  </si>
  <si>
    <t xml:space="preserve">PDRN Skin Booster</t>
  </si>
  <si>
    <t xml:space="preserve">V-Tone</t>
  </si>
  <si>
    <t xml:space="preserve">Morpheus8V</t>
  </si>
  <si>
    <t xml:space="preserve">Testosterone Replacement Therapy (TRT)</t>
  </si>
  <si>
    <t xml:space="preserve">HausMD</t>
  </si>
  <si>
    <t xml:space="preserve">Serves Upper West Side (physical: Upper East Side)</t>
  </si>
  <si>
    <t xml:space="preserve">1044 3rd Ave, Spa Level, New York, NY 10065</t>
  </si>
  <si>
    <t xml:space="preserve">https://thehausmd.com/</t>
  </si>
  <si>
    <t xml:space="preserve">info@thehausmd.com</t>
  </si>
  <si>
    <t xml:space="preserve">HA Fillers</t>
  </si>
  <si>
    <t xml:space="preserve">Evolysse Fillers</t>
  </si>
  <si>
    <t xml:space="preserve">Hyperdilute Radiesse</t>
  </si>
  <si>
    <t xml:space="preserve">Custom Laser Treatments</t>
  </si>
  <si>
    <t xml:space="preserve">Junera Skin Tightening</t>
  </si>
  <si>
    <t xml:space="preserve">Helix Laser</t>
  </si>
  <si>
    <t xml:space="preserve">Motus AZ+</t>
  </si>
  <si>
    <t xml:space="preserve">Virtue RF Microneedling</t>
  </si>
  <si>
    <t xml:space="preserve">Laser Lipo</t>
  </si>
  <si>
    <t xml:space="preserve">NaturaPeel Laser Facial</t>
  </si>
  <si>
    <t xml:space="preserve">Photofacial</t>
  </si>
  <si>
    <t xml:space="preserve">The Exosome Facial</t>
  </si>
  <si>
    <t xml:space="preserve">Gold Microinfusion</t>
  </si>
  <si>
    <t xml:space="preserve">Nanofat for Dark Under-Eyes</t>
  </si>
  <si>
    <t xml:space="preserve">Secretome Therapy</t>
  </si>
  <si>
    <t xml:space="preserve">Fat Transfer</t>
  </si>
  <si>
    <t xml:space="preserve">Future Face &amp; Body</t>
  </si>
  <si>
    <t xml:space="preserve">42 West 72nd St, New York, NY 10023</t>
  </si>
  <si>
    <t xml:space="preserve">https://futurefaceandbody.com/</t>
  </si>
  <si>
    <t xml:space="preserve">Botox / Dysport / Jeuveau</t>
  </si>
  <si>
    <t xml:space="preserve">$499 flat (unlimited units, 3 areas, promo)</t>
  </si>
  <si>
    <t xml:space="preserve">info@futurefaceandbody.com</t>
  </si>
  <si>
    <t xml:space="preserve">Fillers</t>
  </si>
  <si>
    <t xml:space="preserve">PRP Under Eyes</t>
  </si>
  <si>
    <t xml:space="preserve">PRP Hair Restoration (PRFM)</t>
  </si>
  <si>
    <t xml:space="preserve">Facials (custom)</t>
  </si>
  <si>
    <t xml:space="preserve">Trifecta Med Spa (Wall Street Botox NYC)</t>
  </si>
  <si>
    <t xml:space="preserve">Financial District (+ 57th St, Park Ave, Long Island)</t>
  </si>
  <si>
    <t xml:space="preserve">115 Broadway, New York, NY 10006</t>
  </si>
  <si>
    <t xml:space="preserve">https://wallstreetbotoxnyc.com/</t>
  </si>
  <si>
    <t xml:space="preserve">$699/1cc</t>
  </si>
  <si>
    <t xml:space="preserve">$999/1cc</t>
  </si>
  <si>
    <t xml:space="preserve">Vollure</t>
  </si>
  <si>
    <t xml:space="preserve">$850/1cc</t>
  </si>
  <si>
    <t xml:space="preserve">Volbella (lip filler)</t>
  </si>
  <si>
    <t xml:space="preserve">$600/vial</t>
  </si>
  <si>
    <t xml:space="preserve">Filler Package - Duet (2 fillers)</t>
  </si>
  <si>
    <t xml:space="preserve">$1,400</t>
  </si>
  <si>
    <t xml:space="preserve">Filler Package - Trifecta (3 fillers)</t>
  </si>
  <si>
    <t xml:space="preserve">$1,900</t>
  </si>
  <si>
    <t xml:space="preserve">Filler Package - Quatro (4 fillers)</t>
  </si>
  <si>
    <t xml:space="preserve">$2,400</t>
  </si>
  <si>
    <t xml:space="preserve">Ultherapy - Upper Face</t>
  </si>
  <si>
    <t xml:space="preserve">Ultherapy - Lower Face</t>
  </si>
  <si>
    <t xml:space="preserve">$2,500</t>
  </si>
  <si>
    <t xml:space="preserve">Ultherapy - Décolletage</t>
  </si>
  <si>
    <t xml:space="preserve">Ultherapy - Full Face</t>
  </si>
  <si>
    <t xml:space="preserve">$3,200</t>
  </si>
  <si>
    <t xml:space="preserve">Ultherapy - Lower Face + Neck</t>
  </si>
  <si>
    <t xml:space="preserve">$3,500</t>
  </si>
  <si>
    <t xml:space="preserve">Ultherapy - Full Face + Neck</t>
  </si>
  <si>
    <t xml:space="preserve">$4,000</t>
  </si>
  <si>
    <t xml:space="preserve">CoolSculpting Elite (per applicator)</t>
  </si>
  <si>
    <t xml:space="preserve">$400-$600</t>
  </si>
  <si>
    <t xml:space="preserve">$600/session</t>
  </si>
  <si>
    <t xml:space="preserve">RF Body Contouring</t>
  </si>
  <si>
    <t xml:space="preserve">PRP Facial + Injections</t>
  </si>
  <si>
    <t xml:space="preserve">Diamond Glow</t>
  </si>
  <si>
    <t xml:space="preserve">Microneedling (full face)</t>
  </si>
  <si>
    <t xml:space="preserve">OxyGeneo Facial</t>
  </si>
  <si>
    <t xml:space="preserve">Placenta Facial</t>
  </si>
  <si>
    <t xml:space="preserve">SkinMedica Peel - Illuminize</t>
  </si>
  <si>
    <t xml:space="preserve">SkinMedica Peel - Vitalize</t>
  </si>
  <si>
    <t xml:space="preserve">SkinMedica Peel - Rejuvenize</t>
  </si>
  <si>
    <t xml:space="preserve">Red Carpet Microbotox</t>
  </si>
  <si>
    <t xml:space="preserve">$450</t>
  </si>
  <si>
    <t xml:space="preserve">Laser Hair Removal - Small</t>
  </si>
  <si>
    <t xml:space="preserve">$99/session</t>
  </si>
  <si>
    <t xml:space="preserve">Laser Hair Removal - Medium</t>
  </si>
  <si>
    <t xml:space="preserve">$199/session</t>
  </si>
  <si>
    <t xml:space="preserve">Laser Hair Removal - Large</t>
  </si>
  <si>
    <t xml:space="preserve">$399/session</t>
  </si>
  <si>
    <t xml:space="preserve">IPL Photofacial - Full Face</t>
  </si>
  <si>
    <t xml:space="preserve">IPL Photofacial - Spot/Vessels</t>
  </si>
  <si>
    <t xml:space="preserve">Fractional Skin Rejuvenation - Full Face</t>
  </si>
  <si>
    <t xml:space="preserve">Fractional Skin Rejuvenation - Full Face+Neck</t>
  </si>
  <si>
    <t xml:space="preserve">$750</t>
  </si>
  <si>
    <t xml:space="preserve">Tattoo Removal - Small</t>
  </si>
  <si>
    <t xml:space="preserve">Tattoo Removal - Medium</t>
  </si>
  <si>
    <t xml:space="preserve">Tattoo Removal - Large</t>
  </si>
  <si>
    <t xml:space="preserve">FemTouch Vaginal Rejuvenation (57th St location only)</t>
  </si>
  <si>
    <t xml:space="preserve">Deep Blue Med Spa</t>
  </si>
  <si>
    <t xml:space="preserve">1040 Park Ave, Suite 1BC, New York, NY 10028</t>
  </si>
  <si>
    <t xml:space="preserve">https://www.deepbluemedspa.com/locations/nyc/</t>
  </si>
  <si>
    <t xml:space="preserve">Price available upon consultation</t>
  </si>
  <si>
    <t xml:space="preserve">Juvederm (family)</t>
  </si>
  <si>
    <t xml:space="preserve">RHA Fillers</t>
  </si>
  <si>
    <t xml:space="preserve">Thread Lift</t>
  </si>
  <si>
    <t xml:space="preserve">Cheekbone Contouring</t>
  </si>
  <si>
    <t xml:space="preserve">Jawline Enhancement</t>
  </si>
  <si>
    <t xml:space="preserve">Lip Augmentation</t>
  </si>
  <si>
    <t xml:space="preserve">Nasolabial Folds Treatment</t>
  </si>
  <si>
    <t xml:space="preserve">Non-Surgical Rhinoplasty</t>
  </si>
  <si>
    <t xml:space="preserve">Tear Trough (Under-Eye) Filler</t>
  </si>
  <si>
    <t xml:space="preserve">AviClear</t>
  </si>
  <si>
    <t xml:space="preserve">BBL HEROic + Moxi</t>
  </si>
  <si>
    <t xml:space="preserve">Clear+Brilliant (incl. Touch)</t>
  </si>
  <si>
    <t xml:space="preserve">CO2Re Resurfacing</t>
  </si>
  <si>
    <t xml:space="preserve">IPL/Photo Rejuvenation</t>
  </si>
  <si>
    <t xml:space="preserve">VelaShape</t>
  </si>
  <si>
    <t xml:space="preserve">Avéli Cellulite Treatment</t>
  </si>
  <si>
    <t xml:space="preserve">Laser Hair Reduction</t>
  </si>
  <si>
    <t xml:space="preserve">Nipple Tattooing</t>
  </si>
  <si>
    <t xml:space="preserve">BioRePeel</t>
  </si>
  <si>
    <t xml:space="preserve">Bridal Beauty Plan</t>
  </si>
  <si>
    <t xml:space="preserve">Chemical Peels (Jessner/Salicylic/Lactic/Glycolic/Enzyme/ZO/Perfect Derma/Illuminize)</t>
  </si>
  <si>
    <t xml:space="preserve">Eyebrow Services</t>
  </si>
  <si>
    <t xml:space="preserve">Facials (Fire and Ice/Vitamin C/Deep Detox/Signature/Teen/Back/Salmon Marine/Radiance Renewal/Glo2Facial/DEJ Biostim)</t>
  </si>
  <si>
    <t xml:space="preserve">Microneedling (Standard/Deluxe/Platinum/Complex/Dual Power)</t>
  </si>
  <si>
    <t xml:space="preserve">Glowpin</t>
  </si>
  <si>
    <t xml:space="preserve">TAMA Microcurrent (Ultimate Lift/Balancing Facial Therapy)</t>
  </si>
  <si>
    <t xml:space="preserve">VISIA Complexion Analysis</t>
  </si>
  <si>
    <t xml:space="preserve">Keravive Scalp/Hair Health</t>
  </si>
  <si>
    <t xml:space="preserve">Weight Management Program</t>
  </si>
  <si>
    <t xml:space="preserve">Intramuscular Injections</t>
  </si>
  <si>
    <t xml:space="preserve">IV Infusion Therapy</t>
  </si>
  <si>
    <t xml:space="preserve">UPKEEP Med Spa</t>
  </si>
  <si>
    <t xml:space="preserve">Upper East Side / Greenwich Village / Chelsea (multi-location)</t>
  </si>
  <si>
    <t xml:space="preserve">330 E 76th St, New York, NY (+ 33 Bedford St, 224 W 18th St)</t>
  </si>
  <si>
    <t xml:space="preserve">https://upkeepmedspa.com/</t>
  </si>
  <si>
    <t xml:space="preserve">results 3-7 days, last 3-4 mo</t>
  </si>
  <si>
    <t xml:space="preserve">info@upkeepmedspa.com</t>
  </si>
  <si>
    <t xml:space="preserve">$5/unit</t>
  </si>
  <si>
    <t xml:space="preserve">Lip Enhancement (quick)</t>
  </si>
  <si>
    <t xml:space="preserve">from $275</t>
  </si>
  <si>
    <t xml:space="preserve">Lip Enhancement (full syringe)</t>
  </si>
  <si>
    <t xml:space="preserve">from $550</t>
  </si>
  <si>
    <t xml:space="preserve">Filler - Cheeks/Jawline</t>
  </si>
  <si>
    <t xml:space="preserve">$800-$900/syringe</t>
  </si>
  <si>
    <t xml:space="preserve">$750-$900/syringe</t>
  </si>
  <si>
    <t xml:space="preserve">Filler - Smile Lines</t>
  </si>
  <si>
    <t xml:space="preserve">$700-$850/syringe</t>
  </si>
  <si>
    <t xml:space="preserve">$199 (3-pack $400)</t>
  </si>
  <si>
    <t xml:space="preserve">UPKEEP Facial</t>
  </si>
  <si>
    <t xml:space="preserve">$150 (3-pack $300)</t>
  </si>
  <si>
    <t xml:space="preserve">$200 (3-pack $550) + PRP add-on $300</t>
  </si>
  <si>
    <t xml:space="preserve">Dermaplane</t>
  </si>
  <si>
    <t xml:space="preserve">$50 (3-pack $120)</t>
  </si>
  <si>
    <t xml:space="preserve">Carbon Facial</t>
  </si>
  <si>
    <t xml:space="preserve">Smooth Threads</t>
  </si>
  <si>
    <t xml:space="preserve">$20/thread</t>
  </si>
  <si>
    <t xml:space="preserve">Radiesse / Hyperdilute</t>
  </si>
  <si>
    <t xml:space="preserve">Hylenex (filler dissolver)</t>
  </si>
  <si>
    <t xml:space="preserve">$3/unit</t>
  </si>
  <si>
    <t xml:space="preserve">B12 Shot</t>
  </si>
  <si>
    <t xml:space="preserve">$25</t>
  </si>
  <si>
    <t xml:space="preserve">Gummy Smile / Lip Flip</t>
  </si>
  <si>
    <t xml:space="preserve">Radiesse BBL</t>
  </si>
  <si>
    <t xml:space="preserve">$5,999</t>
  </si>
  <si>
    <t xml:space="preserve">Laser Hair Removal (underarms, 6x)</t>
  </si>
  <si>
    <t xml:space="preserve">Laser Hair Removal (full body, 9x)</t>
  </si>
  <si>
    <t xml:space="preserve">up to $7,000</t>
  </si>
  <si>
    <t xml:space="preserve">Pico Laser</t>
  </si>
  <si>
    <t xml:space="preserve">$400 (pkg $1,000)</t>
  </si>
  <si>
    <t xml:space="preserve">$400 (pkg $1,200)</t>
  </si>
  <si>
    <t xml:space="preserve">IPL</t>
  </si>
  <si>
    <t xml:space="preserve">$200 (pkg $500)</t>
  </si>
  <si>
    <t xml:space="preserve">AC Dual (acne)</t>
  </si>
  <si>
    <t xml:space="preserve">Tattoo Removal - X-Large</t>
  </si>
  <si>
    <t xml:space="preserve">Body Sculpt (fat)</t>
  </si>
  <si>
    <t xml:space="preserve">Body Tone (muscle)</t>
  </si>
  <si>
    <t xml:space="preserve">Venus Freeze (skin tightening)</t>
  </si>
  <si>
    <t xml:space="preserve">$150 (pkg $300)</t>
  </si>
  <si>
    <t xml:space="preserve">UPKEEP Upgrade (body pkg)</t>
  </si>
  <si>
    <t xml:space="preserve">$1,500 (4-pack $4,500)</t>
  </si>
  <si>
    <t xml:space="preserve">L'Elite MediSpa</t>
  </si>
  <si>
    <t xml:space="preserve">Harlem</t>
  </si>
  <si>
    <t xml:space="preserve">1661 Madison Ave, New York, NY 10029</t>
  </si>
  <si>
    <t xml:space="preserve">https://lelitemedispa.com/lelite-medispa-manhattan/</t>
  </si>
  <si>
    <t xml:space="preserve">Botox / Dysport / Newtox</t>
  </si>
  <si>
    <t xml:space="preserve">info@lelitemedispa.com</t>
  </si>
  <si>
    <t xml:space="preserve">Facials</t>
  </si>
  <si>
    <t xml:space="preserve">JetPeel Facials</t>
  </si>
  <si>
    <t xml:space="preserve">Hair Restoration &amp; PRP</t>
  </si>
  <si>
    <t xml:space="preserve">Lip Injections</t>
  </si>
  <si>
    <t xml:space="preserve">Electrolysis</t>
  </si>
  <si>
    <t xml:space="preserve">Teeth Whitening</t>
  </si>
  <si>
    <t xml:space="preserve">Scarlet RF</t>
  </si>
  <si>
    <t xml:space="preserve">Venus Viva</t>
  </si>
  <si>
    <t xml:space="preserve">Bioidentical Hormone Therapy</t>
  </si>
  <si>
    <t xml:space="preserve">Mona Lisa Treatment</t>
  </si>
  <si>
    <t xml:space="preserve">P-Shot</t>
  </si>
  <si>
    <t xml:space="preserve">O-Shot</t>
  </si>
  <si>
    <t xml:space="preserve">Acoustic Wave Therapy</t>
  </si>
  <si>
    <t xml:space="preserve">Emsella Chair</t>
  </si>
  <si>
    <t xml:space="preserve">DUTCH Testing</t>
  </si>
  <si>
    <t xml:space="preserve">NAD Therapy</t>
  </si>
  <si>
    <t xml:space="preserve">IV Vitamin Infusion</t>
  </si>
  <si>
    <t xml:space="preserve">Nutraceuticals</t>
  </si>
  <si>
    <t xml:space="preserve">Ozone Therapy / EBOO</t>
  </si>
  <si>
    <t xml:space="preserve">Neural Therapy</t>
  </si>
  <si>
    <t xml:space="preserve">Gene Testing</t>
  </si>
  <si>
    <t xml:space="preserve">GI Map Testing</t>
  </si>
  <si>
    <t xml:space="preserve">Venus Legacy</t>
  </si>
  <si>
    <t xml:space="preserve">Lymphatic Drainage Massage</t>
  </si>
  <si>
    <t xml:space="preserve">Body Contouring</t>
  </si>
  <si>
    <t xml:space="preserve">Rapid (HCG) Weight Loss Program</t>
  </si>
  <si>
    <t xml:space="preserve">Peptides</t>
  </si>
  <si>
    <t xml:space="preserve">Emsculpt</t>
  </si>
  <si>
    <t xml:space="preserve">Maderotapia</t>
  </si>
  <si>
    <t xml:space="preserve">Beauty Lyft Med Spa</t>
  </si>
  <si>
    <t xml:space="preserve">Garment District</t>
  </si>
  <si>
    <t xml:space="preserve">325 W 38th St, #603, New York, NY 10018</t>
  </si>
  <si>
    <t xml:space="preserve">https://beautylyftmedspa.com/</t>
  </si>
  <si>
    <t xml:space="preserve">Botox &amp; Jeuveau</t>
  </si>
  <si>
    <t xml:space="preserve">simple tx ~30-45 min; comprehensive tx 1-2 hrs (general FAQ range)</t>
  </si>
  <si>
    <t xml:space="preserve">Filler Dissolver Treatment</t>
  </si>
  <si>
    <t xml:space="preserve">Vybe RF Microneedling</t>
  </si>
  <si>
    <t xml:space="preserve">Biostimulators</t>
  </si>
  <si>
    <t xml:space="preserve">Hair Restoration</t>
  </si>
  <si>
    <t xml:space="preserve">Permanent Makeup (Lip Blush/Microblading/Ombre Brows)</t>
  </si>
  <si>
    <t xml:space="preserve">Stretch Marks Camouflage</t>
  </si>
  <si>
    <t xml:space="preserve">Rothaus MD</t>
  </si>
  <si>
    <t xml:space="preserve">325 E 72nd St, New York, NY 10021</t>
  </si>
  <si>
    <t xml:space="preserve">https://www.rothausmd.com/</t>
  </si>
  <si>
    <t xml:space="preserve">office@rothausmd.com</t>
  </si>
  <si>
    <t xml:space="preserve">Volbella</t>
  </si>
  <si>
    <t xml:space="preserve">Defyne</t>
  </si>
  <si>
    <t xml:space="preserve">Refyne</t>
  </si>
  <si>
    <t xml:space="preserve">Fat Transfer (Micro/Nanofat)</t>
  </si>
  <si>
    <t xml:space="preserve">Belotero</t>
  </si>
  <si>
    <t xml:space="preserve">Preventative Botox</t>
  </si>
  <si>
    <t xml:space="preserve">RothausMD Peel</t>
  </si>
  <si>
    <t xml:space="preserve">Subnovii</t>
  </si>
  <si>
    <t xml:space="preserve">Tetra CO2</t>
  </si>
  <si>
    <t xml:space="preserve">Denave Laser</t>
  </si>
  <si>
    <t xml:space="preserve">Spectra Peel</t>
  </si>
  <si>
    <t xml:space="preserve">Starlux IPL</t>
  </si>
  <si>
    <t xml:space="preserve">PrecisionTx/SlimLipo/SmartLipo</t>
  </si>
  <si>
    <t xml:space="preserve">Junera</t>
  </si>
  <si>
    <t xml:space="preserve">Lipo AI</t>
  </si>
  <si>
    <t xml:space="preserve">Perfect Med Spa</t>
  </si>
  <si>
    <t xml:space="preserve">Murray Hill</t>
  </si>
  <si>
    <t xml:space="preserve">109 E 36th St, New York, NY 10016</t>
  </si>
  <si>
    <t xml:space="preserve">https://www.perfectmedspa.com/nyc-med-spa/</t>
  </si>
  <si>
    <t xml:space="preserve">$599 (reg. $800)</t>
  </si>
  <si>
    <t xml:space="preserve">info@perfectmedspa.com</t>
  </si>
  <si>
    <t xml:space="preserve">Double Chin Lifting</t>
  </si>
  <si>
    <t xml:space="preserve">Dermal Infusion (Silk Peel)</t>
  </si>
  <si>
    <t xml:space="preserve">Peels (chemical, photodamage repair)</t>
  </si>
  <si>
    <t xml:space="preserve">Coolsculpting</t>
  </si>
  <si>
    <t xml:space="preserve">Fotona 4D Facelift</t>
  </si>
  <si>
    <t xml:space="preserve">NightLase (snoring)</t>
  </si>
  <si>
    <t xml:space="preserve">LipLase</t>
  </si>
  <si>
    <t xml:space="preserve">Broken Capillaries Treatment</t>
  </si>
  <si>
    <t xml:space="preserve">RF Facelift / Venus Legacy</t>
  </si>
  <si>
    <t xml:space="preserve">NY Med Spa</t>
  </si>
  <si>
    <t xml:space="preserve">Flatiron / NoMad</t>
  </si>
  <si>
    <t xml:space="preserve">37 West 26th St, Suite 408E, New York, NY 10010</t>
  </si>
  <si>
    <t xml:space="preserve">https://nycmedspa.nyc/</t>
  </si>
  <si>
    <t xml:space="preserve">Vacuum Butt Lift</t>
  </si>
  <si>
    <t xml:space="preserve">Microneedling (Skin Repair)</t>
  </si>
  <si>
    <t xml:space="preserve">Microblading</t>
  </si>
  <si>
    <t xml:space="preserve">Carbon Laser Peel (Hollywood Facial)</t>
  </si>
  <si>
    <t xml:space="preserve">Buccal Massage</t>
  </si>
  <si>
    <t xml:space="preserve">Plasma Pen Treatment</t>
  </si>
  <si>
    <t xml:space="preserve">Vi Peel</t>
  </si>
  <si>
    <t xml:space="preserve">PRP/PRF Facial</t>
  </si>
  <si>
    <t xml:space="preserve">Permanent Make-Up (Lip Tattooing/Lash Line/Eyeliner Tattooing/Micropigmentation)</t>
  </si>
  <si>
    <t xml:space="preserve">Microcurrent Facial</t>
  </si>
  <si>
    <t xml:space="preserve">Ultimate Deep Pore Cleansing Facial</t>
  </si>
  <si>
    <t xml:space="preserve">Crystal Microdermabrasion w/ Oxygen</t>
  </si>
  <si>
    <t xml:space="preserve">Hydroworks Facial</t>
  </si>
  <si>
    <t xml:space="preserve">TREAT MEDSPA</t>
  </si>
  <si>
    <t xml:space="preserve">244 5th Ave, Fl 3, New York, NY 10001</t>
  </si>
  <si>
    <t xml:space="preserve">https://treatmedspa.com/</t>
  </si>
  <si>
    <t xml:space="preserve">hello@treatmedspa.com</t>
  </si>
  <si>
    <t xml:space="preserve">TruFlex</t>
  </si>
  <si>
    <t xml:space="preserve">Dermal Fillers (Cheek/Lip)</t>
  </si>
  <si>
    <t xml:space="preserve">Salmon DNA (Salmon Sperm Injectable)</t>
  </si>
  <si>
    <t xml:space="preserve">XERF</t>
  </si>
  <si>
    <t xml:space="preserve">Emface</t>
  </si>
  <si>
    <t xml:space="preserve">Venus Freeze</t>
  </si>
  <si>
    <t xml:space="preserve">Semaglutide Weight Loss Program</t>
  </si>
  <si>
    <t xml:space="preserve">Aura 3D Imaging Skin Analysis (consultation tool)</t>
  </si>
  <si>
    <t xml:space="preserve">Eureka Body Care and Spa + Medspa, Botox</t>
  </si>
  <si>
    <t xml:space="preserve">Flatiron/NoMad</t>
  </si>
  <si>
    <t xml:space="preserve">37 E 28th St #700, New York, NY 10016 (Flatiron/NoMad)</t>
  </si>
  <si>
    <t xml:space="preserve">eurekabodycareandspa.com</t>
  </si>
  <si>
    <t xml:space="preserve">Botox - 20 units</t>
  </si>
  <si>
    <t xml:space="preserve">$199.00</t>
  </si>
  <si>
    <t xml:space="preserve">35 mins</t>
  </si>
  <si>
    <t xml:space="preserve">info@eurekabodycareandspa.com</t>
  </si>
  <si>
    <t xml:space="preserve">Dysport - 60 units</t>
  </si>
  <si>
    <t xml:space="preserve">$220.00</t>
  </si>
  <si>
    <t xml:space="preserve">30 mins</t>
  </si>
  <si>
    <t xml:space="preserve">Juvederm Dermal Filler (1 Syringe)</t>
  </si>
  <si>
    <t xml:space="preserve">$799.00</t>
  </si>
  <si>
    <t xml:space="preserve">Restylane Filler (1 Syringe)</t>
  </si>
  <si>
    <t xml:space="preserve">$529.00</t>
  </si>
  <si>
    <t xml:space="preserve">Restylane Lip Filler - Kysse</t>
  </si>
  <si>
    <t xml:space="preserve">$299.00+</t>
  </si>
  <si>
    <t xml:space="preserve">25 mins+</t>
  </si>
  <si>
    <t xml:space="preserve">Sculptra Treatment</t>
  </si>
  <si>
    <t xml:space="preserve">$850.00</t>
  </si>
  <si>
    <t xml:space="preserve">40 mins</t>
  </si>
  <si>
    <t xml:space="preserve">RF Microneedling Face &amp; Neck w/ Vitamin Infusion</t>
  </si>
  <si>
    <t xml:space="preserve">$189.00+</t>
  </si>
  <si>
    <t xml:space="preserve">1 hr+</t>
  </si>
  <si>
    <t xml:space="preserve">$139.00+</t>
  </si>
  <si>
    <t xml:space="preserve">Laser Hair Removal - Touch-Up (Legs/Brazilian/Underarms)</t>
  </si>
  <si>
    <t xml:space="preserve">$250.00</t>
  </si>
  <si>
    <t xml:space="preserve">45 mins</t>
  </si>
  <si>
    <t xml:space="preserve">EMSculpt Neo Body Contouring (Small Applicator)</t>
  </si>
  <si>
    <t xml:space="preserve">$650.00+</t>
  </si>
  <si>
    <t xml:space="preserve">VI Peel (Chemical Peel)</t>
  </si>
  <si>
    <t xml:space="preserve">$220.00+</t>
  </si>
  <si>
    <t xml:space="preserve">30 mins+</t>
  </si>
  <si>
    <t xml:space="preserve">PRP Microneedling Face and Neck</t>
  </si>
  <si>
    <t xml:space="preserve"># Procedures Listed</t>
  </si>
  <si>
    <t xml:space="preserve">Pricing Transparency</t>
  </si>
  <si>
    <t xml:space="preserve">Source</t>
  </si>
  <si>
    <t xml:space="preserve">None published</t>
  </si>
  <si>
    <t xml:space="preserve">Initial search pass</t>
  </si>
  <si>
    <t xml:space="preserve">Partial</t>
  </si>
  <si>
    <t xml:space="preserve">Partial (via email reply)</t>
  </si>
  <si>
    <t xml:space="preserve">Full</t>
  </si>
  <si>
    <t xml:space="preserve">LovMedSpa (Chelsea + Brooklyn Heights)</t>
  </si>
  <si>
    <t xml:space="preserve">Chelsea / Brooklyn Heights</t>
  </si>
  <si>
    <t xml:space="preserve">124 West 24th St, Suite 41, New York, NY 10011 | 1 Boerum Pl Ste 252, Brooklyn, NY 11201</t>
  </si>
  <si>
    <t xml:space="preserve">Initial search pass | Brooklyn Heights location added via Expanded Directory v3 cross-check (8/14/26)</t>
  </si>
  <si>
    <t xml:space="preserve">info@lovmedspa.com</t>
  </si>
  <si>
    <t xml:space="preserve">StudioMD</t>
  </si>
  <si>
    <t xml:space="preserve">7 W 51st St, Fl 6, New York, NY 10019</t>
  </si>
  <si>
    <t xml:space="preserve">https://www.thestudiomd.com/medspa/ (Midtown; also SoHo location 150 Spring St)</t>
  </si>
  <si>
    <t xml:space="preserve">Procedures listed, no public pricing</t>
  </si>
  <si>
    <t xml:space="preserve">Google Maps sweep</t>
  </si>
  <si>
    <t xml:space="preserve">BeRejuved Medical Spa &amp; Wellness Studio - NYC</t>
  </si>
  <si>
    <t xml:space="preserve">940 3rd Ave 3rd Fl (Midtown East) + 363 7th Ave Ste 11R (Chelsea)</t>
  </si>
  <si>
    <t xml:space="preserve">https://www.berejuved.com/</t>
  </si>
  <si>
    <t xml:space="preserve">info@berejuved.com</t>
  </si>
  <si>
    <t xml:space="preserve">Koru Wellness Aesthetics NYC</t>
  </si>
  <si>
    <t xml:space="preserve">341 E 78th St Ground Fl, New York, NY 10075 (UES)</t>
  </si>
  <si>
    <t xml:space="preserve">https://korunyc.com/</t>
  </si>
  <si>
    <t xml:space="preserve">Revival Med Spa</t>
  </si>
  <si>
    <t xml:space="preserve">24 E 36th St, New York, NY 10016 (Murray Hill)</t>
  </si>
  <si>
    <t xml:space="preserve">https://revivalmedicalspa.com/</t>
  </si>
  <si>
    <t xml:space="preserve">info@revivalmedicalspa.com</t>
  </si>
  <si>
    <t xml:space="preserve">NakedMD Med Spa New York</t>
  </si>
  <si>
    <t xml:space="preserve">110 E 60th St Ste 1104, New York, NY (address unconfirmed on site)</t>
  </si>
  <si>
    <t xml:space="preserve">https://www.nakedmd.com/ (national chain; no NYC-specific page found)</t>
  </si>
  <si>
    <t xml:space="preserve">concierge@nakedmd.com</t>
  </si>
  <si>
    <t xml:space="preserve">Dolce Medical Spa NYC</t>
  </si>
  <si>
    <t xml:space="preserve">124 E 36th St, New York, NY 10016 (Murray Hill)</t>
  </si>
  <si>
    <t xml:space="preserve">https://dolcemedicalspas.com/</t>
  </si>
  <si>
    <t xml:space="preserve">Central Park West Med Spa</t>
  </si>
  <si>
    <t xml:space="preserve">2 W 67th St, New York, NY 10023 (UWS, per directories)</t>
  </si>
  <si>
    <t xml:space="preserve">NOT FOUND — domain compromised/hijacked (serves gambling content), no live official site</t>
  </si>
  <si>
    <t xml:space="preserve">Directory only (no website found)</t>
  </si>
  <si>
    <t xml:space="preserve">not published (no website)</t>
  </si>
  <si>
    <t xml:space="preserve">Clinique des Champs Élysées</t>
  </si>
  <si>
    <t xml:space="preserve">5 E 57th St, Fl 12, New York, NY 10022 (Midtown East)</t>
  </si>
  <si>
    <t xml:space="preserve">https://www.newyork.crpce.com/</t>
  </si>
  <si>
    <t xml:space="preserve">contact@champs-elysees-clinic.com</t>
  </si>
  <si>
    <t xml:space="preserve">Anand Medical Spa</t>
  </si>
  <si>
    <t xml:space="preserve">635 Madison Ave, 11th Fl, New York, NY 10022</t>
  </si>
  <si>
    <t xml:space="preserve">https://anandmedicalspa.com</t>
  </si>
  <si>
    <t xml:space="preserve">Timeless MedSpa NYC</t>
  </si>
  <si>
    <t xml:space="preserve">791 Park Ave, Ste 1B, New York, NY 10021 (UES)</t>
  </si>
  <si>
    <t xml:space="preserve">https://www.timelessmedspanyc.com (aka timelessbyvantage.com)</t>
  </si>
  <si>
    <t xml:space="preserve">Med Spa NYC: Beso Aesthetics</t>
  </si>
  <si>
    <t xml:space="preserve">1049 5th Ave, Ste 1A, New York, NY 10028 (UES)</t>
  </si>
  <si>
    <t xml:space="preserve">https://besoaesthetics.com</t>
  </si>
  <si>
    <t xml:space="preserve">SKINNEY Medspa</t>
  </si>
  <si>
    <t xml:space="preserve">30 E 60th St Ground Fl, New York, NY 10022 (+chain locations)</t>
  </si>
  <si>
    <t xml:space="preserve">https://skinneymedspa.com (chain: 30 E 60th St, 611 5th Ave, 125 5th Ave)</t>
  </si>
  <si>
    <t xml:space="preserve">Full (procedures + pricing)</t>
  </si>
  <si>
    <t xml:space="preserve">customerservice@skinneymedspa.com</t>
  </si>
  <si>
    <t xml:space="preserve">ZZ Med Spa</t>
  </si>
  <si>
    <t xml:space="preserve">120 E 56th St 2nd Fl, New York, NY 10022 (+chain)</t>
  </si>
  <si>
    <t xml:space="preserve">https://www.zzmedspa.com (chain: 120 E 56th St, 5 W 35th St, 10 E 22nd St, 598 Broadway, +LIC)</t>
  </si>
  <si>
    <t xml:space="preserve">booking@zzmedspa.com</t>
  </si>
  <si>
    <t xml:space="preserve">LM Medical Spa</t>
  </si>
  <si>
    <t xml:space="preserve">22 E 41st St, 4th Fl, New York, NY 10017 (near Grand Central)</t>
  </si>
  <si>
    <t xml:space="preserve">https://www.lmmedspanyc.com</t>
  </si>
  <si>
    <t xml:space="preserve">advanced.medical.gc@gmail.com</t>
  </si>
  <si>
    <t xml:space="preserve">Radiant Beauty &amp; Health Manhattan</t>
  </si>
  <si>
    <t xml:space="preserve">115 E 57th St, Ste 1450, New York, NY 10022 (Plaza District)</t>
  </si>
  <si>
    <t xml:space="preserve">https://radiantbeautyandhealth.com</t>
  </si>
  <si>
    <t xml:space="preserve">info@radiantbeautyandhealth.com</t>
  </si>
  <si>
    <t xml:space="preserve">Glowme Med Spa</t>
  </si>
  <si>
    <t xml:space="preserve">224 W 35th St, Fl 7 Ste 700, New York, NY 10001 (Herald Sq/Koreatown)</t>
  </si>
  <si>
    <t xml:space="preserve">https://www.glowmemedspa.com</t>
  </si>
  <si>
    <t xml:space="preserve">glowmemedspa@gmail.com</t>
  </si>
  <si>
    <t xml:space="preserve">Skin City Lab</t>
  </si>
  <si>
    <t xml:space="preserve">21 W 39th St, Ste 4B, New York, NY 10018 (Midtown/Bryant Park)</t>
  </si>
  <si>
    <t xml:space="preserve">https://skincitylab.com/</t>
  </si>
  <si>
    <t xml:space="preserve">info@skincitylab.com</t>
  </si>
  <si>
    <t xml:space="preserve">Smooth Synergy Medical Spa &amp; Laser Center</t>
  </si>
  <si>
    <t xml:space="preserve">180 E 79th St, 1C, New York, NY 10075 (UES)</t>
  </si>
  <si>
    <t xml:space="preserve">https://smoothsynergy.com/</t>
  </si>
  <si>
    <t xml:space="preserve">VJ MedSpa</t>
  </si>
  <si>
    <t xml:space="preserve">1220 Lexington Ave, Ste 2A, New York, NY 10028 (UES)</t>
  </si>
  <si>
    <t xml:space="preserve">https://vjmednyc.com/</t>
  </si>
  <si>
    <t xml:space="preserve">Modify MedSpa</t>
  </si>
  <si>
    <t xml:space="preserve">274 Madison Ave, Ste 504, New York, NY 10016</t>
  </si>
  <si>
    <t xml:space="preserve">https://modifymedspa.com/</t>
  </si>
  <si>
    <t xml:space="preserve">info@modifymedspa.com</t>
  </si>
  <si>
    <t xml:space="preserve">Joel Beauty</t>
  </si>
  <si>
    <t xml:space="preserve">767 Lexington Ave, Ste 200, New York, NY 10065 (UES)</t>
  </si>
  <si>
    <t xml:space="preserve">https://www.joelbeauty.com/</t>
  </si>
  <si>
    <t xml:space="preserve">Manhattan Laser - Med Aesthetics Clinic | Medspa</t>
  </si>
  <si>
    <t xml:space="preserve">808 Lexington Ave, 2nd Fl, New York, NY 10065 (UES; +Midtown 56 E 34th St, +Brooklyn)</t>
  </si>
  <si>
    <t xml:space="preserve">https://manhattan-laser.com/</t>
  </si>
  <si>
    <t xml:space="preserve">contact@manhattan-laser.com</t>
  </si>
  <si>
    <t xml:space="preserve">Ease Spa Wellness</t>
  </si>
  <si>
    <t xml:space="preserve">133 E 54th St, Ste 203, New York, NY 10022 (Midtown East)</t>
  </si>
  <si>
    <t xml:space="preserve">https://www.easespawellness.com/</t>
  </si>
  <si>
    <t xml:space="preserve">info@EaseMedspa.com</t>
  </si>
  <si>
    <t xml:space="preserve">SoVous</t>
  </si>
  <si>
    <t xml:space="preserve">9 E 68th St, Ste 1C, New York, NY 10065 (UES)</t>
  </si>
  <si>
    <t xml:space="preserve">https://sovous.com/</t>
  </si>
  <si>
    <t xml:space="preserve">VR MedSpa Aesthetic Salon, Manhattan</t>
  </si>
  <si>
    <t xml:space="preserve">242 E 72nd St, Ste 1E, New York, NY 10021 (UES)</t>
  </si>
  <si>
    <t xml:space="preserve">https://vrmed.nyc/</t>
  </si>
  <si>
    <t xml:space="preserve">Vee Medical</t>
  </si>
  <si>
    <t xml:space="preserve">65 W 36th St, 10th fl, New York, NY 10018 (Midtown)</t>
  </si>
  <si>
    <t xml:space="preserve">https://veemedicalnyc.com/ (JS-rendered, no crawlable content)</t>
  </si>
  <si>
    <t xml:space="preserve">First Ave Med Spa</t>
  </si>
  <si>
    <t xml:space="preserve">311 E 38th St, 1st fl, New York, NY 10016 (Murray Hill)</t>
  </si>
  <si>
    <t xml:space="preserve">https://www.firstavemedspa.com/</t>
  </si>
  <si>
    <t xml:space="preserve">care@firstavemedspa.com</t>
  </si>
  <si>
    <t xml:space="preserve">IC Med Spa Manhattan</t>
  </si>
  <si>
    <t xml:space="preserve">14 E 60th St, 9th fl, New York, NY 10022 (+Brooklyn, Staten Island locations)</t>
  </si>
  <si>
    <t xml:space="preserve">https://ic-medspa.com/</t>
  </si>
  <si>
    <t xml:space="preserve">innachornokan.med@gmail.com</t>
  </si>
  <si>
    <t xml:space="preserve">UpLift Spa</t>
  </si>
  <si>
    <t xml:space="preserve">120 E 116th St, New York, NY 10029 (East Harlem)</t>
  </si>
  <si>
    <t xml:space="preserve">https://www.upliftspa.com/</t>
  </si>
  <si>
    <t xml:space="preserve">info@upliftspa.com</t>
  </si>
  <si>
    <t xml:space="preserve">Verve Medical Cosmetics</t>
  </si>
  <si>
    <t xml:space="preserve">240 E 60th St, New York, NY 10022 (UES, private townhouse)</t>
  </si>
  <si>
    <t xml:space="preserve">https://www.vervelaser.com/nyc/</t>
  </si>
  <si>
    <t xml:space="preserve">consultation@vervelaser.com</t>
  </si>
  <si>
    <t xml:space="preserve">Selfie House Of Beauty</t>
  </si>
  <si>
    <t xml:space="preserve">109 W 38th St, Ste 1202, New York, NY 10018 (Garment District)</t>
  </si>
  <si>
    <t xml:space="preserve">https://www.selfiehousenyc.com/</t>
  </si>
  <si>
    <t xml:space="preserve">selfiehousenyc@gmail.com</t>
  </si>
  <si>
    <t xml:space="preserve">Slim Herbal Med Spa</t>
  </si>
  <si>
    <t xml:space="preserve">383 5th Ave, 2nd Fl, New York, NY 10016 (Midtown/NoMad; also Queens, LI, Brooklyn, Toronto, CA Bay Area)</t>
  </si>
  <si>
    <t xml:space="preserve">https://slim-herbal.com/</t>
  </si>
  <si>
    <t xml:space="preserve">Re:forma Medspa and Wellness</t>
  </si>
  <si>
    <t xml:space="preserve">455 Madison Ave, 8th Fl, New York, NY 10022 (Midtown, Lotte Palace)</t>
  </si>
  <si>
    <t xml:space="preserve">https://reformanyc.com/</t>
  </si>
  <si>
    <t xml:space="preserve">hello@reformanyc.com</t>
  </si>
  <si>
    <t xml:space="preserve">Shirin's Concierge Med Spa</t>
  </si>
  <si>
    <t xml:space="preserve">250 E 49th St, New York, NY (Midtown East/Turtle Bay)</t>
  </si>
  <si>
    <t xml:space="preserve">https://shirinsconciergemedspa.com/</t>
  </si>
  <si>
    <t xml:space="preserve">Rachel Med Spa</t>
  </si>
  <si>
    <t xml:space="preserve">206 E 73rd St, New York, NY 10021 (UES)</t>
  </si>
  <si>
    <t xml:space="preserve">https://rachelmedspa.com/</t>
  </si>
  <si>
    <t xml:space="preserve">shinhar2@yahoo.com</t>
  </si>
  <si>
    <t xml:space="preserve">JECT</t>
  </si>
  <si>
    <t xml:space="preserve">1320 3rd Ave, New York, NY 10021 (UES)</t>
  </si>
  <si>
    <t xml:space="preserve">https://ject.us/ (locations: UES 1320 3rd Ave; West Village 11 Christopher St)</t>
  </si>
  <si>
    <t xml:space="preserve">info@jectnyc.com</t>
  </si>
  <si>
    <t xml:space="preserve">Vode Wellness Med Spa</t>
  </si>
  <si>
    <t xml:space="preserve">18 E 41st St, Fl 14, New York, NY 10017 (Midtown/Bryant Park)</t>
  </si>
  <si>
    <t xml:space="preserve">https://www.vodewellness.com/</t>
  </si>
  <si>
    <t xml:space="preserve">info@vodewellness.com</t>
  </si>
  <si>
    <t xml:space="preserve">JLoo Beauty Experts</t>
  </si>
  <si>
    <t xml:space="preserve">505 8th Ave, Ste 23-03, New York, NY 10018 (Garment District)</t>
  </si>
  <si>
    <t xml:space="preserve">https://www.jloobeautyexperts.com/</t>
  </si>
  <si>
    <t xml:space="preserve">info@jloobeautyexperts.com</t>
  </si>
  <si>
    <t xml:space="preserve">Thai Med Spa</t>
  </si>
  <si>
    <t xml:space="preserve">307 W 38th St, Fl 16, New York, NY 10018 (Garment District)</t>
  </si>
  <si>
    <t xml:space="preserve">https://thaimedspa.com/</t>
  </si>
  <si>
    <t xml:space="preserve">DermaStar Skin &amp; Laser</t>
  </si>
  <si>
    <t xml:space="preserve">352 7th Ave, Ste 807, New York, NY 10001 (Chelsea)</t>
  </si>
  <si>
    <t xml:space="preserve">https://dermastarspa.com/</t>
  </si>
  <si>
    <t xml:space="preserve">BeautyFix (Upper East Side + Flatiron)</t>
  </si>
  <si>
    <t xml:space="preserve">201 E 69th St #2c, New York, NY 10021 (+ Flatiron 18 W 23rd St)</t>
  </si>
  <si>
    <t xml:space="preserve">https://www.beautyfixmedspa.com/</t>
  </si>
  <si>
    <t xml:space="preserve">customerservice@beautyfixmedspa.com</t>
  </si>
  <si>
    <t xml:space="preserve">Madison Avenue Face and Body</t>
  </si>
  <si>
    <t xml:space="preserve">30 E 40th St, Ste 1002, New York, NY 10016 (Murray Hill)</t>
  </si>
  <si>
    <t xml:space="preserve">https://www.madisonavenuefaceandbody.com/</t>
  </si>
  <si>
    <t xml:space="preserve">Info@MadisonAvenueFaceAndBody.com</t>
  </si>
  <si>
    <t xml:space="preserve">Gloday Med Spa</t>
  </si>
  <si>
    <t xml:space="preserve">767 Lexington Ave, Ste 303 (Door 303, 3rd Fl), New York, NY 10065 (Midtown East)</t>
  </si>
  <si>
    <t xml:space="preserve">https://glodaynyc.com/</t>
  </si>
  <si>
    <t xml:space="preserve">admin@glodaynyc.com</t>
  </si>
  <si>
    <t xml:space="preserve">Spa Catalina NYC</t>
  </si>
  <si>
    <t xml:space="preserve">767 Lexington Ave, Ste 303, New York, NY 10065 (shares building w/Gloday)</t>
  </si>
  <si>
    <t xml:space="preserve">https://www.spacatalinaonline.com/</t>
  </si>
  <si>
    <t xml:space="preserve">Inside Beauty Spa</t>
  </si>
  <si>
    <t xml:space="preserve">799 Park Ave, New York, NY 10021 (UES; led by Dr. Ramtin Kassir)</t>
  </si>
  <si>
    <t xml:space="preserve">https://www.insidebeautyspa.com/</t>
  </si>
  <si>
    <t xml:space="preserve">Alinea Medical Spa</t>
  </si>
  <si>
    <t xml:space="preserve">590 5th Ave, Fl 17, New York, NY 10036 (Midtown/Bryant Park; also Great Neck LI)</t>
  </si>
  <si>
    <t xml:space="preserve">https://www.alineamedicalspa.com/</t>
  </si>
  <si>
    <t xml:space="preserve">Medmom Beauty Studio</t>
  </si>
  <si>
    <t xml:space="preserve">501 5th Ave, Fl 9 Ste 911, New York, NY 10017 (Midtown; hand-performed only, no devices)</t>
  </si>
  <si>
    <t xml:space="preserve">https://medmombeauty.com/</t>
  </si>
  <si>
    <t xml:space="preserve">Le Clinique NYC Laser Hair Removal</t>
  </si>
  <si>
    <t xml:space="preserve">116 Central Park South, Fl 2 Ste 3, New York, NY 10019</t>
  </si>
  <si>
    <t xml:space="preserve">https://lecliniquenyc.com/</t>
  </si>
  <si>
    <t xml:space="preserve">La Bella Laser Aesthetics</t>
  </si>
  <si>
    <t xml:space="preserve">33 Park Ave, New York, NY 10016 (Murray Hill)</t>
  </si>
  <si>
    <t xml:space="preserve">https://www.labellabeautynyc.com/</t>
  </si>
  <si>
    <t xml:space="preserve">labellabeautyllc@gmail.com</t>
  </si>
  <si>
    <t xml:space="preserve">House of Ness: Ness Medical</t>
  </si>
  <si>
    <t xml:space="preserve">162 E 78th St, Fl 4, New York, NY 10075 (UES; also Staten Island, Paramus NJ)</t>
  </si>
  <si>
    <t xml:space="preserve">https://www.houseofness.com/</t>
  </si>
  <si>
    <t xml:space="preserve">info@houseofness.com</t>
  </si>
  <si>
    <t xml:space="preserve">Reset Cosmetic Manhattan</t>
  </si>
  <si>
    <t xml:space="preserve">274 Madison Ave, Ste 1004, New York, NY 10016</t>
  </si>
  <si>
    <t xml:space="preserve">https://www.resetmedclinic.com/med-spa-manhattan/</t>
  </si>
  <si>
    <t xml:space="preserve">Park Avenue Plastic Surgery Med Spa</t>
  </si>
  <si>
    <t xml:space="preserve">950 Park Ave, New York, NY 10028 (UES)</t>
  </si>
  <si>
    <t xml:space="preserve">https://www.parkavenueplasticsurgery.com/medspa/</t>
  </si>
  <si>
    <t xml:space="preserve">Precision Aesthetics MD</t>
  </si>
  <si>
    <t xml:space="preserve">10 W 74th St, Ste 1A, New York, NY 10023 (UWS; +800B 5th Ave Ste 2)</t>
  </si>
  <si>
    <t xml:space="preserve">https://precisionaestheticsmd.com/nyc-treatments/</t>
  </si>
  <si>
    <t xml:space="preserve">Aphrodite Medical PLLC</t>
  </si>
  <si>
    <t xml:space="preserve">117 E 77th St #1A, New York, NY 10075 (per Maps) / 791 Park Ave Ste 1-B (per site)</t>
  </si>
  <si>
    <t xml:space="preserve">https://www.aphroditemedical.org/ (address discrepancy: Google Maps shows 117 E 77th St #1A; site footer shows 791 Park Ave Ste 1-B — flag for verification)</t>
  </si>
  <si>
    <t xml:space="preserve">appointments@aphroditemedical.org</t>
  </si>
  <si>
    <t xml:space="preserve">Red Carpet Aesthetics</t>
  </si>
  <si>
    <t xml:space="preserve">30 E 60th St, Ste 2502, New York, NY 10022 (Midtown/Lenox Hill; relocated here Mar 2025)</t>
  </si>
  <si>
    <t xml:space="preserve">https://redcarpetaesthetics.com/ (site inaccessible/JS-rendered; unverified via search snippets only)</t>
  </si>
  <si>
    <t xml:space="preserve">Face Of Beauty</t>
  </si>
  <si>
    <t xml:space="preserve">144 E 74th St, Fl 2, New York, NY 10021 (Lenox Hill)</t>
  </si>
  <si>
    <t xml:space="preserve">https://www.faceofbeautymd.com/ (site inaccessible/JS-rendered; unverified via search snippets only)</t>
  </si>
  <si>
    <t xml:space="preserve">Natura Med Spa - Upper East Side</t>
  </si>
  <si>
    <t xml:space="preserve">166 E 63rd St, New York, NY 10065 (UES)</t>
  </si>
  <si>
    <t xml:space="preserve">https://naturaspanyc.com/med-spa-east-side/</t>
  </si>
  <si>
    <t xml:space="preserve">IN•GLO Face and Body Sculpting</t>
  </si>
  <si>
    <t xml:space="preserve">115 W 27th St #1001, New York, NY 10001 (Chelsea/Flatiron)</t>
  </si>
  <si>
    <t xml:space="preserve">https://inglomedspa.com/</t>
  </si>
  <si>
    <t xml:space="preserve">not published (Cloudflare-obfuscated)</t>
  </si>
  <si>
    <t xml:space="preserve">Altman Aesthetic Center Med Spa - Manhattan</t>
  </si>
  <si>
    <t xml:space="preserve">853 5th Ave, New York, NY 10065 (UES; primarily surgical practice, Dr. Gil Altman)</t>
  </si>
  <si>
    <t xml:space="preserve">https://altmanaestheticscenter.com/manhattan/</t>
  </si>
  <si>
    <t xml:space="preserve">manhattan@altmanspa.com</t>
  </si>
  <si>
    <t xml:space="preserve">Esthetic Lab NYC</t>
  </si>
  <si>
    <t xml:space="preserve">120 E 56th St, Fl 5 Ste 540, New York, NY 10022 (Midtown East)</t>
  </si>
  <si>
    <t xml:space="preserve">https://www.estheticlab.nyc/</t>
  </si>
  <si>
    <t xml:space="preserve">Contact@estheticlab.nyc</t>
  </si>
  <si>
    <t xml:space="preserve">BodyFactory Skin Care</t>
  </si>
  <si>
    <t xml:space="preserve">726 9th Ave, New York, NY 10019 (Hell's Kitchen; +UES 1570 1st Ave, +West Village 472 6th Ave)</t>
  </si>
  <si>
    <t xml:space="preserve">https://www.bodyfactoryskincare.com/</t>
  </si>
  <si>
    <t xml:space="preserve">hello@bodyfactoryskincare.com</t>
  </si>
  <si>
    <t xml:space="preserve">New Glam Tech Med Spa</t>
  </si>
  <si>
    <t xml:space="preserve">171 Madison Ave, Ste 1001, New York, NY 10016 (Murray Hill/NoMad)</t>
  </si>
  <si>
    <t xml:space="preserve">https://www.glamtechmedspa.com/</t>
  </si>
  <si>
    <t xml:space="preserve">Info@glamtechmedspa.com</t>
  </si>
  <si>
    <t xml:space="preserve">Rejuvenation MD NYC</t>
  </si>
  <si>
    <t xml:space="preserve">333 W 52nd St, Ste 808, New York, NY 10019 (Hell's Kitchen)</t>
  </si>
  <si>
    <t xml:space="preserve">https://rejuvenationnyc.com/</t>
  </si>
  <si>
    <t xml:space="preserve">TimeLyss Med Spa</t>
  </si>
  <si>
    <t xml:space="preserve">251 Central Park W, Ste 1C, New York, NY 10024 (UWS)</t>
  </si>
  <si>
    <t xml:space="preserve">https://timelyssmedspa.com/</t>
  </si>
  <si>
    <t xml:space="preserve">Dr V's NYC (Botox/Juvederm/Morpheus8)</t>
  </si>
  <si>
    <t xml:space="preserve">555 Madison Ave Ste 500, New York, NY 10022 (satellite of Forest Hills Queens flagship)</t>
  </si>
  <si>
    <t xml:space="preserve">mymdspa.com</t>
  </si>
  <si>
    <t xml:space="preserve">INFO@MYMDSPA.COM</t>
  </si>
  <si>
    <t xml:space="preserve">HealifyNow Med Spa</t>
  </si>
  <si>
    <t xml:space="preserve">309 E 55th St, New York, NY 10022 (billing address)</t>
  </si>
  <si>
    <t xml:space="preserve">healifynow.com</t>
  </si>
  <si>
    <t xml:space="preserve">team@healifynow.com</t>
  </si>
  <si>
    <t xml:space="preserve">Skinfinity Med Spa</t>
  </si>
  <si>
    <t xml:space="preserve">238 E 58th St Unit A, New York, NY 10022</t>
  </si>
  <si>
    <t xml:space="preserve">skinfispa.com</t>
  </si>
  <si>
    <t xml:space="preserve">contact@skinfispa.com</t>
  </si>
  <si>
    <t xml:space="preserve">Central Park Beauty</t>
  </si>
  <si>
    <t xml:space="preserve">200 W 57th St Ste 1403, New York, NY 10019</t>
  </si>
  <si>
    <t xml:space="preserve">centralparkbeauty.com</t>
  </si>
  <si>
    <t xml:space="preserve">Beauté Aesthetics</t>
  </si>
  <si>
    <t xml:space="preserve">818 Madison Ave 3rd Fl, New York, NY 10065 (UES)</t>
  </si>
  <si>
    <t xml:space="preserve">beautenyc.com</t>
  </si>
  <si>
    <t xml:space="preserve">Diamond Advanced Aesthetics</t>
  </si>
  <si>
    <t xml:space="preserve">161 Madison Ave #2W, New York, NY 10016</t>
  </si>
  <si>
    <t xml:space="preserve">diamondadvancedaesthetics.com</t>
  </si>
  <si>
    <t xml:space="preserve">info@diamondadvancedaesthetics.com</t>
  </si>
  <si>
    <t xml:space="preserve">Nush Skincare</t>
  </si>
  <si>
    <t xml:space="preserve">500 E 77th St (Pavillion Building), New York, NY 10162 (UES)</t>
  </si>
  <si>
    <t xml:space="preserve">nushskincare.com</t>
  </si>
  <si>
    <t xml:space="preserve">help@nushskincare.com</t>
  </si>
  <si>
    <t xml:space="preserve">AVAMedicaSpa - EMSCULPT Expert Center</t>
  </si>
  <si>
    <t xml:space="preserve">30 E 60th St Ste 1100, New York, NY 10022</t>
  </si>
  <si>
    <t xml:space="preserve">avamedicaspa.com</t>
  </si>
  <si>
    <t xml:space="preserve">Le Salon Day Spa</t>
  </si>
  <si>
    <t xml:space="preserve">145 E 72nd St, New York, NY 10021 (UES)</t>
  </si>
  <si>
    <t xml:space="preserve">lesalondayspa.com</t>
  </si>
  <si>
    <t xml:space="preserve">LeSalonDaySpaNY@gmail.com</t>
  </si>
  <si>
    <t xml:space="preserve">The Laser Lab</t>
  </si>
  <si>
    <t xml:space="preserve">274 Madison Ave #704, New York, NY 10016</t>
  </si>
  <si>
    <t xml:space="preserve">thelaserlabny.com</t>
  </si>
  <si>
    <t xml:space="preserve">Juvly Aesthetics</t>
  </si>
  <si>
    <t xml:space="preserve">15 W 39th St, Fl 4, New York, NY 10018</t>
  </si>
  <si>
    <t xml:space="preserve">juvly.com</t>
  </si>
  <si>
    <t xml:space="preserve">info@juvly.com</t>
  </si>
  <si>
    <t xml:space="preserve">Aesthetically Pleasing Med Spa NYC (Inside Murray Hill Optical)</t>
  </si>
  <si>
    <t xml:space="preserve">500 3rd Ave, New York, NY (Murray Hill; no injectables offered)</t>
  </si>
  <si>
    <t xml:space="preserve">apmedspanyc.com</t>
  </si>
  <si>
    <t xml:space="preserve">info@apmedspanyc.com</t>
  </si>
  <si>
    <t xml:space="preserve">Alea Aesthetics Medical Spa</t>
  </si>
  <si>
    <t xml:space="preserve">311 E 38th St Unit C1, New York, NY 10016 (Murray Hill)</t>
  </si>
  <si>
    <t xml:space="preserve">aleamedspa.com</t>
  </si>
  <si>
    <t xml:space="preserve">services@aleamedspa.com</t>
  </si>
  <si>
    <t xml:space="preserve">Anso Med Spa by Ann+Sofia</t>
  </si>
  <si>
    <t xml:space="preserve">315 5th Ave Ste 1004, New York, NY 10016 (Koreatown/Midtown)</t>
  </si>
  <si>
    <t xml:space="preserve">annsofia.com</t>
  </si>
  <si>
    <t xml:space="preserve">Sofia@annsofia.com</t>
  </si>
  <si>
    <t xml:space="preserve">Upper West Spa</t>
  </si>
  <si>
    <t xml:space="preserve">189a Amsterdam Ave, New York, NY 10023 (UWS; visiting plastic surgeon Dr. Tae Ho Kim for injectables)</t>
  </si>
  <si>
    <t xml:space="preserve">upperwestspa.com</t>
  </si>
  <si>
    <t xml:space="preserve">info@upperwestspa.com</t>
  </si>
  <si>
    <t xml:space="preserve">JustMelt MedSpa</t>
  </si>
  <si>
    <t xml:space="preserve">30 E 39th St, Ste 1, New York, NY 10016 (Murray Hill)</t>
  </si>
  <si>
    <t xml:space="preserve">justmelt.com</t>
  </si>
  <si>
    <t xml:space="preserve">Ulthera Plus</t>
  </si>
  <si>
    <t xml:space="preserve">30 E 60th St Ste 1400F, New York, NY 10022 (+77 Irving Pl)</t>
  </si>
  <si>
    <t xml:space="preserve">ultheraplus.com</t>
  </si>
  <si>
    <t xml:space="preserve">Sobel Skin</t>
  </si>
  <si>
    <t xml:space="preserve">960A Park Ave, New York, NY 10028 (UES; dermatology+medspa)</t>
  </si>
  <si>
    <t xml:space="preserve">sobelskin.com</t>
  </si>
  <si>
    <t xml:space="preserve">Partial (via email reply): Botox $500/area, Fillers $1,100/syringe, Lipo consult $500 (deducted toward surgery quote fee)</t>
  </si>
  <si>
    <t xml:space="preserve">nurses@sobelskin.com</t>
  </si>
  <si>
    <t xml:space="preserve">Ever/Body (Flatiron + Greenwich Village)</t>
  </si>
  <si>
    <t xml:space="preserve">16 W 17th St (Flatiron) / 69 University Pl (Greenwich Village), New York, NY</t>
  </si>
  <si>
    <t xml:space="preserve">everbody.com</t>
  </si>
  <si>
    <t xml:space="preserve">Aesthetics21 Medspa and Wellness Clinic</t>
  </si>
  <si>
    <t xml:space="preserve">65 Broadway Ste 1004, New York, NY 10006 (FiDi)</t>
  </si>
  <si>
    <t xml:space="preserve">aesthetics21.com</t>
  </si>
  <si>
    <t xml:space="preserve">info@aesthetics21.com</t>
  </si>
  <si>
    <t xml:space="preserve">Renuev Med Spa</t>
  </si>
  <si>
    <t xml:space="preserve">161 Water St, WSA Bldg, 23rd Fl Ste 2302, New York, NY 10038 (FiDi)</t>
  </si>
  <si>
    <t xml:space="preserve">renuevmedspa.com</t>
  </si>
  <si>
    <t xml:space="preserve">info@renuevmedspa.com</t>
  </si>
  <si>
    <t xml:space="preserve">Rejuv Health Spa</t>
  </si>
  <si>
    <t xml:space="preserve">245 5th Ave, Fl 3, New York, NY 10016 (NoMad)</t>
  </si>
  <si>
    <t xml:space="preserve">rejuvhealthspa.org</t>
  </si>
  <si>
    <t xml:space="preserve">info@rejuvhealthspa.org</t>
  </si>
  <si>
    <t xml:space="preserve">Skin Center New York</t>
  </si>
  <si>
    <t xml:space="preserve">37 W 26th St Ste 400, New York, NY 10010 (NoMad/Chelsea; +Brooklyn)</t>
  </si>
  <si>
    <t xml:space="preserve">skincenter.nyc</t>
  </si>
  <si>
    <t xml:space="preserve">Velour Medical</t>
  </si>
  <si>
    <t xml:space="preserve">1239 Broadway, Fl 13 (clinical)/Ste 1102 (corp), New York, NY 10001 (NoMad/Flatiron)</t>
  </si>
  <si>
    <t xml:space="preserve">velourmd.com</t>
  </si>
  <si>
    <t xml:space="preserve">Minimale Skin</t>
  </si>
  <si>
    <t xml:space="preserve">131 Thompson St, New York, NY 10012 (SoHo)</t>
  </si>
  <si>
    <t xml:space="preserve">minimaleskin.com</t>
  </si>
  <si>
    <t xml:space="preserve">info@minimaleskin.com</t>
  </si>
  <si>
    <t xml:space="preserve">Full (published on booking site — replied to outreach 8/14/26 with link to live Square booking site listing 60+ services with prices)</t>
  </si>
  <si>
    <t xml:space="preserve">Baked Bar Medspa (Baked Bar: The Holistic Medspa)</t>
  </si>
  <si>
    <t xml:space="preserve">245 5th Ave Ste 308, New York, NY 10016 (NoMad; secondary-source data, site JS-blocked)</t>
  </si>
  <si>
    <t xml:space="preserve">bakedbarmedspa.com</t>
  </si>
  <si>
    <t xml:space="preserve">Made Medical</t>
  </si>
  <si>
    <t xml:space="preserve">56 E 34th St, 2nd Fl, New York, NY 10016 (Murray Hill) — confirmed via CareCredit directory only</t>
  </si>
  <si>
    <t xml:space="preserve">NO</t>
  </si>
  <si>
    <t xml:space="preserve">NYC Rejuvenation Clinic</t>
  </si>
  <si>
    <t xml:space="preserve">77 Irving Pl, 2nd Fl Ste 2A, New York, NY 10003 (Gramercy; +30 E 60th St by appt)</t>
  </si>
  <si>
    <t xml:space="preserve">rejuvenationny.com</t>
  </si>
  <si>
    <t xml:space="preserve">info@rejuvenationny.com</t>
  </si>
  <si>
    <t xml:space="preserve">Aesthete Medspa</t>
  </si>
  <si>
    <t xml:space="preserve">132 E 22nd St Ste P1, New York, NY 10010 (Gramercy)</t>
  </si>
  <si>
    <t xml:space="preserve">aesthetemedspa.org</t>
  </si>
  <si>
    <t xml:space="preserve">Sisu Clinic (Flatiron + Soho)</t>
  </si>
  <si>
    <t xml:space="preserve">61 W 23rd St Ste A, New York, NY 10010 (+311 W Broadway Soho)</t>
  </si>
  <si>
    <t xml:space="preserve">sisuclinic.com</t>
  </si>
  <si>
    <t xml:space="preserve">Med Spa NYC: FORMA (James P. Bradley MD)</t>
  </si>
  <si>
    <t xml:space="preserve">27 E 22nd St, New York, NY 10010 (Flatiron/NoMad)</t>
  </si>
  <si>
    <t xml:space="preserve">jamespbradleymd.com/medspa-new-york/</t>
  </si>
  <si>
    <t xml:space="preserve">Studio Esthetique Skin &amp; Laser Center NYC</t>
  </si>
  <si>
    <t xml:space="preserve">160 Broadway Ste 1104, New York, NY 10038 (FiDi)</t>
  </si>
  <si>
    <t xml:space="preserve">studioesthetique.com</t>
  </si>
  <si>
    <t xml:space="preserve">Glo Spa (Glo Spa NY)</t>
  </si>
  <si>
    <t xml:space="preserve">225 Broadway Ste 1815, New York, NY 10007 (FiDi)</t>
  </si>
  <si>
    <t xml:space="preserve">glospany.com</t>
  </si>
  <si>
    <t xml:space="preserve">admin@glospany.com</t>
  </si>
  <si>
    <t xml:space="preserve">Petals Laser Lounge</t>
  </si>
  <si>
    <t xml:space="preserve">62 William St, Fl 6, New York, NY 10005 (FiDi) — FULL PRICE LIST PUBLISHED (no durations, "starting at" prices, +20% suggested gratuity)</t>
  </si>
  <si>
    <t xml:space="preserve">petalslaserlounge.com</t>
  </si>
  <si>
    <t xml:space="preserve">appts@petalslaserlounge.com</t>
  </si>
  <si>
    <t xml:space="preserve">Skin Solutions Collective (formerly Tribeca Skin Solutions - Laura &amp; Diana Palmisano, PA-C)</t>
  </si>
  <si>
    <t xml:space="preserve">116 Chambers St, Fl 3&amp;4, New York, NY 10007 (Tribeca)</t>
  </si>
  <si>
    <t xml:space="preserve">skinsolutions.co</t>
  </si>
  <si>
    <t xml:space="preserve">hello@skinsolutions.co</t>
  </si>
  <si>
    <t xml:space="preserve">Labelle MedSpa</t>
  </si>
  <si>
    <t xml:space="preserve">37 W 26th St, Ste 321(directories)/408b(Maps), New York, NY 10010 (NoMad/Flatiron)</t>
  </si>
  <si>
    <t xml:space="preserve">WEBSITE</t>
  </si>
  <si>
    <t xml:space="preserve">not published (no working website)</t>
  </si>
  <si>
    <t xml:space="preserve">Luxury MedSpa</t>
  </si>
  <si>
    <t xml:space="preserve">37 W 26th St Ste 408A(site)/400b(Maps), New York, NY 10010 (NoMad/Flatiron)</t>
  </si>
  <si>
    <t xml:space="preserve">luxuryspany.com</t>
  </si>
  <si>
    <t xml:space="preserve">MedSpa Clubs - Manhattan (HealthKey MedSpa Clubs)</t>
  </si>
  <si>
    <t xml:space="preserve">139 Centre St Ste 202, New York, NY 10013 (Chinatown/Little Italy)</t>
  </si>
  <si>
    <t xml:space="preserve">medspa.healthkeygroup.com</t>
  </si>
  <si>
    <t xml:space="preserve">service@medspaclubs.com</t>
  </si>
  <si>
    <t xml:space="preserve">Skin Shine Med Spa</t>
  </si>
  <si>
    <t xml:space="preserve">112 E 23rd St #4B, New York, NY 10010 (Gramercy/Flatiron; site contact shows NJ address, serves "NJ and NYC")</t>
  </si>
  <si>
    <t xml:space="preserve">skinshinemedspa.com</t>
  </si>
  <si>
    <t xml:space="preserve">info@skinshiemedspa.com</t>
  </si>
  <si>
    <t xml:space="preserve">Premier Med Spa</t>
  </si>
  <si>
    <t xml:space="preserve">37 W 26th St Ste 313, New York, NY 10010 (NoMad/Flatiron)</t>
  </si>
  <si>
    <t xml:space="preserve">premiermedspa.nyc</t>
  </si>
  <si>
    <t xml:space="preserve">Zen Med Spa Aesthetics &amp; Regenerative Medicine</t>
  </si>
  <si>
    <t xml:space="preserve">160 3rd Ave Ste 1, New York, NY 10003 (Gramercy/East Village; Dr. Ahmadur Rahman MD)</t>
  </si>
  <si>
    <t xml:space="preserve">zenmedspanyc.com</t>
  </si>
  <si>
    <t xml:space="preserve">Info@ZenMedSpaNYC.com</t>
  </si>
  <si>
    <t xml:space="preserve">Vanessa Marc Spa</t>
  </si>
  <si>
    <t xml:space="preserve">225 Broadway Ste 1815(Maps/Fresha) vs 31 W 26th St Fl 6(site contact/Yelp/ClassPass) — address discrepancy unresolved, likely relocated</t>
  </si>
  <si>
    <t xml:space="preserve">vanessamarc.com</t>
  </si>
  <si>
    <t xml:space="preserve">info@vanessamarc.com</t>
  </si>
  <si>
    <t xml:space="preserve">Modern Line Med Spa</t>
  </si>
  <si>
    <t xml:space="preserve">100 Orchard St, New York, NY 10002 (LES) — only third-party directory listing exists, no service menu, phone is atypical toll-free number, unverified.</t>
  </si>
  <si>
    <t xml:space="preserve">Yunara Life</t>
  </si>
  <si>
    <t xml:space="preserve">115 E 23rd St, Fl 10, New York, NY (Gramercy; ~6,000sqft flagship, AI-driven longevity/medspa hybrid, founded by NP Erika Chen)</t>
  </si>
  <si>
    <t xml:space="preserve">yunara.life</t>
  </si>
  <si>
    <t xml:space="preserve">GOODSKIN New York</t>
  </si>
  <si>
    <t xml:space="preserve">14 E 4th St Ste 406, New York, NY 10012 (NoHo; Dr. Mary Dyer MD)</t>
  </si>
  <si>
    <t xml:space="preserve">goodskinclinics.com</t>
  </si>
  <si>
    <t xml:space="preserve">Dr. Syra Aesthetics &amp; Longevity Institute</t>
  </si>
  <si>
    <t xml:space="preserve">492 6th Ave, New York, NY 10011 (Greenwich Village; Dr. Syra Hanif MD)</t>
  </si>
  <si>
    <t xml:space="preserve">syraaesthetics.com</t>
  </si>
  <si>
    <t xml:space="preserve">contact@syraaesthetics.com</t>
  </si>
  <si>
    <t xml:space="preserve">Project Glammers</t>
  </si>
  <si>
    <t xml:space="preserve">44 Gramercy Park N Ste 1B, New York, NY 10010 (Gramercy; Dr. Irene Gladstein MD, oculoplastic surgeon)</t>
  </si>
  <si>
    <t xml:space="preserve">irenegladsteinmd.com/gramercy-park-nyc</t>
  </si>
  <si>
    <t xml:space="preserve">Center Aesthetic &amp; Dermatology</t>
  </si>
  <si>
    <t xml:space="preserve">37 Union Square W, Fl 4, New York, NY 10003 (Union Square; Dr. Cheryl Karcher MD + NP Lynn Wojton)</t>
  </si>
  <si>
    <t xml:space="preserve">centeraesthetic.com</t>
  </si>
  <si>
    <t xml:space="preserve">lynn@centeraesthetic.com</t>
  </si>
  <si>
    <t xml:space="preserve">Persona MedSpa</t>
  </si>
  <si>
    <t xml:space="preserve">37 W 26th St Ste 408D(site)/313(Maps), New York, NY 10010 (Flatiron/NoMad, suite discrepancy)</t>
  </si>
  <si>
    <t xml:space="preserve">personamedspa.nyc</t>
  </si>
  <si>
    <t xml:space="preserve">riko - laser &amp; medical aesthetics</t>
  </si>
  <si>
    <t xml:space="preserve">1441 Broadway, Fl 24, New York, NY 10018 (Midtown/Garment District — NOTE: actually Midtown, not Harlem as initially assumed from search context; opening Aug 25, 2026)</t>
  </si>
  <si>
    <t xml:space="preserve">rikomed.com</t>
  </si>
  <si>
    <t xml:space="preserve">LushBeauty MedSpa</t>
  </si>
  <si>
    <t xml:space="preserve">2046 Adam Clayton Powell Jr Blvd, New York, NY 10027 (Harlem) — FULL PRICE LIST PUBLISHED</t>
  </si>
  <si>
    <t xml:space="preserve">lushbeautymedspa.com</t>
  </si>
  <si>
    <t xml:space="preserve">lushbeautymedspa@gmail.com</t>
  </si>
  <si>
    <t xml:space="preserve">D'BODY MED SPA, INC.</t>
  </si>
  <si>
    <t xml:space="preserve">251 W 135th St, New York, NY 10030 (Harlem; via Fresha only)</t>
  </si>
  <si>
    <t xml:space="preserve">not published (no confirmed website)</t>
  </si>
  <si>
    <t xml:space="preserve">Sela Health</t>
  </si>
  <si>
    <t xml:space="preserve">2116 Frederick Douglass Blvd, Store 3, New York, NY 10026 (Harlem; women's health club blending medical care+aesthetics)</t>
  </si>
  <si>
    <t xml:space="preserve">yoursela.com</t>
  </si>
  <si>
    <t xml:space="preserve">Mia Skin Bar</t>
  </si>
  <si>
    <t xml:space="preserve">189 Malcolm X Blvd, New York, NY 10026 (Harlem)</t>
  </si>
  <si>
    <t xml:space="preserve">miaskinbar.com</t>
  </si>
  <si>
    <t xml:space="preserve">miaskinbar@gmail.com</t>
  </si>
  <si>
    <t xml:space="preserve">Body Sculpt Studios</t>
  </si>
  <si>
    <t xml:space="preserve">2130 Adam Clayton Powell Jr Blvd Ste 111, New York, NY 10027 (Harlem)</t>
  </si>
  <si>
    <t xml:space="preserve">laserlipony.com</t>
  </si>
  <si>
    <t xml:space="preserve">fatloss@BodySculptStudios.com</t>
  </si>
  <si>
    <t xml:space="preserve">Harlem Zen</t>
  </si>
  <si>
    <t xml:space="preserve">1850 Amsterdam Ave, LL.E, New York, NY 10031 (Washington Heights/Hamilton Heights)</t>
  </si>
  <si>
    <t xml:space="preserve">harlemzen.com</t>
  </si>
  <si>
    <t xml:space="preserve">info@harlemzen.com</t>
  </si>
  <si>
    <t xml:space="preserve">Flawless Skin Med Spa</t>
  </si>
  <si>
    <t xml:space="preserve">607 W 168th St, New York, NY 10032 (Washington Heights; by appointment only)</t>
  </si>
  <si>
    <t xml:space="preserve">flawlessskinmedspa.com</t>
  </si>
  <si>
    <t xml:space="preserve">info@flawlessskinmedspa.com</t>
  </si>
  <si>
    <t xml:space="preserve">Glamoi Med Spa (Chelsea)</t>
  </si>
  <si>
    <t xml:space="preserve">Manhattan</t>
  </si>
  <si>
    <t xml:space="preserve">727 6th Ave, NY 10010</t>
  </si>
  <si>
    <t xml:space="preserve">https://glamoi.com</t>
  </si>
  <si>
    <t xml:space="preserve">None published (per email outreach)</t>
  </si>
  <si>
    <t xml:space="preserve">Expanded Directory v3 cross-check (8/14/26)</t>
  </si>
  <si>
    <t xml:space="preserve">info@glamoi.com</t>
  </si>
  <si>
    <t xml:space="preserve">LaserAway (Meatpacking / Williamsburg / Brooklyn Heights)</t>
  </si>
  <si>
    <t xml:space="preserve">Manhattan: 33 9th Ave 10014 | Williamsburg: 89 N 4th St 11249 | Brooklyn Heights: 118 Court St 11201</t>
  </si>
  <si>
    <t xml:space="preserve">https://laseraway.com</t>
  </si>
  <si>
    <t xml:space="preserve">Full (published on site)</t>
  </si>
  <si>
    <t xml:space="preserve">hello@laseraway.net</t>
  </si>
  <si>
    <t xml:space="preserve">Skin Laundry (Flatiron + Upper East Side)</t>
  </si>
  <si>
    <t xml:space="preserve">Manhattan: 11 W 19th St 10011 (Flatiron) | 1262 3rd Ave 10021 (UES)</t>
  </si>
  <si>
    <t xml:space="preserve">https://skinlaundry.com</t>
  </si>
  <si>
    <t xml:space="preserve">Unknown / unverified (outreach sent)</t>
  </si>
  <si>
    <t xml:space="preserve">info@skinlaundry.com</t>
  </si>
  <si>
    <t xml:space="preserve">Purely Natural Medical Spa</t>
  </si>
  <si>
    <t xml:space="preserve">Williamsburg</t>
  </si>
  <si>
    <t xml:space="preserve">135 N 9th St, 11249</t>
  </si>
  <si>
    <t xml:space="preserve">https://purelynaturalspa.com</t>
  </si>
  <si>
    <t xml:space="preserve">support@purelynaturalspa.com</t>
  </si>
  <si>
    <t xml:space="preserve">modMD - Williamsburg</t>
  </si>
  <si>
    <t xml:space="preserve">251 N 5th St, 11211</t>
  </si>
  <si>
    <t xml:space="preserve">https://modmd.com</t>
  </si>
  <si>
    <t xml:space="preserve">info@modmd.com</t>
  </si>
  <si>
    <t xml:space="preserve">Restore Hyper Wellness (Williamsburg + Downtown Brooklyn)</t>
  </si>
  <si>
    <t xml:space="preserve">Williamsburg: 149 Kent Ave 11249 | Downtown Brooklyn: 225 Flatbush Ave 11217</t>
  </si>
  <si>
    <t xml:space="preserve">https://restore.com</t>
  </si>
  <si>
    <t xml:space="preserve">williamsburgny@restore.com</t>
  </si>
  <si>
    <t xml:space="preserve">Removery Williamsburg</t>
  </si>
  <si>
    <t xml:space="preserve">125 Metropolitan Ave, 11249</t>
  </si>
  <si>
    <t xml:space="preserve">https://removery.com</t>
  </si>
  <si>
    <t xml:space="preserve">care@removery.com</t>
  </si>
  <si>
    <t xml:space="preserve">The Dermatology Specialists (LIC + Cobble Hill)</t>
  </si>
  <si>
    <t xml:space="preserve">LIC</t>
  </si>
  <si>
    <t xml:space="preserve">LIC: 10-41 47th Ave 11101 | Cobble Hill: 278 Court St 11231</t>
  </si>
  <si>
    <t xml:space="preserve">https://thedermspecs.com</t>
  </si>
  <si>
    <t xml:space="preserve">contact@thedermspecs.com</t>
  </si>
  <si>
    <t xml:space="preserve">KHROM MEDSPA &amp; WELLNESS</t>
  </si>
  <si>
    <t xml:space="preserve">Brooklyn Heights</t>
  </si>
  <si>
    <t xml:space="preserve">239 Court St, 11201</t>
  </si>
  <si>
    <t xml:space="preserve">https://khrommedspa.com</t>
  </si>
  <si>
    <t xml:space="preserve">info@khrommedspa.com</t>
  </si>
  <si>
    <t xml:space="preserve">Manhattan Med Spa Procedures Report — Methodology &amp; Notes</t>
  </si>
  <si>
    <t xml:space="preserve">Scope: 45 Med Spa / medical aesthetics businesses located in Manhattan, NYC, compiled via web search</t>
  </si>
  <si>
    <t xml:space="preserve">(general search engines, Yelp, Google Maps-style neighborhood searches, and 'best of' listicles) covering</t>
  </si>
  <si>
    <t xml:space="preserve">Upper East Side, Upper West Side, Midtown, Flatiron/NoMad/Chelsea, Tribeca/SoHo, Financial District,</t>
  </si>
  <si>
    <t xml:space="preserve">Greenwich Village/East Village, Gramercy/Murray Hill, and Harlem.</t>
  </si>
  <si>
    <t xml:space="preserve">Method: For each business, its official website's homepage and services/treatments/pricing pages were</t>
  </si>
  <si>
    <t xml:space="preserve">fetched directly and read. No forms were submitted, no appointments were booked, and no calls/texts/emails</t>
  </si>
  <si>
    <t xml:space="preserve">were sent as part of this research.</t>
  </si>
  <si>
    <t xml:space="preserve">Pricing note: Most Manhattan med spas do not publish full price lists online and instead require a</t>
  </si>
  <si>
    <t xml:space="preserve">consultation to receive pricing (this is standard industry practice, not a research gap). Rows marked</t>
  </si>
  <si>
    <t xml:space="preserve">'Not published (consultation required)' reflect that the business itself does not disclose that figure</t>
  </si>
  <si>
    <t xml:space="preserve">publicly. Where a business does publish prices, they are shown as stated on the site (per unit, per</t>
  </si>
  <si>
    <t xml:space="preserve">syringe, per session, or per package) — actual cost will vary by provider, dosage/volume, and any</t>
  </si>
  <si>
    <t xml:space="preserve">current promotions.</t>
  </si>
  <si>
    <t xml:space="preserve">Duration note: Appointment/procedure duration is even less commonly published than price; most rows are</t>
  </si>
  <si>
    <t xml:space="preserve">marked 'Not published' for this reason. Where a business states a duration (e.g. '30 min', '80 min'),</t>
  </si>
  <si>
    <t xml:space="preserve">it is quoted as shown, but actual time may vary by provider and treatment area.</t>
  </si>
  <si>
    <t xml:space="preserve">One business, Facegym, displays its prices in GBP (£) on its NYC-facing page rather than USD; this is</t>
  </si>
  <si>
    <t xml:space="preserve">flagged in the Price column and should be verified directly with the business if exact USD figures are</t>
  </si>
  <si>
    <t xml:space="preserve">needed.</t>
  </si>
  <si>
    <t xml:space="preserve">Chains with multiple Manhattan locations (e.g., M Beauty Studio &amp; Spa, Skin Spa New York, SkinSpirit,</t>
  </si>
  <si>
    <t xml:space="preserve">Plump Cosmetics &amp; Injectables, UPKEEP Med Spa) are listed once, with services/pricing reflecting the</t>
  </si>
  <si>
    <t xml:space="preserve">brand generally rather than any single location.</t>
  </si>
  <si>
    <t xml:space="preserve">UPDATE (second research pass): A full sweep of Google Maps across Manhattan (Midtown/UES core,</t>
  </si>
  <si>
    <t xml:space="preserve">Downtown/Village/Tribeca/Flatiron, and Harlem/Washington Heights search viewports) was conducted to</t>
  </si>
  <si>
    <t xml:space="preserve">identify every business self-listed as a 'medical spa' on Maps. This surfaced 128 additional candidate</t>
  </si>
  <si>
    <t xml:space="preserve">businesses beyond the original 45. After removing businesses confirmed to be outside Manhattan (New</t>
  </si>
  <si>
    <t xml:space="preserve">Jersey, Brooklyn, Queens, Bronx addresses that Google Maps included at the edges of the search radius)</t>
  </si>
  <si>
    <t xml:space="preserve">and one listing confirmed to be an OB-GYN practice rather than a med spa, 122 net-new Manhattan</t>
  </si>
  <si>
    <t xml:space="preserve">businesses were added, bringing the total to 167 Manhattan med spas covered in this workbook.</t>
  </si>
  <si>
    <t xml:space="preserve">The 122 newly-added clinics appear in the 'New Clinics (Maps sweep)' tab, with procedures and pricing</t>
  </si>
  <si>
    <t xml:space="preserve">consolidated into a single text cell per clinic (rather than one row per procedure, as in the original</t>
  </si>
  <si>
    <t xml:space="preserve">'All Procedures' tab) given the scale of this second pass. The 'Clinics Overview' tab lists all 167</t>
  </si>
  <si>
    <t xml:space="preserve">clinics together with a Data Depth column noting whether full pricing was found, procedures were listed</t>
  </si>
  <si>
    <t xml:space="preserve">without pricing, or no working website could be located at all (a small number of businesses had no</t>
  </si>
  <si>
    <t xml:space="preserve">discoverable website and are listed as directory entries with name/address only, sourced from Google</t>
  </si>
  <si>
    <t xml:space="preserve">Maps/Fresha/CareCredit directory listings).</t>
  </si>
  <si>
    <t xml:space="preserve">Excluded from this workbook after verification: Aspen Prime MedSpa and Luvit Beauty Bar Med-Spa (both</t>
  </si>
  <si>
    <t xml:space="preserve">confirmed to be in Hoboken, NJ, not Manhattan), Lotus Haven Medspa (no Manhattan presence found; only a</t>
  </si>
  <si>
    <t xml:space="preserve">same-named business in Hoboken/Jersey City, NJ), Endless Youth Med Spa (confirmed in Williamsburg,</t>
  </si>
  <si>
    <t xml:space="preserve">Brooklyn), Women's Health &amp; Wellness Med (confirmed to be an OB-GYN practice, not a med spa), and Dr. WW</t>
  </si>
  <si>
    <t xml:space="preserve">MedSpa &amp; Laser Center (the Manhattan address on Google Maps could not be confirmed against the business's</t>
  </si>
  <si>
    <t xml:space="preserve">own current location list, which shows only Chinatown/Queens/Brooklyn offices).</t>
  </si>
  <si>
    <t xml:space="preserve">UPDATE (email research pass): Each of the 167 clinics' own websites was visited (homepage, contact/contact-us,</t>
  </si>
  <si>
    <t xml:space="preserve">and about pages) to locate a published contact or scheduling email address. A Contact / Scheduling Email column</t>
  </si>
  <si>
    <t xml:space="preserve">was added to the All Procedures, Clinics Overview, and New Clinics (Maps sweep) tabs. No contact forms were</t>
  </si>
  <si>
    <t xml:space="preserve">submitted and no appointments were booked as part of this research - only publicly visible email addresses</t>
  </si>
  <si>
    <t xml:space="preserve">(plain text or mailto: links) were captured.</t>
  </si>
  <si>
    <t xml:space="preserve">Result: a usable email was found for 90 of 167 clinics (54%). The rest rely exclusively</t>
  </si>
  <si>
    <t xml:space="preserve">on phone numbers or third-party booking widgets (Zenoti, Boulevard, Symplast, Fresha) with no published email,</t>
  </si>
  <si>
    <t xml:space="preserve">or use Cloudflare email-obfuscation that could not be decoded by an automated fetch (a small number of these</t>
  </si>
  <si>
    <t xml:space="preserve">are flagged individually in the Email column - a live browser visit would reveal the actual address). A few</t>
  </si>
  <si>
    <t xml:space="preserve">businesses have no working website at all and are marked accordingly.</t>
  </si>
  <si>
    <t xml:space="preserve">UPDATE (email outreach + reply analysis): Of the 93 clinics without public pricing, 44 had a usable</t>
  </si>
  <si>
    <t xml:space="preserve">contact email. All 44 were emailed a short, individually-worded request for pricing via Gmail (5 as an</t>
  </si>
  <si>
    <t xml:space="preserve">initial test batch, then the remaining 39), spaced 1-5 minutes apart. As of this update, 9 responses had</t>
  </si>
  <si>
    <t xml:space="preserve">been received: 2 hard bounces (undeliverable), 2 replies asking which treatment before quoting a price,</t>
  </si>
  <si>
    <t xml:space="preserve">and 3 replies with actual pricing information (now added to the relevant rows/cells, marked '(via email</t>
  </si>
  <si>
    <t xml:space="preserve">reply)'). The other 32 emails had not yet received a reply.</t>
  </si>
  <si>
    <t xml:space="preserve">Clinics that replied WITH pricing (added to sheet):</t>
  </si>
  <si>
    <t xml:space="preserve">  - Anna Avaliani MD Cosmetic &amp; Laser Surgery: Botox $12-$16/unit starting; fillers from $599 starting.</t>
  </si>
  <si>
    <t xml:space="preserve">  - Verve Medical Cosmetics: Botox $10/unit for new patients (min. 30 units); filler specials/membership</t>
  </si>
  <si>
    <t xml:space="preserve">    available (call for details).</t>
  </si>
  <si>
    <t xml:space="preserve">  - Mia Skin Bar: first-time client consultation + treatment session starting at $200.</t>
  </si>
  <si>
    <t xml:space="preserve">Clinics that replied but NEED MORE INFO (no price given yet - they asked which treatment):</t>
  </si>
  <si>
    <t xml:space="preserve">  - SobelSkin (Sobel Skin): asked which specific treatment before quoting.</t>
  </si>
  <si>
    <t xml:space="preserve">  - HausMD (reply from Dariya Bakshinska): asked which treatments before quoting.</t>
  </si>
  <si>
    <t xml:space="preserve">Bounced / undeliverable (email address invalid, need an alternate contact method):</t>
  </si>
  <si>
    <t xml:space="preserve">  - Altman Aesthetic Center - Manhattan: manhattan@altmanspa.com bounced.</t>
  </si>
  <si>
    <t xml:space="preserve">  - Skin Shine Med Spa: info@skinshiemedspa.com - domain not found.</t>
  </si>
  <si>
    <t xml:space="preserve">--- Expanded Directory v3 cross-check (8/14/26) ---</t>
  </si>
  <si>
    <t xml:space="preserve">User uploaded NYC_Med_Spa_Clinics_Expanded_Directory_v3.xlsx (51 clinics). Scope expanded per user request to include Williamsburg, Long Island City, and Brooklyn Heights in addition to Manhattan.</t>
  </si>
  <si>
    <t xml:space="preserve">25 genuinely new clinics identified and added to new sheet "New Clinics (Expanded Dir v3)". 4 had pricing already published on their own site (LaserAway, Purely Natural Medical Spa, modMD, Removery) - no outreach needed. 21 had no confirmed published pricing - outreach emails sent.</t>
  </si>
  <si>
    <t xml:space="preserve">EXCLUDED from list (flagged issues, not added): (1) Lola Aesthetics &amp; Medi Spa - lolaaesthetics.com resolves to an unrelated UK business, not the Williamsburg clinic; (2) Glow Aesthetic Studio - glowaestheticstudio.com resolves to an unrelated Springfield, MO business; (3) Brooklyn Heights Medical Aesthetics - bhmedicalaesthetics.com resolves to an unrelated Singapore business; (4) LL Blossoms Cosmetic Clinic - website is an inactive "Coming Soon" placeholder, business status unclear; (5) Bespoke Surgical &amp; Aesthetics - primarily a proctology/anal-surgery practice, not a conventional med spa (aesthetics is a minor secondary offering). Recommend verifying correct URLs/status for #1-4 before adding.</t>
  </si>
  <si>
    <t xml:space="preserve">Other entries in the uploaded directory (ZZ Med Spa x3 locations, Ever/Body x2, Peachy x2, Trifecta x2, Skinney, Dolce, Tribeca, Manhattan Medspa, StudioMD) matched existing tracked clinics/chains by name+domain - no duplicate rows or emails created.</t>
  </si>
  <si>
    <t xml:space="preserve">--- Removed dead-website clinics (8/14/26) ---</t>
  </si>
  <si>
    <t xml:space="preserve">15 of the 25 clinics added from the Expanded Directory v3 cross-check were removed after live website verification showed their sites were down, expired (Squarespace/Wix), or parked (GoDaddy) - meaning the business may be closed or the listing was inaccurate. Pricing-request emails had already been sent to these addresses before verification; they were left as sent (no retraction possible) but the clinics are no longer tracked as active listings. Removed: Plump Cosmetic Clinic (SoHo), Spring Street Med Spa, Javani Laser &amp; Beauty, Youthful Aesthetics Medspa, N4 Esthetic Clinic, Aura Medical Aesthetics, Skin Philosophy LIC, Estediva Aesthetics, Skybaby Medspa, Ideal Image Queens (LIC), Astoria-LIC Laser &amp; Skin Care, Bloom Aesthetic Practice, Recoverie Wellness Club, Lumena Aesthetics, Cobble Hill Dermatology &amp; Aesthetics.</t>
  </si>
  <si>
    <t xml:space="preserve">Remaining 10 clinics with confirmed working websites: Glamoi Med Spa, LaserAway, Skin Laundry, Purely Natural Medical Spa, modMD, Restore Hyper Wellness, Removery Williamsburg, The Dermatology Specialists, Lov MedSpa Brooklyn, KHROM Medspa &amp; Wellness.</t>
  </si>
  <si>
    <t xml:space="preserve">--- Duplicate merge (8/14/26) ---</t>
  </si>
  <si>
    <t xml:space="preserve">User asked whether the 177-clinic count double-counted chain locations. A domain-based audit found one missed duplicate: "LovMedSpa" (Chelsea, already tracked) and "Lov MedSpa Brooklyn" (added from Expanded Directory v3) are the same business on lovmedspa.com. Merged into a single row "LovMedSpa (Chelsea + Brooklyn Heights)" listing both addresses. Total clinic count is now 176. All other multi-location chains (LaserAway, Ever/Body, Trifecta, ZZ Med Spa, Restore Hyper Wellness, The Dermatology Specialists, etc. - ~30 total) were already correctly consolidated into single rows.</t>
  </si>
  <si>
    <t xml:space="preserve">(8/14/26) Eureka Body Care and Spa replied to outreach with a link to their live Square booking site (eureka-body-care-inc.square.site), which publicly lists 60+ services with full pricing (Botox $199, Dysport $220, fillers $299-$850, HydraFacial $139+, laser hair removal, EMSculpt Neo, chemical peels, etc.). Clinics Overview row updated from 'Procedures listed, no public pricing' to 'Full'. 12 representative procedures with prices added to All Procedures sheet (#1151-1162). Total procedure line items now 1162; clinics with published pricing now 83 of 176 (47%).</t>
  </si>
  <si>
    <t xml:space="preserve">Neighborhood / Address</t>
  </si>
  <si>
    <t xml:space="preserve">Procedures &amp; Pricing (consolidated)</t>
  </si>
  <si>
    <t xml:space="preserve">Botox, Sculptra, Dermal fillers, SmartLipo, CoolSculpting, Emsculpt, Laser hair removal, Laser skin tightening, Laser tattoo removal, Hydrafacial, PRP, Chemical peels, Microdermabrasion, Facials, Microneedling, Hair restoration</t>
  </si>
  <si>
    <t xml:space="preserve">HRT, TRT, Medical Weight Loss, IV Therapy, Iron Infusions, Wellness/Biomarker Tests, Hashimoto Management, Longevity programs, Wrinkle Relaxers &amp; Fillers, Microneedling, RF Microneedling, PRP Hair Restoration, PDO Thread Lift, Skin Treatments, Men's Wellness, Intimate Women's Health</t>
  </si>
  <si>
    <t xml:space="preserve">Neuromodulators (Botox/Dysport/Xeomin/Jeuveau incl. hyperhidrosis/masseter), Juvederm filler, Diamond Glow, Chemical Peels/VI Peel, ToxBooster, Custom Face Treatment, Faith Fresh Collagen tx, LED Light Therapy, Back Treatments, Microneedling +PRP, PRP Hair Restoration, AquaGold FineTouch, Kybella, IPL Photofacials, Laser Hair Reduction, Body Sculpting, Acne Scar Tx, Laser Vein Lightening, Laser Tattoo Removal</t>
  </si>
  <si>
    <t xml:space="preserve">Injectables: Xeomin (15-30min), Microbotox (20-30min), Jeuveau (15-30min), Dysport (15-30min), Botox (15-30min), Lip Flip (10-20min), Gummy Smile (10-20min), Botox 20u first-timer (15-30min), Masseter Botox (15-25min), Jaw Line Botox (15-30min), Neck/Platysmal Botox (15-25min), Hyperhidrosis Botox (20-40min), Trapezius Botox (20-40min), Unlimited Full Face membership (30-45min), PRP Face/Scalp (45-75min), PRP Under Eye (30-45min), Lip/Cheek/Chin/Eye/Jawline/Nose Filler (20-45min each), Hyaluronidase (10-20min), Radiesse (30-60min)
Face: Microneedling HA/Rejuvenation (45-75min), IPL spot (20-40min), Fractional Skin Rejuv (30-60min), Face&amp;Neck Rejuv (45-90min), Deep Cleansing Facial (50-75min), Dermaplaning (30-45min), Back Facial (50-75min), Diamond Glow (45-60min), Acne Exosome Facial (60-90min), PRP Facial Microneedling (60-90min), Plasma Injections (30-60min), Morpheus8 RF (45-90min)
Body: Sculptra (30-60min), Kybella (20-40min), Morpheus8 Body (45-120min), Emsculpt Neo (30-45min), Laser Hair Removal S/M/L (10-20/15-30/30-60min)
Hair: ALMA TED PRP (30-45min), Laser Hair Removal (15-60min), PRP Hair Loss (45-60min)
Wellness shots (5-10min): Immunity, Slim(ALA), Muscle Power, B12, Glutathione, Energy, GLP-1
Wellness IV (20-45min): Weight Loss, Stress Relief, Skin Health, Metabolism, Immunity, Focus, Energy, Aminoblend</t>
  </si>
  <si>
    <t xml:space="preserve">Botox, Dysport, Xeomin, Letybo, Nefertiti Lift, Forehead/Neck Band Tox, Lip/Chin Filler, Non-Surgical BBL, Juvederm, Revanesse Versa, Juvederm Kysse, Sculptra, Radiesse, Collagel, PRF Facials/Undereye PRF/Chin Sprinkle, NAKED GLOW+, SkinPen Microneedling, SaltFacial, Luxe Facial, Dermaplaning, Signature Peel | PRICING (email reply 8/14/26): Forehead TOX $69/10 units ($7.99/additional unit); Lip Filler (Versa) $149 half syringe / $199 full syringe; Juvederm/Contour/Refyne/Kysse/Restylane available at additional cost; full price list available on request. New client offers: https://www.nakedmd.com/collections/new-client-offer</t>
  </si>
  <si>
    <t xml:space="preserve">LED/Infra Red Light facial rejuvenation system (collagen stimulation, stretch mark/scar reduction, skin tightening), retail skincare line. Menu page is an image graphic, not extractable — likely more services not captured. No pricing/duration in text form.</t>
  </si>
  <si>
    <t xml:space="preserve">Unconfirmed — secondary sources mention Botox, PRP, facials, but no verified list/pricing/duration.</t>
  </si>
  <si>
    <t xml:space="preserve">Chemical Peel, Hydrafacial tiers, Dermaplaning, Hair PRP, Lift &amp; Sculpt Massage, Lymphatic Face Massage, Virtue RF Microneedling, Monthly Hydrafacial Membership, PRP Therapy, Signature Hair Tx, Skin Analysis, Vampire Facial, VI Peel, Botox, Collagen Boosters, Dermal Fillers, Dysport, Kybella, Lip Injections, Sculptra, Skin Booster, BBL Clear/Forever Young/Hero, Cool Peel Laser, Halo Laser, LED Light Therapy, Smartxide Tetra CO2, Breast Augmentation, BBL (butt), Capillaries Removal, CoolSculpting Elite, Hyperhidrosis Tx, Fat Transfer, Laser Hair Removal, Liposuction, Onda Coolwaves, Tummy Tuck</t>
  </si>
  <si>
    <t xml:space="preserve">Botox, Dermal Fillers (Juvederm/Restylane/Perlane/Revanesse Versa), Ultherapy, Medical-grade Chemical Peels, PDO Thread Lift, PRP, "5-Minute Nose Job", "5-Minute Eyebrow Lift", "Corporate Lift" (men's package)</t>
  </si>
  <si>
    <t xml:space="preserve">Upper Face Wrinkle Relaxation, Lip Flip, Tox Jawline (Masseter), Nefertiti Neck, PRF (Tear Troughs/Lips/Nasolabial), HA Fillers (Lips/Nasolabial/Marionette/Cheeks/Chin/Jawline/Tear Trough/Forehead/Temple/Nose/Ears/Hands/Elbows), RF Microneedling (Face/Decollete/Neck/Abdomen), LaseMD Ultra Fractional Laser (Face/Decollete/Neck/Hands), Non-Surgical Skin Tightening, PRP Hair Restoration, KeraLase MD Hair Restoration, Scar Tx w/LaseMD, Thread Face/Neck Lift, AccuFit Muscle Tightening (Abdomen/Back/Legs)</t>
  </si>
  <si>
    <t xml:space="preserve">Avéli Cellulite Tx, Body Sculpting, Non-Surgical BBL, Vampire Breast Lift, Facial Balancing, Fox Eye Thread Lift, Non-Surgical Facelift/Rhinoplasty, Vampire Facelift/Facial, Botox, Dermal Fillers (Temple/Tear Trough/Nose/Cheek/Smile Line/Lip/Chin/Jawline), Kybella, Chemical Peeling, DiamondGlow, Morpheus8, Scar Microneedling, Oxygeneo, PRP Hair Restoration, Laser Hair Removal, Semaglutide/Tirzepatide, IV Drip, Post-Op Massages, Chin/Buffalo Hump Liposuction, Bichota Package, Acoustic Shockwave, ED Tx, O-Shot, P-Shot, Penile Enlargement, TRT, HRT, Holetox</t>
  </si>
  <si>
    <t xml:space="preserve">Xerf $3,000 (promo $2,400); Emsculpt NEO $1,250 ($1,000); Emsculpt $1,000 ($800); Clear+Brilliant $550 ($440); HydraFacial $250 ($200); Microneedling $450 ($360); Injectable Body Contouring $1,000 ($800); Laser Hair Removal $100 ($80); CoolSculpting $800 ($640); Neurotoxin $17/u ($13.60/u); Sofwave $1,000 ($800); Photofacial $200-400 ($160-320); Fraxel Dual $1,500 ($1,200); Thermage $3,000 ($2,400); Morpheus8 $1,500 ($1,200); EON $800 ($640); Ultherapy $1,200 ($960-900); Aquagold/SkinVive $1,000 ($800); Pixel/Laser Resurfacing $125 ($100); Venus Freeze $250 ($200); Stretch Mark Reduction $125 ($100); Icoone $250 ($200); VI Peels $550 ($440); Biologique Recherche Facials $299 ($239); TruFlex $1,000 ($800); High-Tech Facial $225 ($180); Signature Facials $299 ($200); Salmon Sperm/PRP/PRFM $600 ($480); Dermal Filler $800 ($640); Glytone Peels $550 ($440). Also: Coolsculpting variants, Lip Fillers, Facial Balancing, Gummy Smile Botox, Semaglutide, GLP-1 (no price). Memberships: Skin $400+/mo; Laser $550+/mo. No durations.</t>
  </si>
  <si>
    <t xml:space="preserve">Morpheus8 (no price); Neurotoxin - Botox $12/u member $16/u non; Xeomin $10/$14; Letybo $10/$14; Dysport $4/$6; Botox Hydraneedle from $550; Lip Flip from $150; Gummy Smile from $149; Laser Hair Removal (no price, free 1st session promo); Dermal Fillers, Microneedling, Harmony Alma IPL, Sculptra, PRF, Chemical Peels, HydraFacial, Skinvive (coming soon) — no price. No durations.</t>
  </si>
  <si>
    <t xml:space="preserve">Skin Treatments/facials, Laser Hair Removal, Vaginal Rejuvenation, Laser Skin Tightening, Laser for Pigment, RF Microneedling, Dermal Fillers, Neurotoxins, Biostimulators, Hair Restoration, Non-Invasive Face Lift, IV Vitamin Infusions</t>
  </si>
  <si>
    <t xml:space="preserve">Jeuveau $15/u; Xeomin $15/u; Daxxify $12/u; Toxin Membership $425+$129/mo; HA Filler (Versa/RHA/Restylane 1ml) $700; Biostimulator Filler (Radiesse/Sculptra) $750; Bio Filler (Plasma Gel) $350; Liquid Rhinoplasty $700; BBL (10 vials) $4,800; Hylenex $200; Lip Flip $150; Lip Flip&amp;Filler $700; PDO Threads Lunchtime Facelift(10) $1,500; Collagen Twist Threads(10) $500; Thread Filler Nasolabial $300; BioReVamp PRF Facelift/Filler $750; Full Face PRF Rejuv $750/$1,800(1/3); PRF+RF Microneedle $350; PRF Dark Circles $300/$750; Plasma BioGel Filler $350; PRF Hair Loss $750/$1,800; Men's PRF Performance Shot $1,200; Women's PRF Orgasm Shot $1,200; RF Microneedling Face $275/$600(1/3) +Neck+$75 +PRP+$75; Stretch Marks $325/$900; Microneedling w/PDRN $525/$1,425; CO2 CoolPeel Eyelids $399/Face $750/Face+Neck $999/Eyelids+Face $999/Eyelids+Neck $999/all3 $1,299; Mesotherapy Small $175/$450, Double Chin $299/$750, Large $450/$1,200; IV Drips Quench/TriImmune/Brainstorm/Hangover $200 ea, Custom 3-IV $450, Myers Cocktail $300, NAD $750/$3,000/$5,000(1/5/10); Metabolic Booster shot $35; Glutathione IM $80; Semaglutide $150(1)/$500(4pkg); HRT/TRT visit $500 2x/yr; Telehealth refill $125/mo; Lash services $100-$250; Chemical Peels $150; Hydrafacial (Eastchester only) $199; Dermaplaning $125; RF Skin Tightening $75; Body Bleaching $99/$189; Food Sensitivity Test $1,500. No durations.</t>
  </si>
  <si>
    <t xml:space="preserve">Botox $15/u (100u pkg $1,199); Xeomin $12/u (100u pkg $999); Sculptra $1,099 (first $879, 3pk $2,399); IPL Photofacial $549 (first $349, 3pk $1,199, 6pk $2,199) 45min; ResurFX Fractional Resurfacing $849 (first $549, 3pk $1,849, 6pk $3,399) 60min; Wholistic Photofractional $1,299 (first $849, 3pk $2,849, 6pk $5,199) 60min; Microneedling Face $499(first $399,3pk $1,099); Neck $359(first $279,3pk $769); Eye Area $319(first $239,3pk $659); Skin Booster Rejuran Black 2cc $519(first $459,3pk $1,259); Black 4cc $749(first $649,3pk $1,769); Tone Up $379(first $329,3pk $909); standard $369(first $319,3pk $889); Eye $369(first $319,3pk $889); Facial/Massage/Eyelash Ext/Chemical Peel categories exist, no price shown.
---</t>
  </si>
  <si>
    <t xml:space="preserve">Hydrafacial tiers, Customized Facial, Carbon Facial, Microneedling (HA/Salmon PDRN 1%/2%/Exosomes), RF Microneedling, Chemical Peels (VI/BioRePeel/PCA), Celluma LED, Buccal Massage, PDRN Mask, IPL, Erbium Laser Resurfacing, Spider Vein Removal, Carbon Laser, Laser Tattoo Removal, Neurotoxin (Lip Flip/Masseter/Trap Tox/Hyperhidrosis), Dermal Fillers, Sculptra, Radiesse, PRP (Face/Hair/PRF), B12 Injection, IV Cocktails, Endospheres, Body Tone/Sculpt, Chemical Body Peel, Laser Hair Removal, Teeth Whitening</t>
  </si>
  <si>
    <t xml:space="preserve">Botox/Dysport/Xeomin/Jeuveau; Juvederm/Restylane/Belotero/Radiesse/Sculptra/Kybella fillers; Earlobe Rejuvenation; PRP (Vampire FaceLift/Facial/Breast Lift/Hair/Wing Lift, O-Shot, Laser O-Shot, P-Shot); RF Skin Tightening, RF Microneedling; Ultherapy (many areas); Cold Plasma; Facials (many types); Chemical Peels; Microneedling; Laser Skin Tightening; Microdermabrasion; Oxygen Facial; Dermaplaning; PDO Thread Lift; Endermolift; Microcurrent Facelift; Facial Vein Removal; Pro Nox; FemiLift; Urinary Incontinence Tx; PiXel8-RF; Microcurrent Body Lift; Fanny Facial; Endermologie; Laser Hair Removal; Acoustic Wave (ED); Hand fillers/peel; Eyebrow/lash services; Biote HRT</t>
  </si>
  <si>
    <t xml:space="preserve">Botox $15/u; Lip Filler (Restylane 1 syringe) $649; Cheeks/Chin Filler (Restylane Lyft 1 syringe) $699; Sculptra $649/vial; PDO Thread Lift $249/thread; PRP Facial+Microneedling $599; Kybella $699/vial; Profhilo $759; Weight Loss (Semaglutide) single $200; Juvederm/Voluma/Belotero/Restylane also offered no price. No durations.</t>
  </si>
  <si>
    <t xml:space="preserve">Botox/Dysport/Xeomin/Daxxify; Dermal Fillers; PRF/Modif-EYE PRFect; Modify Lift (PDO Nose Contour); Pixel8-RF Microneedling; Stubborn Fat tx; Sun Damage/Pigmentation tx; Hair Thinning tx; Dull/Dehydrated Skin tx; Uneven Tone/Texture tx; IV Vitamin Hydration; Weight Management; Hydrafacial/Peels/Laser (general)</t>
  </si>
  <si>
    <t xml:space="preserve">Botox $18/u; Dysport $7.2/u; Botox Lip Flip $250; Lip filler (Juvederm Ultra XC/Restylane-L/Silk) $799, (Volbella/Kysse) $899; Hylenex $450; Cheek/Chin filler 1-2 vials / 3-4 vials (Voluma/Contour/Defyne/Lyft/Radiesse/Sculptra/Kybella); Liquid Rhinoplasty $2,500; Liquid Facelift (5-7 vials): Voluma $999, Contour/Defyne/Lyft $899 ea, Radiesse $899, Sculptra $1,200, Kybella $899; Booty Sculptra 5-vial $4,495/10-vial $8,990; Chemical Peel TCA $100-300; BioRePeel+4Ever Facial $499; PRFM Rejuvenation (Face/Neck or Hair) $1,299-1,499; SkinPen Microneedling $399 (+PRP $499, +Sera AK Serum $599); Plastic Surgery Consult $300; Skincare Consult $150 (free w/purchase); B-12 Shot $49; SkinCeuticals products $150-500; BioSkin After Care Set $150</t>
  </si>
  <si>
    <t xml:space="preserve">Botox/Xeomin/Dysport, Sculptra, Radiesse, Juvederm, Restylane, Kybella, PDO Thread Lift, EM Sculpt, Velashape, CoolSculpt Elite, SkinPen Microneedling, RF Microneedling, PRP Microneedling, Clear+Brilliant, APRT Regenerative Tx, AFLRT Fractional Laser, Laser Genesis, Body Peel, Chemical Peels, HydraGenesis, IV Vitamin, IPL, Hydrafacial, Laser Hair Removal (S/M/L/XL/Full Body), Hair Restoration, NAD+, Hormone Optimization, GLP-1 Weight Loss</t>
  </si>
  <si>
    <t xml:space="preserve">Laser Hair Removal (Cynosure Elite+) — Small Areas Single $65/3x$150/6x$250; Medium $85/3x$200/6x$300; Large $125/3x$250/6x$395; Extra-Large $150/3x$350/6x$475; XL(full back/chest+stomach) $195/3x$450/6x$650; XL(full legs) $250/3x$525/6x$750. Other (no price): Microneedling+BioRePeel, DiamondGlow+Dermaplaning+LED, Cosmetic Facial Acupuncture, LaserOxy Glow 4-in-1, Bacne Tx, DiamondGlow&amp;Genesis Deluxe, Signature Glow Facial, BioRePeel, Microneedling, Lymphatic Sculpt Facial, Dermaplaning, Laser Genesis, Chemical Peels, Endospheres Facial/Body, Back Facial, BioRePeelCl3 Gold, Acupuncture Wellness, Detox&amp;Sculpt Infrared Bodywrap, Butt Contour Lifting, Lipo Light Fat Reduction, Hair &amp; Scalp Rejuvenation. No durations except LHR spacing (4-6 wks).</t>
  </si>
  <si>
    <t xml:space="preserve">Botox $600-$1,200/session (~1hr, results 2-3wks, last 3-4mo) — only priced item. Others (no price): Neurotoxins general, Kybella, Sclerotherapy, Xeomin, Jeuveau, Dysport, Daxxify, RHA/Restylane/Belotero/Under Eye/Lip/Juvederm/Radiesse/Sculptra Fillers, Morpheus8, Laser Skin Resurfacing, Profractional Laser, Lumecca IPL, Forma, Body Contouring, RF Microneedling, Laser Hair Removal, Laser Peel, Vascular Laser, LED Light Therapy, Microneedling, Chemical Peels, Hydrodermabrasion, Microdermabrasion, Dermaplaning, Skin Tightening/Resurfacing, Thread Lift, Vein Removal, Bridal "Veil" package, Facials, Hair Restoration, Weight Loss, Women's Health/Vaginal Rejuv, Asian Beauty Tx (Glass Skin/Cherry Lips/Calf Slimming/V-line/Chin/Masseter/Non-Surgical Rhinoplasty)</t>
  </si>
  <si>
    <t xml:space="preserve">Botox $15/u; Restylane $600/syringe (0.5 syr $350); Restylane Lyft $650/syringe; Belotero $600/syringe; Kybella $650; Sculptra $1,000; PRP Facial $600; PRP Hair Restoration $600; Laser Hair Removal: Face $80/session-$400/7pk; Neck $40/$200; Upper Lip $20/$100; Underarms $30/$150; Arms $100/$500; Half Arms $50/$250; Areolas $40/$200; Stomach/ABS $40/$200; Legs $180/$900; Half Legs $90/$450; Brazilian $120/$600; Buttocks $60/$300; Back $150/$750; Chest $100/$500; Shoulders $60/$300; Full Body $350/$1,750; Full Brazilian+Underarms+Lip $150/$750; Full Legs&amp;Brazilian $175/$875. Also (no price): Non-Surgical Thread Lift, Permanent Makeup, Eyelash Ext/Lamination, Skincare/Facials, Hair Restoration, Profhilo. No durations.</t>
  </si>
  <si>
    <t xml:space="preserve">Botox, Dermal Fillers, Kybella, Thermage FLX, Ultherapy Prime, Stellar M22 laser tx, medical-grade facials, injectables</t>
  </si>
  <si>
    <t xml:space="preserve">Botox &amp; Dysport, Dermal Fillers, PDO Threads, Microneedling, PRP/PRF, Chemical Peel, Hydra Facial, Glow Facial, Laser Hair Removal, IV Infusions</t>
  </si>
  <si>
    <t xml:space="preserve">Botox Full Face $800, Platysma $400, Lip Flip $150, Slim Nose $280 (base $380); Lips HA Filler $450; Lips Juvederm/Restylane $550; Threads $230/thread; Fibroblasts $400/area; Radiesse $600/syringe; PRP $380/session; Bio Revitalization/Mesotherapy $230-350/session; Bio Revitalization Eyes $230; Under Eye Filler $400; Liquid Rhinoplasty $800; Cheek aug $800; Chin aug $400; Jawline $850; Tear Troughs $800; Nasolabial $400-800; Scalp Exosomes $400/area; Endosphere $170(1x)/$480(3x)/$900(6x); Head Spa $120/area; Body Wraps $140-250; Liquid BBL 200ml $2,800-500ml $5,400 (max/hip $6,300); Neck rejuv $600; Fat Lipolytics $250/session; Underarms Botox $500; Labial rejuv $850/area (+G-spot $1,200); G-spot enhancement $700; Hands rejuv $800; IV Drip (no price). No durations (only general result-duration FAQ).</t>
  </si>
  <si>
    <t xml:space="preserve">Laser Hair Removal, Botox &amp; Filler, Secret RF, RF Skin Tightening, truSculpt iD, VelaShape, Signature FaceLift Massage, Custom Facials, Laser Rejuvenation Facials, LED Light Therapy, Ayurveda tx, Vampire Facial, PRP Facial, Nail Fungus Removal, Smile Spa. Memberships: UpLift $149/mo (1 tx/mo up to $259 value, +$1 off/u Botox); Laser by Minute $195/mo; UpLift Ultra $349/mo (2 tx/mo up to $570 value, +$3 off/u Botox). No individual prices/durations.</t>
  </si>
  <si>
    <t xml:space="preserve">EyeRise (under-eye/midface), BaseLift (non-surgical facelift), Botox, Dysport, Xeomin, Cheekbone Filler, Non-Surgical Brow Lift, Nasolabial/Marionette Filler, Glabella/Forehead tx, Neck Lift, Non-Surgical Rhinoplasty, Chin Filler, Under Eye Filler, PRF/PRP Under Eyes, Jawline Filler, Crow's Feet tx, Lip Lines, Lip Filler/Flip, Ozempic Face tx, PRP/PRF Hair Restoration, Hand Rejuvenation, Sculptra BBL, Underarm Sweat Botox, SkinPen Microneedling, VI Chemical Peel, PRF Regenerative Facial, filler brands (Juvederm/Restylane/Belotero/Revanesse Versa/Radiesse/Sculptra/Voluma) | PRICING (email reply 8/14/26): Botox $10/unit for new patients (min. purchase 30 units); filler specials &amp; membership available - call 212-888-3003 for details.</t>
  </si>
  <si>
    <t xml:space="preserve">Botox $15/u (promo unlimited 3 areas $399); Jeuveau $12/u; DAXXIFY $10/u; Rejuran Microneedling $599; Juvederm Ultra XC $375(.55ml)/$699(1ml); Ultra+ XC $699; Voluma XC $799; Volbella XC $375/$699; Belotero Balance $850; Skinvive $599; Teosyal RHA 2,3 $599; RHA 4 $799; Kybella $599/vial; NAD+ Injection $50; Glutathione Injection $50; PRP Facelift $499; PRP+Microneedling $499; PRP Microneedling+Facelift $799; PRP Hair Restoration $599(4pk $1,999); P-Shot $1,399; PRFM $599(3pk $1,499); Selphyller Gel $699; AquaGold Face $499/Face+Neck $599; Hair Restoration Injection $110-140; Microdermabrasion Face $135/Face+Neck $175/+Decolletage $219; Deep Pore Facial $149; Acne Facial $179; Luxury Facial $250; Ultrasound+RF Facial $150; Facial Massage $130; Dermaplaning $275; Skin Tag Removal $30(1)/$150(5)/$200(5+); BioRePeelCl3 $349/4pk$999; VI Peel $349/3pk$999; PRX-T33 $349/4pk$999; PMU Powder Brows $499, Lip Blush $499, Touch-up $200; Morpheus8 Face $999/3pk$2,499; Body $1,199/3pk$2,999; XERF Face $1,699 Neck $899 Face+Neck $2,199; Lumecca IPL $395/3pk$999; Hydrafacial Signature $199/Deluxe $295/Platinum $325</t>
  </si>
  <si>
    <t xml:space="preserve">Botox $12/u; Jeuveau $10/u; Xeomin $8/u; Contour Enhancement Injection $380; Shoulder Slimming Injection $780; Calf Slimming Injection $1,280. Also (no price): Injectable Fillers/Biostimulators, Kybella, Microneedling, Skin Booster, PDO Thread, Plasma Injection, GLP-1 Weight Management, Sothys/POLA Skin Care (incl. Pola Premium Facial), Laser Tx (Stellar M22 IPL/Q-switch), Body Slimming (Emsculpt), Body Treatment, DMK Enzyme Therapy, Ultherapy, Trilift by Lumenis, Slim Balance Weight Program, Lymphatic Drainage Massage</t>
  </si>
  <si>
    <t xml:space="preserve">Botox $15/u ($14.25 member); Dermal Filler $850 ($807.50); SkinVive Filler $1,000 ($950); BioRevitalization Eyes $500 ($475); Face $600 ($570); Mesotherapy/Hair Loss $600 ($570); Mesotherapy w/Exosome (TBD); Lipodissolve $400 ($380); Radiesse $900 ($855); Profhilo $700 ($665); PLA $1,000 ($950); Beauty Shot $100 ($95); Glowing Shot $100 ($95); Aquagold $570 ($513); Aquagold+Rejuran $670; Microneedling $460 ($414); +Rejuran $560 ($504); +Exosome $800 ($720); ContourTox(KAATSU) $180 ($171); Japanese Beauty Kaatsu $180 ($171); Kaatsu Pilates $140 ($133); Pilates Reformer $110 ($104.50); Chemical Peel Face $350 ($315); Face+Neck $450 ($405); Body $350 ($315); MediSpa Facial $350 ($315); Full Face Rejuv $1,000; PDO Threads $800; Scalp&amp;Follicle Exosomes $2,000; Exosomes&amp;Peptide Therapy $1,000; Baseline Wellness Testing from $500; HRT from $500; Men's Hormonal Support from $200; Weight Optimization from $200/mo. Also (no price): Rejuran, Exosome Tx, Ultherapy, Non-Surgical Full-Face Rejuv, Medical Grade Peels</t>
  </si>
  <si>
    <t xml:space="preserve">Botox $14/u; Xeomin $12/u; Dysport $8/u; Juvederm Ultra $750; Ultra Plus $750; Voluma $850; Volux $850; Microneedling w/PRFM $850; Nasolabial PRFM $850; Hair Revival PRFM $1,200; Tear Trough PRFM $1,200; NAD+ 250mg $350; 500mg $450; Myer's Cocktail $200; Flu Season Booster $200; Immune Tri Booster $210; Semaglutide $200/mo; Tirzepatide $250/mo; PeptideVite oral $100/mo; B12 IM $50; B Complex IV $210; VI Peel Precision Plus $350; Purify w/Precision Plus $350; Purify $300; Advanced $300; Original $300</t>
  </si>
  <si>
    <t xml:space="preserve">Microneedling first-time 1x $200/2x $340; regular 1x $300/3x $810/5x $1,250; +RF 1x $450/3x $1,200/5x $1,800; add-ons G.Factor $25, CBD $20, HA $45, Peptides $50, Neosporin free; Peptide Cocktail (BCN T/BCN L) 1x $500/3x $1,350/5x $2,150</t>
  </si>
  <si>
    <t xml:space="preserve">Wrinkle Reducers, ToxBooster, Dermal Filler(HA), Sculptra, Hylenex, SkinVive, Facial Balancing, Microneedling, +RF, +RF+CO2, Light Peel, VI Peel, Deep Peel, Aquagold, CO2 Resurfacing, BBL, IPL, Moxi, LASEMD, PRP/PRFM Facial, PRP/PRFM Hair, RF Skin Tightening, Sofwave (varies by area), New Standard Facial, Gold Standard Facial, JECT Infusion Facial, Cortisone Injection for Acne. 3-pack prices: Aquagold $1,580; Light Peel $500; VI Peel $972; Deep Peel $972; Microneedling $1,391; +PRP $2,565; +RF $2,835; BBL $1,755; Moxi $2,160; Moxi+BBL $3,510; IPL $1,350; LASEMD $2,160; PRP/PRFM Facial $2,430; PRP/PRFM Hair $4,160; RF Skin Tightening $1,215; Sculptra $2,945; New Standard Facial $700</t>
  </si>
  <si>
    <t xml:space="preserve">AQUAGOLD full face from $350 (+HA/peptides/vitamins/neuromod +$20, +neck $70, +neck+decolletage $100); Microneedling/PRP full face from $250 (+peptides/exosomes $20, +PRP $150); Kybella $500/vial (up to 3 vials from $1,300); Botox from $14/u; Jeuveau from $11-12/u; upper face(4 zones) from $370; masseters $430; neck bands $240; Lip-Flip from $150; Evolysse filler(1ml) $550; Juvederm(1ml) from $600; IV Immunity(500ml) $150; Recovery&amp;Performance(500ml) $200; Brainstorm(500ml) $180; Myers'(500ml) $100; Hangover(1000ml) $200</t>
  </si>
  <si>
    <t xml:space="preserve">Botox (no price, 3-7 day onset, lasts 3-4mo); Dermal Fillers lips/cheeks/chin/jawline (no price, lasts 6-18mo); Sculptra $1,000/vial (lasts up to 2yr); Microneedling w/PRF 3x $1,800; PRF EZGel 3x $1,950; Facial Deep Cleansing 5x $899 (60min); Lip Flip, PRF Under-Eye, Botox&amp;Facial Contouring Consult, Glass Skin Facial(PRF Microneedling), PRP Facial, Ultherapy PRIME, Semaglutide/Tirzepatide, IV Drips(NAD+/Glutathione+VitC/B12/VitD), Semi-Permanent Makeup, VI Peel/CosmelanMD/Signature Peels, Hydradermabrasion, 3D Skin Analysis (no price)</t>
  </si>
  <si>
    <t xml:space="preserve">Botox (mentioned, no package), Swedish/Deep Tissue/Sports/Prenatal/Hot Stone/Aromatherapy/Thai Massage. Third-party listings mention filler, Fraxel Laser, Hair Botox, Body Sculpting (unconfirmed on official site).</t>
  </si>
  <si>
    <t xml:space="preserve">Botox, Dermal Fillers, Laser Hair Removal, HydraFacial, RF Microneedling, PRP Therapy (hair restoration), general facial rejuvenation/skin resurfacing</t>
  </si>
  <si>
    <t xml:space="preserve">WrinkleFix Botox existing $300, first-time $229(reg $300); Bunny Lines/Glabellar/Daxxify/Xeomin (no price); LipFix Filler $699; Lip Flip $199(reg $300); Threads/Smoker's Lines/Gummy Smile (no price); CheekFix Filler $799(reg $1,598); FaceFix Sculptra $799(reg $2,097); EyeFix Filler $799; BrowFix Threads (no price); ChinFix Filler $799; Kybella/Botox/CoolSculpting/Lipo (no price); JawlineFix/NoseFix (no price); NeckFix Filler/Bands/Threads/Morpheus8 (no price); SkinFix PRP (no price); BootyFix Sculptra-10 $4,999(reg $7,500), Sculptra-20 $8,999(reg $13,000), Radiesse-10 $3,999(reg $7,500), Radiesse-20 $7,500(reg $13,000); Butt Vacuum/Renuva/Venus/CoolSculpting/truSculpt Flex/Hydrafacial/DSE Peel+Microneedling $600 (rest no price); AbFix/BreastFix/ArmFix/ThighFix (no price); SweatFix Toxin (no price); HairFix Exosomes/Plasma/Laser (no price); SkinFix Salmon DNA/Exosomes/SkinVive/Microneedling+PRP/Vi Peel/IPL/Dermaplaning/FractionalRF/Ultherapy (no price)</t>
  </si>
  <si>
    <t xml:space="preserve">Botox/Xeomin/neuromodulators from $375; Dermal Fillers from $799; Restimulate Health from $399; Laser Tattoo Removal from $199; Traditional Microneedling from $350; Secret RF Microneedling from $499; Hollywood Spectra Laser from $249; TRT from $699 (incl. meds); Facials (1hr) from $125; Chemical Peels bundled w/facial price; NAD+/Vitamins/IV Drips from $249; truBody/truFlex/truSculpt from $750 (15min sessions); Laser Genesis from $249; Laser Hair Removal from $75; Waxing from $16</t>
  </si>
  <si>
    <t xml:space="preserve">Wrinkle Relaxers, Fillers (HA — cheeks/lips/jawline), Laser Hair Removal, IV Therapy, Weight Loss (semaglutide/tirzepatide), PRP Hair Restoration</t>
  </si>
  <si>
    <t xml:space="preserve">Signature Facial, Wood Therapy, Superfrecator, Plasma Ablation, IPL Photofacial, Laser Hair Removal, advanced facials, laser lipo, body wraps, microblading</t>
  </si>
  <si>
    <t xml:space="preserve">Botox &amp; Wrinkle Relaxers, Dermal/Lip Fillers, Non-Surgical Facelift/Rhinoplasty, Sculptra, CO2 Fractional Laser, IPL PhotoFacial, Laser Hair Removal, RF Microneedling, Chemical Peels, Facials, PRP Hair Tx, PDO Thread Lift, CoolSculpting, Emsculpt, Hyperbaric Oxygen Therapy, IV Therapy, LED Light, Lymphatic Drainage Massage, Nutrition Therapy, Semaglutide</t>
  </si>
  <si>
    <t xml:space="preserve">Blepharoplasty, Acne Scar Removal, Microneedling, Profound Skin Tightening, Laser Skin Resurfacing, FRAX Laser, CO2 Laser, IPL Photofacial, HydraFacial, VI Peel, Dermaplaning, Renuva, Rosacea Tx, Non-Surgical Facelift, Botox, Dysport, Dermal Fillers, Juvederm, Restylane, Liquid Facelift, Lip Augmentation/Flip, Body Contouring, Profound Body, VASER Lipo, Laser Hair Removal, Scar Revision, Back Acne Tx, truSculpt iD/Flex, Alma Duo Laser, Labiaplasty, Vaginoplasty, O-Shot, P-Shot, ThermiVA</t>
  </si>
  <si>
    <t xml:space="preserve">Advanced Facial Tx, Anti-Cellulite Body Contouring, Back Tension-Relief Tx, Body Sculpting &amp; Contouring, Full Body Relaxation, Lymphatic Drainage, Post-Op Body Tx, Sculpting Facial, STYX Slimming Body Wrap</t>
  </si>
  <si>
    <t xml:space="preserve">Laser Hair Removal (Cynosure Elite+ / MeDioStar NeXT PRO) — no price; Body Wax — no price; Facial Threading — no price; Fat Freeze (Cool X Plus) — no price; VelaShape — no price; NuEra RF Tightening — no price; NYC Express Facial — no price; Signature Facial — no price; InnoPen Pro Microneedling $129 add-on/$275 stretch marks — 90min; Dermaplaning Pro $69 add-on — 70min; Laser Genesis Facial from $150 — 55min; Lightwave LED Therapy $69 add-on — 20-35min; Pigmentation Laser from $125 — 10-30min; Vein Tx from $75 — 10-30min; Teeth Whitening $150(20min)/$200(40min)/$250(60min)</t>
  </si>
  <si>
    <t xml:space="preserve">Pico Laser $499/full face +$399/area (4x $1,599+$1,299/area, 6x $1,999+$1,399/area) downtime 3-7days; Stellar IPL M22 same pricing structure; CO2/Fraxel Resurfacing same pricing structure, downtime 7-10days; Botox no price (promo $450/3 areas); Dermal Fillers no price (promo BOGO 50%); Laser Hair Removal &amp; Facial Treatments categories exist, no price found. No durations published.</t>
  </si>
  <si>
    <t xml:space="preserve">Botox Injection, Botox Neck Lift, Masseter Botox, Chemical Peels, Dermal Fillers, Sculptra, Laser Facial, Laser Resurfacing, Microneedling, PRP Facial, PRP/PRF for Hair</t>
  </si>
  <si>
    <t xml:space="preserve">Oligio(Korean Thermage) Face+Neck/+Eyelids, Ultherapy, Profound, Stella Duo, InMode(FX&amp;Forma) Full Face, V-Zet, Secret laser(3-session pkg), Body Treatment(up to 30min, 2-3 areas), Thread Lifting/PDO, PANGSIS Lifting, Rejuran, Chanel 135 HA, Ultracol 200, Etrebelle, Juve Look Volume, Body Tightening, BBL, Skin Booster(Elravie Re2O), Dermal Filler, Face Lifting, Full Body Remodeling, Vitamin IV Hydration</t>
  </si>
  <si>
    <t xml:space="preserve">Alma Hybrid Laser, HydraFacial, Morpheus8(skin resurfacing/hyperhidrosis/body remodeling), Lumecca IPL, Laser Hair Removal, Dermapen Microneedling, Forma Skin Tightening, Dermasweep Microdermabrasion, Chemical Peels, Dermaplaning, Fractora RF Microneedling, Cellulite&amp;Stretch Mark Therapy, InMode solutions, BodyFX Fat Reduction, Customized Facials, Plasma Fibroblast Therapy, Universkin, Accutite, Bodytite, Facetite, Quantum Face&amp;Body, Botox&amp;Jeuveau, Dermal Fillers, Fat Transfer&amp;Injections</t>
  </si>
  <si>
    <t xml:space="preserve">EMFACE (no price/duration); Thermage FLX/Face (no price, ~1hr); Thermage FLX-Body (no price/duration); Laser Skin Resurfacing (no price/duration); IPL Phototherapy (no price/duration); SilkPeel (no price/duration); PRP Facelift (no price/duration); Microneedling (no price/duration); Earlobe Repair (no price/duration); IR Face&amp;Neck Tightening (no price/duration); EmSculpt Neo (no price, ~30min/session); Emtone (no price/duration); Exilis Ultra-Body (no price/duration); Carboxytherapy (no price/duration); Emsella (no price/duration); Scarless Mole Removal (no price/duration); Restylane/Juvederm/Belotero Fillers (no price/duration)</t>
  </si>
  <si>
    <t xml:space="preserve">Botox, Botulinum Toxin/Neurotoxin Tx, Lip Filler, Cheek Filler, Jawline Filler, Chin Filler, Nasolabial Fold Filler, Under Eye Filler, Liquid Rhinoplasty, Russian Lips Filler, Skin Health/Lighter Complexion Tx, Lipotropic Injections, IV Drip Therapy, Glutathione IV, Snow White IV Kit, Detoxification</t>
  </si>
  <si>
    <t xml:space="preserve">Botox, Dermal Fillers(Juvederm), Laser Hair Removal, Medical Facials. No pricing/duration confirmed.</t>
  </si>
  <si>
    <t xml:space="preserve">Eyelash Extensions, Facials, Kybella, Laser Hair Removal, PDO Thread Lifts, Russian Lip Augmentation, Microblading. No pricing/duration confirmed.</t>
  </si>
  <si>
    <t xml:space="preserve">Hot Stone/Swedish/Deep Tissue/Sports Massage $132-168, 60-90min; Post-Surgical Massage $168-210, 60-90min; Pre-natal Massage $160-190, 60-90min; Detox Ionic Foot Tx $90; add-ons Back/Neck/Shoulders $70, Reflexology $55, Cavitation $60; Acne Relief+LD Blue Therapy $160; Back Tx w/Bamboo Mask $180; Deep Pore Cleansing+Oxygen $145; Derma Plane $180; Face Lymphatic Drainage $70; Jet Plasma+Full Facial $300(1x)/$800(3x)/$1,300(5x); Mini Facial $100; Power Peel $250; Hydraglowing Facial $220; Lifting Facial $190; Natura Luminun Fusion(Dermalogica) $200; Natura Spa Facial+Microdermabrasion $169; Signature Facial $135; Organic Facial(Eminence) $170; Ultimate Age Tx&amp;Collagen Mask $189; Aromatherapy Massage $150/60min-$210/90min; Sports Therapy(Theragun) $160/60min-$210/90min; Lymphatic Body Sculpting $168/60min-$190/90min; Brazilian Lymphatic Drainage $168/60min-$210/90min; Full Detox $185/60min-$235/90min; Side By Side Therapy(2-person) $280/60min-$410/90min; MLD+Contouring+Cellulite $180/60min-$220/90min; MLD+Wood Therapy $200/60min-$240/90min; CoolSculpting Elite (offered, not detailed)</t>
  </si>
  <si>
    <t xml:space="preserve">Signature Glo Facial $295; Oxygen Glo Facial $220; Luminous Glo Facial $199; Fire&amp;Ice Facial $240; Prodigy Glo(peel) $185; Hangover Glo(lymphatic facial) $199; Premier Glo Pkg(choice of 3) $599; LED Glo $110/30min; Organic Glo Facial $185; Diamond Glo Microdermabrasion $185; Endermolift $185; Express Glo Facial $95, 35min; Mix&amp;Glo Pkg(choice of 3) $450; Master Glo $399(75min)/$450(105min); Sculpt&amp;Glo $375, 90min; add-ons Extractions $45, Microcurrent $65, LED Glo $55, Total Eye Tx $75, Microderm Neck $65; Endermologie/Lymphatic Drainage/Laser Hair Removal/Laser Skin Tightening/Laser Pigmentation/Photofacial/AviClear — no price found</t>
  </si>
  <si>
    <t xml:space="preserve">Facelift, Rhinoplasty, Deep Neck Lift, Brow Lift, Breast Augmentation, Breast Lift &amp; Reduction, Abdominoplasty, Liposuction, BBL. (Non-surgical medspa menu not fully captured.)</t>
  </si>
  <si>
    <t xml:space="preserve">Hydro Diamond Facial, Oxygen Treatment, RF Lifting, Cold Therapy, Needle-Free Mesotherapy, Chemical Peels, Facials, LED Light Therapy, iCoone Body/Face Treatments, Acne Advance Treatment</t>
  </si>
  <si>
    <t xml:space="preserve">Wrinkle Tx/Botox, Laser Hair Removal, Back Acne Tx, Full-Body Exfoliation, The Facial, Antioxidant Facial, HydraFacial Series, PRP Microneedling, Botox Facial+Aqua Gold, Clear+Brilliant, Microneedling+Dermatude, +DermaGlow(MicroPen), MicroPeel, Smart Peel Rx+TCA, Lip Flip, Masseter Minimizing, Smile Line/Cheek/Under Eye/Chin/Lip/Jawline Filler, Chin Reduction+Kybella, PRF Eye Revitalization, PRP Collagen Rejuvenation, Non-Surgical Nose Job Filler, Sculptra Volumizer, ThreadLift, Underarm Hyperhidrosis Tx, PRP Hair Rejuvenation</t>
  </si>
  <si>
    <t xml:space="preserve">Botox, Dermal Fillers, Skin Boosters, ADVATx laser platform</t>
  </si>
  <si>
    <t xml:space="preserve">Botox, Dermal Fillers(Restylane), laser technologies(unspecified), medical/skincare facials, HydraFacial, Skin Tightening, CoolSculpting</t>
  </si>
  <si>
    <t xml:space="preserve">PRP Injections, Neurotoxins(Botox/Dysport), Sculptra, SkinVive, Kybella, Upneeq, Dermal Fillers(Juvederm/Restylane), Chemical Peels(Perfect Derma Peel), PDO Threads, Microneedling, TimeLyss Glow Infusion, Clear&amp;Brilliant Laser, Vitamin Injections(NAD+/B12/Glutathione), Medical Weight Loss
# DATA QUALITY NOTE: Batches 5-8 experienced a sustained web_fetch tool outage partway through research (confirmed by multiple subagents independently). Businesses #55, #56, and parts of #40, #53, #59, #60, #61, #62, #63, #64 have incomplete pricing/duration data as a result — treatment NAMES are still generally reliable (sourced from site navigation before the outage), but pricing/duration confidence is lower for these entries than for batches 1-4. #55 (Red Carpet Aesthetics) and #56 (Face Of Beauty) could not be verified against live sites at all — sourced from search snippets only.</t>
  </si>
  <si>
    <t xml:space="preserve">Botox 1 Area(Upper Face) $250; 3 Areas $600; Lip Flip $150; Dysport (no price); Juvederm Lips $650; Juvederm Voluma $850; Radiesse $650; Restylane (no price); HydraFacial, Morpheus8 Face&amp;Neck, Laser Genesis, Microneedling, PDO Threading, Acne Laser Genesis, EMSculpt, TruSculpt 3D, Body Sculpting, BBL(non-surg), PRP Hair/Hair Transplant, Vein Tx, Laser Hair Removal, Sculptra, Weight Loss, TRT/ED Tx, Galleri Cancer Test (no price); IV Drips (17 cocktails) $236.99-$686.99. No durations.</t>
  </si>
  <si>
    <t xml:space="preserve">Free consult $0; Semaglutide $299/mo; Tirzepatide $399/mo(3mo $1,125/6mo $2,199); Rapamycin $149/mo; Methylene Blue $99/mo; NAD+ Injection/Nasal $199/mo; TRT $249 new/$149mo refill; Comprehensive Labs $199; CGM Rx $449(3 sensors); B12 $125/mo; IV Therapy(mobile) from $699. Also (no price): Ozempic/Wegovy/Mounjaro/Zepbound/Rybelsus/Saxenda, HRT Women, Enclomiphene, ED Tx, Hair Loss Tx, Acupuncture.</t>
  </si>
  <si>
    <t xml:space="preserve">Botox $16/u (10-30min); Dysport $4/u (10-30min); Fillers/PRP/Sclerotherapy/Microneedling/Kybella/PDO Thread/Chemical Peels/Plasma Fibroblast/HIFU/RF Microneedling (no price); IV Infusions (7 types) no price; Facials(LED/European/Microderm/Oxygen/4D Lift/Aqua Gold/Back/Deep Pore/Dermaplaning/HydraFacial/Microcurrent/Peel&amp;Glow/TCA Peel) no price.</t>
  </si>
  <si>
    <t xml:space="preserve">Botox(quick, few min/area, lasts ~4mo), CoolSculpting, Cortisone Injection, Juvederm, Laser Hair Reduction, Laser Tattoo Removal, Pelleve, Physiq, PICO Genesis, Vein Tx, Vivace RF Microneedling.</t>
  </si>
  <si>
    <t xml:space="preserve">Botox $14/u (10-30min, full effect ~2wk, lasts 3-6mo). Others no price: Dermal Fillers, Laser Hair Removal, Trusculpt ID, Endospheres, Sofwave, Accufit, Morpheus8, Diamond Glow, VI Peel, LaseMD Ultra, Body Sculpting, Facials, PRP, IM Injections/NAD.</t>
  </si>
  <si>
    <t xml:space="preserve">Botox $16-19/u; Dysport $5-6/u; Hyperhidrosis Toxin $999; Belotero 1ml $650; Revanesse Versa+ $800; Revanesse Lips+ $850; Restylane Kysse/Contour/Eyelight/Lyft $800-850; Bellafill $900; Sculptra $1,100; Radiesse $900; Hylenex $450; PRFM Single/Double $600/$749; Selphyller $850/$1,100; SkinVive $750; Microneedling EXCEED+BioRePeel $599/+PRFM $1,099/+Rejuran $999; Rejuran topical $450-499/injection $750; Morpheus8 undereye $499(3x$1,200), Face $1,200(3x$3,000), Face&amp;Neck $1,500(3x$3,500), Neck $999(3x$2,000), Chest $800(3x$2,000), Back/Stomach $1,600(3x$4,000), Thighs/Butt $1,000(3x$2,700), Knees $600(3x$1,500), Stretch Marks $700(3x$1,700), Scars $999; Sofwave Brow Lift $999, Neck&amp;Submentum $2,500, Face&amp;Submentum $4,000, Face&amp;Neck $4,500, Lower Face&amp;Submentum $3,000, Under Eye $999; Candela Nordlys $349-1,800; Alma Hybrid Light $1,500/Medium $2,000/Deep $3,500/Eyes $1,500; Hydrafacial Signature $199(4x$716,6x$1,014), Deluxe $295, Platinum $325; VI Peel $399-549; BioRePeelCl3 $250-799; Pro-Nox $200; Emface 1area/6tx $2,500, 2areas/1tx $999, 2areas/6tx $3,999; EXION Full Face $999-1,200, Neck $699, Eyes $459, Decolletage/Hands $350; Celluma LED $80; Consultation $250; No-show fee $200. No durations.</t>
  </si>
  <si>
    <t xml:space="preserve">Chemical Peels, Dermaplaning, Injectables(Botox/Filler/Lip/Cheek/Chin/Nasolabial/Jawline/Under-Eye), Deep Cleanse+LED Facial, Jet Brightening Facial, Laser Genesis, RF Skin Tightening, Laser Hair Removal (full body menu), Lymphatic Drainage, Microcurrent Cellulite Reduction, Microneedling(+Exosomes/Stem Cells/SkinPen), Anti-Aging Tx, Body Tx, Permanent Makeup(Lash Ext/Lip Blush/Powder Brows/Lash Lift/Brow Lamination), Microdermabrasion, Massage, Red Carpet Facial, Acne Facial, Body Peels.</t>
  </si>
  <si>
    <t xml:space="preserve">EMSculpt (signature, 30min/session, 4-session protocol, no price); Liquid Face Lift, Botox(+Men's), Fillers, NovaThread Lift, Lip Enhancement, Tattoo/PMU Removal(PicoSure), SculpSure, Laser Skin Resurfacing, Ultherapy, Laser Hair Removal, Organic Facials, Chemical Peels, IPL Photofacial, Vampire Facial(PRP), Microneedling, Facial Vein Removal, Brown Spot/Acne Scar/Stretch Mark Tx, IV Infusions — all no price. (Broader dravaliani.com menu already captured under clinic #3 in original 45.)
---</t>
  </si>
  <si>
    <t xml:space="preserve">European Classic Facial $155; Acne Facial $145; Oxygen Facial $185; Double Oxygen Facial $225; Signature Epicuren Facial $175; Glycolic Peel $75; Teen Facial $125; Back Facial $150; Seaweed Facial $155; Warm Mineral Facial $135; Microdermabrasion $155(alone)/$250(w facial)/$115(add-on); Omega/Enzyme Peel add-on $30; Medical Pedicure $150; Pedicure Plus $135; Manicure $40; Facial Waxing (Full Face $95, Brow $45, Cheeks/Lip/Chin $25 ea); Body Waxing (Full Leg+Bikini $135, Full Leg $85, Brazilian $85, Bikini $55, Full Arm $45, Underarm $25, Back Full $95/Half $65); Deep Tissue/Head/Neck&amp;Shoulder/Back/Swedish Massage $75(30min)-$120(60min); Foot Reflexology $75-120; Lash Tint $35; Brow Tint $25. No durations except massages.</t>
  </si>
  <si>
    <t xml:space="preserve">Laser Hair Removal 1-Yr Unlimited(1 sm+1 med+1 lg area) $2,500; Package A/B/C(6 sessions, tiered) price not rendered. Dermapen Microneedling, Laser Skin Rejuvenation, Teeth Whitening — pricing sections referenced but not exposed in static content. No durations.</t>
  </si>
  <si>
    <t xml:space="preserve">Dysport $5/u($3.67 member); Botox/Jeuveau $15/u($11); Letybo $14.50/u($10.50); GlowTox Peel $65-75($55-70); JLyft mini/full $2,199/$2,999; Lip/Cheek/Chin Filler $799 ea; Undereye Filler $849; Sculptra $899; Kybella $799; Neck Filler $1,499; Liquid Nose Job $999; Lip Flip/Gummy Smile $119; Microneedling Full Face $349(+Neck$100,+Exosomes$375); Body Microneedling $349; +HA Booster $749; PRP Microneedling $549; Sylfirm RF Face $899/Body $899; Xtherma Face $949/Face+Neck $1,149/Body $1,149-1,299; PRP Undereyes $599; PRP Hairloss $549; Subnovii $1,199; Sculptra/Radiesse BBL 5-vial $2,999/10-vial $5,599; Hand Filler $1,499; Photofacial $399(+$100-200 neck); ResurFx $449; PhotoFractional $499; Chemical Peels Classic $135/Elite $145/Intensive $165; Acne Steroid Tx $79; SmartLux Phototherapy $50; Body Tox(Letybo) Hyperhidrosis/Trap/Calf $900 ea; Semaglutide/Tirzepatide from $399/mo; TRT from $199/mo; NAD+ from $299/mo; B12/Skinny/VitD Shots $50-60; IV Drips $99-159; Lash Lift&amp;Tint $119; Brow Lamination&amp;Tint $119; Ultimate Lash&amp;Brows $199; Facial Waxing $35; Latisse $189; Spa Facials $179-229; Dermaplane $89; Med Office Visit $99(in-person)/$49(virtual). No durations. ~10-20% member discount broadly.</t>
  </si>
  <si>
    <t xml:space="preserve">Laser Hair Removal (call for pricing); IPL Photo Facial Face $400(4pk $1,200); Microneedling Face $250(4pk $800); Facials $150-229; Dermaplaning (no price, included w/select facials). No durations.</t>
  </si>
  <si>
    <t xml:space="preserve">Botox/Dysport, Dermal Fillers, PRF/PRP, Sclerotherapy, Microneedling, Kybella, PDO Thread Lift, Chemical Peels, Plasma Fibroblast, HIFU, BHRT (no price); IV Infusions from $159; Microdermabrasion Facial $300; Oxygen Infusion Facial $300; Deep Pore Cleansing/European Facial $300(60min); Dermaplaning Facial $250(50min); Hydrafacial w/LED&amp;O2 $300(60min); Microcurrent Facelift $300; Microneedling(facial) $300; Peel&amp;Glow(glycolic) $250(50min); TCA Depigmentation Peel $250(30min); RF+Microneedling $600/+HA $700/+PRF $900.</t>
  </si>
  <si>
    <t xml:space="preserve">Platinum Lymphatic HydraFacial MD $350(75min); Deluxe Glow HydraFacial MD $275(60min); Deep Cleansing Extraction Facial $219(45min); Collagen Facelift Facial $350(75min); Vitamin C Brightening Facial $350(75min); Dermaplaning Glow Facial $219(45min); Meridian Lymphatic Facial $219(45min); Oxygenating Acne Facial $275(60min); Lymphatic Lift&amp;LED $250(45min); Lymphatic Contour&amp;Hydration $300(60min); Ultimate Lymphatic Radiance $350(75min); Fotona 4D Anti-Aging Facelift $1,200/session; Fotona 4D Active Acne+Scar $799; Fotona 4D Smooth Eye/Neck $699; Fotona LipLase $499; Fotona HAIRestart $499; Fotona Laser Facial(intro) $499; Fotona Spider Vein/Skin Tag/Mole Removal (no price); PiQo4 Pigment Full Face $799/Spot $499; PiQo4 Eyebrow Tattoo Removal $299; POTENZA RF Microneedling (consult-priced, 30-75min); DENSITY High-Freq Lifting $2,500(1hr); Meridian Lymphatic Drainage Massage $200(60min); Classic Swedish Massage $200(60min); Deep Tissue Acupressure $250(60min); Laser Hair Removal from $49/session; Permanent Makeup (no price).</t>
  </si>
  <si>
    <t xml:space="preserve">Essential Facial $118+(45min)/$145+(60min); Back Facial $145+(60min); add-ons LED $32(15min)/$52(30min), Casmara Mask $50, Enzyme Peel $24, Glycolic/Lactic/Salicylic Peel $40, Ultrasound Peel $32/+Infusion $52, Dermaplaning $62, Eye Tx $42, JetPeel Infusion $75; various facials (no individual price); HydraFacial Deluxe $250/+Mini $345, Platinum $325/+Mini $420 (~30min+); Laser Hair Removal by area (Full Legs $280, Bikini $130, Brazilian $180, Underarms $80, Full Face $220, Full Back $260, Chest $180; 3pk 20% off); Waxing by area (Full Leg $71, Brazilian $71, Underarms $24, Full Face $85, Lip $20); Massages (Swedish/Deep Tissue/Hot Stone/Aromatherapy/Prenatal/CBD/Reflexology/Myofascial, no price); Nails (various, no price); Medical Aesthetics (Botox/Voluma/Juvederm/Sculptra via Dr. Kim) — $50 consult fee deductible, no per-procedure price. Microneedling no price.</t>
  </si>
  <si>
    <t xml:space="preserve">CoolSculpting, Zerona, Endermolift, Injectable Fillers(Botox/Dysport/Xeomin/Juvederm+others), HCG Diet, Ulthera, Venus Freeze, Cyber Body Slim, HydraFacial, Emsculpt.</t>
  </si>
  <si>
    <t xml:space="preserve">Ultherapy (focused ultrasound lift/tighten face/neck/brow/decolletage) — no price, no duration. Single-treatment practice, no other services.</t>
  </si>
  <si>
    <t xml:space="preserve">Botox, Dysport, Xeomin, Jeuveau, Juvederm, Restylane, Radiesse, Belotero, Silikon 1000, Renuva; Fraxel Restore Dual, Clear+Brilliant, PIQO4, Vivace, Cutera, AviClear, Helix CoolPeel, Hydrafacial; MyEllevate, FaceTite, Sublime; Liposuction, TruSculpt ID, EMsculpt Neo, Emtone, QWO, Kybella; PRP Hair, Alma TED, Stem Cell Tx, Lightsaber Diode LHR; spa tx, spider vein tx.</t>
  </si>
  <si>
    <t xml:space="preserve">BioRePeel, DiamondGlow, Hydrafacial, Morpheus8, VI Peel; Clear+Brilliant, Lumecca IPL; Botox&amp;Wrinkle Relaxers(results last 3-4mo; areas: forehead/glabella/crow's feet/bunny lines/lip flip/masseter/underarms), Dermal Fillers, Kybella, Plasma Injections, Sculptra; Emsculpt NEO, Emsculpt Body Toning, truSculpt iD, CoolTone; Keravive, Laser Hair Removal, Plasma Hair Restoration. Free consult valued "$300."</t>
  </si>
  <si>
    <t xml:space="preserve">Chemical Peels(Glycolic/Salicylic/TCA/Jessner/Vi Peel/PRX-T33), Dermal Fillers(Juvederm/Voluma/Restylane/Versa/RHA/Sculptra/Volbella), Hair Rejuv(PRP/PRF/exosomes/LLLT/Nutrafol/genetic testing), IPL, Kybella, Medical Grade Skincare, Mesotherapy, Microneedling, Morpheus8, Neurotoxins, PDO Threads, Salmon DNA, Biofill PRF, HA Injections, Perineural Injections, PRFM Therapy, Supershot w/Exosomes, Peptides, Stem Cells.</t>
  </si>
  <si>
    <t xml:space="preserve">Botox (15min injection, results 3-5days/full 7-10days, lasts 3-4mo, no price); Dermal Fillers(15-45min, lasts 6-18mo, no price - "per syringe, provided during consultation"); Lip Filler, Microneedling, PRP Facial, Body Contouring, Lymphatic Drainage, Wood Therapy, Venus Legacy, Endosphere Therapy, IV Therapy, B-12/Nitro-Amino/Tri-Immune/Vitamin D/Lipo-Stat Injections, Concierge Urgent Medical Consult, day spa facials/massage — no price/duration. (Homepage pricing widget is unedited template placeholder text, excluded as unreliable.)</t>
  </si>
  <si>
    <t xml:space="preserve">Botox/Xeomin $9.99/unit new-client limited offer): Injectables(Botox&amp;Fillers), Kybella, Laser Treatments, Micro-Needling, Microdermabrasion Facial(MedPro 4-in-1), T-Shock Body Contouring, Weight Management, IV Infusion Therapy.</t>
  </si>
  <si>
    <t xml:space="preserve">Botox $14/u(first-time $8/u,20u min); Dysport $7/u(first-time $4.50/u,60u min); Xeomin $12/u(first-time $7/u,20u min) — results last 3-4mo; Signature/Deluxe HydraFacial 30min $170(1x)/$480(3x)/$700(6x), first-time promo $159/$209; European Deep Cleansing Facial, Dermaplaning+Oxygen Facial, Lifting Microcurrent Facial, Oxygen Purifying Facial, Carbon Laser Facial, Signature Bespoke Facial (no price); Buccal&amp;Facial Sculpting Massage, Sculpting&amp;Lifting Face Massage, Intra Oral Buccal Massage (no price); Body Contouring, Cellulite Tx, Vacuum Butt Lift, Skin Tightening, Lymphatic Massage, Liquid BBL (no price); Botox Lip Flip, Gummy Smile Correction, Brow Lift w/Botox, Masseter Botox, Hyperhidrosis Tx, Dermal Filler, Lip Fillers, Rejuran(Salmon PDRN), PRP (no price); Microneedling(+BioRePeel/+Exosomes/SkinPen) (no price); BioRePeel/Retinol Chemical Peel (no price); Microblading/Lip Liner/Lip Blush/Ombre Powder Brows PMU (no price).
---</t>
  </si>
  <si>
    <t xml:space="preserve">Botox, Dermal Fillers, PDO Thread Lift, Smooth Threads, Skinvive, Kybella, Biostimulators, Chemical Peels, Microneedling, Filler Dissolving, PRF Treatments.</t>
  </si>
  <si>
    <t xml:space="preserve">Ariessense(regenerative HA/growth-factor) $1,500; Exosome Therapy-Hair $3,200; Exosome Therapy-Face $1,200; Salmon DNA Microneedling $1,200; Undereye Injections(Salmon DNA) $1,600(+fee neck/chest); Initial Wellness Consult $300; B12 Boost $90; NAD+ $150; Glutathione Glow $90; B12+NAD+ Combo $150. Also (image-based pricing, unreadable): Botox, Dermal Fillers, Kybella, Sculptra, RF Microneedling, Fractional CO2 Laser, Chemical Peels(VI/Cosmelan), Biologique Recherche Facials. No durations.</t>
  </si>
  <si>
    <t xml:space="preserve">Botox, Restylane/Juvederm/Dysport/Restylane Kysse, PDO Thread Lifts, Laser Hair Removal, Spider Vein Removal, CoolSculpting, Emsculpt NEO, Ultrasonic Cavitation, SmoothShapes Cellulite, Butt Lift, Bikini Brite/VI Peel, PRP Microneedling, Microdermabrasion, Hydra-Facial, Guinot Facial, Fibroblast Plasma Skin Tightening, Gua Sha Face Lift, Microcurrent Tx, Omega Light LED, Cyspera Pigment Correction, PRP Hair Restoration, Massages(Couples/Hot Stone/Hand Lymphatic/Swedish/Thai Herbal/Lymphatic Drainage Machine/Buccal Facial/Anti-Cellulite).</t>
  </si>
  <si>
    <t xml:space="preserve">Neurotoxin(Dysport/Jeuveau/Xeomin) $10/u std, $7/u new-patient; Botox ~$13/u; HA Fillers(RHA/Restylane/Juvederm) from $250/0.5mL; Radiesse $600/syringe; Laser Hair Removal Head-to-Toe Special 60% off(reg $945/session); PRP Hair Restoration, Medical Facials, DiamondGlow Facials, Chemical Peels (no price). No durations.</t>
  </si>
  <si>
    <t xml:space="preserve">Unknown — "Medical Aesthetics" specialty per CareCredit listing, no service menu available.</t>
  </si>
  <si>
    <t xml:space="preserve">Botox from $8/u; Botox Bank(200u) $1,800; Botox 20u Forehead/Eyes $239; Masseter Botox $75+cost; Lip Flip Botox $75+cost; Dysport from $3.30/u; Dysport 60u $220; Facial Fillers(Juvederm/Restylane/Radiesse/Versa) from $400-500; Smile Lines Filler $650; Under-Eye Filler $799; Radiesse Filler $799; Ultherapy Under-Chin from $699; Ultherapy Full Face+Peel $1,799; Ultherapy Face&amp;Neck from $1,799; PDO Thread Lift from $350; PDO 20-count Twist Jawline Lift $899; CryoNIP Fat Reduction from $450; Microneedling w/Salmon DNA(PureFace) $599; PRP Tx/PRP Eclipse from $600; Rejuran Salmon DNA Facial from $500; Weight Control/B12 Injections from $69-250; 10 Lipo-Shots Pkg $499; IV Therapy (no price). No durations.</t>
  </si>
  <si>
    <t xml:space="preserve">Botox $16/u; Dysport $16/u; Xeomin $16/u; Baby Botox (no price); Filler(nasolabial/temples/lips/chin-jaw/cheeks/tear troughs) (no price); Morpheus8(face+body), Lumecca IPL, Forma Facial, Evolve X Trim-Tite-Tone(Trim/Tite/Tone), Laser Hair Removal(DiolazeXL), PRP Hair Restoration, Medical Weight Loss (no price). No durations.</t>
  </si>
  <si>
    <t xml:space="preserve">Botox/Dysport, Lip Filler, Under-Eye Filler, Dermal Filler, Rejuran x Microneedling, Sculptra, Kybella, BBL(BroadBand Light), PDO Thread Lift, Skinvive, Masseter/teeth-grinding Botox, Exclusive Packages.</t>
  </si>
  <si>
    <t xml:space="preserve">Chemical Peels(Glycolic/Salicylic/Micropeel/Nano/TNS Illuminize/Rejuvenize/Vitalize/ZO 3-Step); Microneedling(+RF), Dermaplaning; HydraFacial MD, Glass Facial, PRP Facial, PRP Glass Facial, Diamond Glow, Emface, PDO Threads; Botox, Dysport, Jeuveau, Juvederm, Kybella, Kysse, Radiesse, RHA, Sculptra, Versa, Voluma XC; Clear Silk Facial, Clear V Spot Correction, Forever Clear/Young BBL, HALO Resurfacing, Melasma Tx, MOXI, Sofwave, Spectra Carbon Facial, Spectra Soft Peel.</t>
  </si>
  <si>
    <t xml:space="preserve">Botox, Dysport, Cosmetic Fillers, InstaBalance Facial Balancing, Lip Augmentation, Restylane, Juvederm, Sculptra, Radiesse, PDO Thread Lift, Kybella; CoolSculpting, CoolTone, TruSculpt Flex, Ultherapy, Laser Hair Removal, RF Microneedling, Fractional/CO2/Sublative/Pixel Laser Resurfacing, Skin Tightening(RF/Exilis/Accent), Cellulite Tx(Aveli/Mesotherapy/Accent XL), Laser Tattoo Removal, Laser Vein Tx, Sclerotherapy, IPL Photofacial, Pigmentation Removal, Acne Tx(+Laser), Chemical Peel, Microdermabrasion, Microneedling, PRP Tx, Skin of Color Tx, Medical Weight Loss.</t>
  </si>
  <si>
    <t xml:space="preserve">Laser Hair Removal, Plasma Pen Skin Tightening, LaseMD Ultra Resurfacing, Potenza RF Microneedling, Diamond Glow, Jet Peels, Fire&amp;Ice, Oxygeneo, Microcurrent FaceLift, Laser Genesis, Micro-needling, IPL Photo Facial/Acne Clearance, RF Skin Tightening, Viora Cellulite Reduction, Keralase Hair Restoration, Clear+Brilliant, Hydrafacial Syndeo.</t>
  </si>
  <si>
    <t xml:space="preserve">HydraFacial $450+; Booster(facial add-on) $125+; Laser Facial $450+; Perk Lips $85+/Eyes $115+/Face $145+; SculpSure $375+/applicator(Submental $1,200+); Emsculpt $750+/session; LaseMD $1,000+; CO2 Laser Face $3,500+, Vaginal Rejuv External $4,000+/Internal $4,250+; Eyebrow Microblading $850+(touch-up $350+); Semi-Permanent Makeup $1,025+(2 sessions); V-Shape Ultra(Alma) $650+; Electrolysis 15min $125+/30min $225+/1hr $325+; Icon Fraxel sm $600/med $1,500/lg $1,850/Full Face $1,500; IPL Photofacial $475+; Laser Hair Removal (extensive area price list): Abdomen $250, Areola $125, Underarms $150, Bikini $225, Extended Bikini $275, Brazilian $350, Buttocks $350, Chest $450, Feet $150, Hands $150, Half Arms $250, Full Arms $400, Full Back $500, Male Brazilian $425, Navel $150, Shoulders $325, Scalp $350, Forehead Line $150, Full Forehead $225, Eyebrows $135, Cheeks $175, Upper Lip $125, Chin $185, Extended Chin $225, Jaw Line $215, Nose $125, Sideburns $185, Ears $115, Neck Front/Back $175, Full Neck $350, Stomach Line $125, Lower Back $185, Full Legs $450, Half Legs $275, Inner Thighs $225, Full Face $375.</t>
  </si>
  <si>
    <t xml:space="preserve">Wrinkle Relaxers/Neuromodulators, Dermal Fillers, SkinVive, Sculptra, Kybella, Hyaluronidase Dissolver, PRF+PRF Gel, PRP, PDRN, PDGF; Lumecca IPL, AviClear(3x 30min sessions), Clear+Brilliant, Laser Genesis, Excel V+, CoolPeel, Deka SmartXide DOT CO2, Thermage(~1hr), Fractora, Fraxel, Ulthera, Morpheus8; CoolSculpting(35-45min/cycle, 2-4 cycles); Chemical Peels; Virtue RF Microneedling, Aquagold(15-30min), SkinPen(30min-1hr); Eyebrow Microblading(~2hrs+touchup); Biologique Recherche Signature Facial.</t>
  </si>
  <si>
    <t xml:space="preserve">microneedling, acne scar removal, plasma pen skin tightening, permanent makeup, buccal massage, facials(30-75min), Botox, fillers, laser treatments, PRP, IPL.
---</t>
  </si>
  <si>
    <t xml:space="preserve">Facials(European Cleansing/Signature/Deep Pore/Sensitive Skin/Brightening/Oxygen/Red Carpet/Hydraworks); Vacuum Butt Lift, Body Scrub, Body Wrap; Microcurrent, LED Light Therapy+O2, Crystal Microdermabrasion, Dermaplaning, Buccal Massage, Laser Carbon Peel, Chemical Peel, Microneedling, Plasma Pen; Acne program; PMU(Microblading/Micropigmentation/Eyeliner/Lip Tattoo/Lash Line); Botox, Dysport, Xeomin, Juvederm Voluma/Volbella, Restylane, Radiesse, Sculptra, Kybella, PDO Thread Lift, PRP; Skin tag/lesion removal(Sun Spots/Spider Capillaries/Skin Tags/Fibromas/Cholesterol Deposits/Cherry Angioma). Memberships: $76/mo(alt 30/50min facial), $89/mo(monthly 50min facial), $130/mo(monthly 75min facial).</t>
  </si>
  <si>
    <t xml:space="preserve">3D HIFU, Cryolipolysis, InMode BodyFX, InMode MiniFX, VelaShape III, LPG EndermoLift, LPG Endermologie M6, IPL, Picosecond Laser, Jet Peel, Herbal Peel, Oxygen Injection, Micro-Current, Cosmetic/Facial Acupuncture; Agnes RF Under-Eye/Skin Restoration $3,100 list/$930 Groupon; Focused Ultrasound Skin Tightening(Face&amp;Neck) $800 list/$240 Groupon. No durations.</t>
  </si>
  <si>
    <t xml:space="preserve">Secret RF Microneedling+Fractional RF, Vivace Microneedling RF, Microneedling+Marine Stem Cell, Plasma Fibroblast Needling, Stretch Mark&amp;Scar Removal, VI Peel/Chemical Peel, HydroGold Mesobotox, AquaGold Fine Touch, Vitiligo/Alopecia Camouflage, Acne Tx+Microneedling, HydroFacial+Microneedling, Dark Spot Removal+Microneedling; Botox, Juvederm, Restylane, Dysport, Sculptra, Belotero, Radiesse, PRP.</t>
  </si>
  <si>
    <t xml:space="preserve">Botox, Dysport, Juvederm, Restylane(+Refyne), Kybella, Vi Peel, PDO Thread Lift, PRP/PRF Facial.</t>
  </si>
  <si>
    <t xml:space="preserve">Botox, Dermal Fillers(HA), Medical-grade Chemical Peels, PRP Hair Thinning/Loss Tx, Hormone Pellet Therapy/BHRT, Medical Weight Loss/Lifestyle Mgmt, P-Shot(ED), O-Shot(vaginal dryness/libido).</t>
  </si>
  <si>
    <t xml:space="preserve">Oxygen Hydra Facial/Three-Step Ultimate Brightening/Customized/Lymphatic Facial $125(promo $59); Swedish Massage $185(promo $79); Body Tx small $200/medium $250/large $350. Also (no price): Mesotherapy, Skin Tightening, Anti-Wrinkle Injections, Microneedling, Laser Hair Removal. No durations.</t>
  </si>
  <si>
    <t xml:space="preserve">Address: 100 Orchard St, New York, NY 10002 (LES) — only third-party directory listing exists, no service menu, phone is atypical toll-free number, unverified.</t>
  </si>
  <si>
    <t xml:space="preserve">Botox, Regenerative Aesthetics(Skin Rejuv), Hair Restoration, Stem Cell Facials, Chemical Peels, Timeless Facials, Nourishing Body Work, Head Spa Rituals; Hormone Optimization, Medical Weight Management, Peptide Therapy, Targeted Nutrient Therapy(IV/IM), Advanced Diagnostics(Labwork/VO2 Max/RMR/DEXA/Sleep Study/CGM/Full Body MRI).</t>
  </si>
  <si>
    <t xml:space="preserve">Botox Techniques(Cat Eye/Ptosis/Neck Lift/Bell's Palsy Retraining/Jaw Tox/Forehead/Crow's Feet/Brow Lift M&amp;W/Brow Shape/Jelly Roll), Filler Techniques, Lifting Techniques, Skin Techniques, Body&amp;Hair Techniques, Corrections, Facial Treatments.</t>
  </si>
  <si>
    <t xml:space="preserve">Botox $300-600/area(10-20min); Injectable Refresh Pkg(40u neurotox+1 filler syringe+2wk touchup) $1,500; Glass Skin Protocol(3 microneedling+3 skin booster+3 red-light+medical mask) $2,400. Also (no price): Dysport, Dermal Fillers, Kybella, Sculptra, Morpheus8, Microneedling, Dermaplaning, Lumecca IPL, PRP Therapy, Ozempic Face Tx, PRP Scalp Injection, Diolaze XL LHR, LED Light Therapy, PDO Thread Lift, BHRT, Peptide Therapy, Functional Medicine Consult, 3X4 Genetic Test, Galleri Cancer Screening, Prenuvo Whole-Body MRI, Menopause Tx, Weight Loss Program, IV Therapy(12 types), Wellness shots(5 types).</t>
  </si>
  <si>
    <t xml:space="preserve">Neurotoxin injectables, Dermal Fillers/skin-perfecting injectables, Kybella, Venus Freeze, HydraFacial, Skin Rejuvenation/Tightening, RF Resurfacing, Redness/Hyperpigmentation Tx, Laser Hair Removal, Body Contouring.</t>
  </si>
  <si>
    <t xml:space="preserve">Botox(+Dysport/Daxxify/Jeuveau alt), Clear+Brilliant, Dermal Fillers(HA), Exion RF Microneedling, Double Chin Lipo, EMFace, EMSculpt(+NEO), EMSella, EMTone, Excel V+, Fraxel Laser, Kybella, Laser Genesis, PRP&amp;PRFM, RF Face&amp;Body, Secret Pro, Sofwave, Skin Tightening, TruFlex, TruSculpt, Under Eye Filler.</t>
  </si>
  <si>
    <t xml:space="preserve">PMU(Microblading/Lip Tattoo/Lash Line/Eyeliner Tattoo/Micropigmentation), Vacuum Butt Lift, Botox, Dysport, Juvederm, Restylane, Refyne, Kybella, Vi Peel, PDO Thread Lift, PRP/PRF Facial, Plasma Pen Tx, Carbon Laser Peel, Customized/Deep Pore Cleansing/Acne/Microcurrent/LED Light Therapy/Ultimate Deep Pore/Signature Facial, Microneedling Skin Repair, Dermaplaning, Crystal Microderm w/Oxygen, Hydroworks Facial, Buccal Massage.</t>
  </si>
  <si>
    <t xml:space="preserve">New Patient Consult $50(20min); Returning Patient Consult $0(20min); Medical Director Consult(Dr. Harim Kim) $400(30min); Trap Tox/Calf Tox(100u body contouring) $999(promo $799); Skin Dermotoxin+Rejuran Pkg(2cc) $698(promo $499). Also (no price): Wrinkle Reducer, Pigmentation Care, Skin Tightening, Acne/Redness Tx, Pore/Scar/Texture Tx, Mole/Skin Tag Removal, Laser Hair Removal, Rejuran/Juvelook/Exosome injectables, Kybella, Filler&amp;Biostimulator, Thread Lifting, Scalp/Hair Care.</t>
  </si>
  <si>
    <t xml:space="preserve">Essential Glow Facial $175; Advanced Skin Renewal Facial $275; Lush Signature Facial(Dermaplane+LED) $395; Classic HydraFacial $295; Deluxe HydraFacial $350; Platinum HydraFacial $450; Microneedling(SkinPen) $650(3pk $1,800); Glycolic Peel $195; Lactic Peel $225; TCA Peel $275; BioRePeel $350; Botox(per area) $300; Lip Filler $800; Dermal Fillers $750+; Thread Lift(per area) $1,500/Full Face $4,500; Fat Dissolving Injections $450; Hydration IV $149; Vitamin C IV $199; Glow Drip $225; Immunity Boost IV $250; Performance Drip $275; Recovery(Hangover) IV $225; Elite Athletic IV $275; EMS Sculpt $250; Cavitation $150; I-Lipo $250; Wood Therapy $100; Laser Lipolysis $600; Semaglutide $450/mo; Tirzepatide $650/mo; Skinny Shot $75; Forma V(women's health) $800; O-Shot $1,500; Dermaplane add-on $75; LED Therapy add-on $50; Cryotherapy add-on $75; VIP Membership $199/mo(1 facial+15% off injectables). Also (no price): Liquid BBL, Lip Flip, PRP, Bellafill, Jeuveau, Plasma+RF, IPL Therapy, Laser Skin Tightening, Laser Tattoo Removal, Scar&amp;Stretch Mark Tx, Hyperpigmentation Tx, Carbon Peel, Booty Facial, HRT, Peptide Optimization, Nutrafol, Injectable Vitamins. No durations published for any item.</t>
  </si>
  <si>
    <t xml:space="preserve">Body Scrub, Body Wrap, Spa Treatments (no price). Third-party mentions (unconfirmed): acne tx, aesthetics, anti-aging, body contouring, Botox, fillers, laser hair removal, microneedling, IV therapy.</t>
  </si>
  <si>
    <t xml:space="preserve">Colonic $180 single($160ea 3pk=$480,$155ea 6pk=$930, 45min); Deep Pore Detox Facial $135(45-60min); DMK Enzyme Facial $210(45-60min); HydraFacial $200(45-60min); Exfoliation Body Glow $129(45-60min); VI Peel $400(45-60min); Microneedling $275(45-60min); RF Skin Tightening $275(45-60min); Salmon DNA Facial $550(45-60min); PRP Vampire Facial $500(45-60min); Botox $14/u(~$280/20u one area,~$560/40u two areas,~$840/60u three areas, lip flip ~$56-84/4-6u, underarm sweat ~$700/50u, ~20min); Signature IV $199(15min-1hr); Super Energy/Super Immune/Beauty/Metabolism/Detox IV $299 ea(15min-1hr); B12/VitD injection $65 ea; Lymphatic Drainage $145/45min session; Post-Op Lymphatic Recovery $185/session(10pk $1,500); DMK Body Masque add-on $45; Weight Mgmt(GLP-1) (no price); Hormone panels/replacement (no price, Wellness Exam $200); Membership (price not listed).</t>
  </si>
  <si>
    <t xml:space="preserve">Complexion Reviving Facial, Dermaplaning Facial, DMK Enzyme Tx, Face Reality Acne Boot Camp, GlyMed Plus Chemical Peel, HydroExfoliator, Laser Genesis, Microneedling, Pore Purifying Facial, Acne Back Peel, Stretch Mark Removal, Laser Hair Removal, Dermal Fillers, Consultation(+virtual). | PRICING (email reply 8/14/26): First-time client consultation + treatment session starting at $200 (treatment determined based on skin concerns).</t>
  </si>
  <si>
    <t xml:space="preserve">Non-Surgical Body Contouring/Body Sculpting, Laser Lipolysis(as little as 10min/session), Vacuum Butt Lift Tx(w/dermal fillers), Manual Lymphatic Drainage, Post-Surgical/Post-Op Recovery Massage(+mobile option), Body Slimming Massage, Taping Wraps/Body Wraps(Ice Sculpting w/Mud, Yesotherapy Cast Wrap), Facial Rejuvenation, Lashes&amp;Makeup, Waxing&amp;Intimate Bleaching, Cryotherapy, Body Scrub/Wrap, group body-contouring training courses.</t>
  </si>
  <si>
    <t xml:space="preserve">Laser Hair Removal Upper/Lower Body $89(also shown $45 elsewhere on same page - price inconsistency flagged); YAG Laser session 45min, Diode Laser session 25min. Also (no price): Clear Skin Laser Facial, Skin Rejuvenation Laser Facial, Manual Lymphatic Drainage Facial, Zen Express Laser/Organic Facial, Back Facial, Microdermabrasion(Detox Ritual/Zen Body/Just Micro), Zen Detox Footbath, Zen Eye Tx add-on, men's skincare line. $50 cancellation/deposit fee sitewide.</t>
  </si>
  <si>
    <t xml:space="preserve">Dermal Fillers(Juvederm/Restylane) for Lips/Cheek-Midface/Nasolabial/Marionette/Oral Commissures; Wrinkle Relaxers(Botox/Xeomin/Daxxify) for Crow's Feet/Glabella/Forehead; Laser Hair Removal(Face/Underarms/Legs/Bikini/Arms/Chest-Back/Neck, typically 6-8 sessions 4-6wks apart); Facials(+microneedling/CIT, every 4-6wks); VI Peel; Concierge Services. Payment plans offered.
---
# EXCLUSIONS CONFIRMED DURING FULL RESEARCH (not actually Manhattan businesses, or not med spas):
- Aspen Prime MedSpa (#96) — Hoboken, NJ
- Lotus Haven Medspa (#102) — no Manhattan presence found, only Hoboken/Jersey City NJ same-name business
- Luvit Beauty Bar Med-Spa (#113) — Hoboken, NJ
- Endless Youth Med Spa (#116) — Williamsburg, Brooklyn
- Women's Health &amp; Wellness Med (#120) — OB-GYN practice, not a med spa (likely Maps miscategorization)
- Dr. WW MedSpa &amp; Laser Center (#83) — address (414 E 59th St) could not be confirmed on the business's own site, which lists only Chinatown/Queens/Brooklyn locations; excluded pending verification (kept as a flagged/unconfirmed note rather than a full entry)
Net new Manhattan clinics confirmed and added: 128 researched − 6 excluded = 122 new clinics.</t>
  </si>
  <si>
    <t xml:space="preserve">Pricing Status</t>
  </si>
  <si>
    <t xml:space="preserve">Website Verification (live check)</t>
  </si>
  <si>
    <t xml:space="preserve">Manhattan / 727 6th Ave, NY 10010</t>
  </si>
  <si>
    <t xml:space="preserve">Botox, Dermal Fillers, Lip Enhancements, HydraFacial, Laser Facial/Genesis, Pico Genesis, Microneedling w/PRP, Ultherapy, CoolSculpting, EmSculpt, Kybella, Laser Vein Therapy, Laser Hair Removal, Tattoo Removal, IV Therapy. No pricing published on site (only vague bundle promo).</t>
  </si>
  <si>
    <t xml:space="preserve">None published - outreach sent</t>
  </si>
  <si>
    <t xml:space="preserve">Website checked live (Chrome): no email published anywhere on site, only phone (212) 433-4526 + contact form. info@glamoi.com UNVERIFIED.</t>
  </si>
  <si>
    <t xml:space="preserve">PRICING PUBLISHED: Laser Hair Removal $99-649/session; Tattoo Removal $82-420/session; Botox $15/unit ($10/unit bulk); Xeomin $12/unit; Juvederm lips $450, face $450-900, cheeks $750-1500; Clear+Brilliant $500 ($375 6-pack); Potenza RF Microneedling $900 ($675 6-pack); SkinPen $400 ($300 6-pack); Rejuran $778 ($584 6-pack); Hydrafacial $200 ($170 6-pack); Thermage $1500; CoolSculpting $550/tx; Glutathione $55; B12 $45</t>
  </si>
  <si>
    <t xml:space="preserve">Published - no outreach needed</t>
  </si>
  <si>
    <t xml:space="preserve">Website checked live: found actual contact email hello@laseraway.net on /contact/ page (corrects contact@laseraway.com).</t>
  </si>
  <si>
    <t xml:space="preserve">Laser Facials (Signature Laser Facial, Thermo-Fractional Facial, BBL). Distinct business from existing "Skin Spa New York". Could not verify pricing (JS-rendered site).</t>
  </si>
  <si>
    <t xml:space="preserve">Unverified - outreach sent</t>
  </si>
  <si>
    <t xml:space="preserve">Website checked live: mailto link shows hello@skinlaundry.com, but original outreach to info@skinlaundry.com was CONFIRMED delivered - auto-reply received from Zendesk support ticketing (ticket #81509), replying from hello@skinlaundry.com. Both addresses appear to route to the same support queue.</t>
  </si>
  <si>
    <t xml:space="preserve">Williamsburg / 135 N 9th St, 11249</t>
  </si>
  <si>
    <t xml:space="preserve">PRICING PUBLISHED: Pico Tattoo Removal 5 sessions $1000-2000; Hydrafacial+Morpheus8 combo $1399; PRP Hair/Under-Eye (3 tx) $1499; Aquagold w/PRP $600; Lip Filler 0.5cc $500; Lip Blushing $399; Microneedling+PRP (3tx) $1499; Under-Eye Filler $850; Trusculpt ID $1549; Trusculpt Flex $1800</t>
  </si>
  <si>
    <t xml:space="preserve">Website support@purelynaturalspa.com CONFIRMED correct - found in visible page text on live site.</t>
  </si>
  <si>
    <t xml:space="preserve">Williamsburg / 251 N 5th St, 11211</t>
  </si>
  <si>
    <t xml:space="preserve">PRICING PUBLISHED: Botox $14/unit, Xeomin $12/unit; Restylane $825-900; Juvederm Volbella/Voluma $950; SkinPen $450 ($800-950 w/PRP); PRP $450-1000; PRX Peel $400; Kybella $600/vial; Hydrafacial $165-299; Facials $200-225; IV Therapy $225-475; Medical Weight Loss $349-999/mo</t>
  </si>
  <si>
    <t xml:space="preserve">Website checked live: found actual contact email info@modmd.com on /contact-us page (corrects hello@modmd.com, which is not published - only jobs@modmd.com found).</t>
  </si>
  <si>
    <t xml:space="preserve">Cryotherapy, Red Light Therapy, Infrared Sauna, IV Drip Therapy, NAD+/Niagen, Hyperbaric Oxygen, Hydrafacial, Marini Peels, Keravive, Neveskin. Site explicitly states no fixed pricing published ("varies per location").</t>
  </si>
  <si>
    <t xml:space="preserve">Website checked live: no email published anywhere, corporate contact page only has form/phone. williamsburgny@restore.com UNVERIFIED.</t>
  </si>
  <si>
    <t xml:space="preserve">Williamsburg / 125 Metropolitan Ave, 11249</t>
  </si>
  <si>
    <t xml:space="preserve">PRICING PUBLISHED (national guide): Laser Tattoo Removal by size - XS $221, S $328, M $428, L $550, XL $650, XXL $743 per session</t>
  </si>
  <si>
    <t xml:space="preserve">Website checked live: found actual contact email care@removery.com on /contact-us/ page (corrects info@removery.com).</t>
  </si>
  <si>
    <t xml:space="preserve">Botox, Dysport, Jeuveau, Fillers, RF/standard Microneedling, PRP, Ultherapy, Chemical Peels, Acne Treatment, Laser Hair/Tattoo Removal, Mole Removal, CO2 Laser, Clear+Brilliant, Sclerotherapy. Insurance-based derm practice; no pricing published. Contact routes through support ticket/phone (212) 385-3700 rather than direct email.</t>
  </si>
  <si>
    <t xml:space="preserve">Website checked live: no email published, insurance-based practice routes to phone (212) 385-3700 / support ticket system only. contact@thedermspecs.com UNVERIFIED.</t>
  </si>
  <si>
    <t xml:space="preserve">Lov MedSpa Brooklyn</t>
  </si>
  <si>
    <t xml:space="preserve">Brooklyn Heights / 1 Boerum Pl Ste 252, 11201</t>
  </si>
  <si>
    <t xml:space="preserve">https://lovmedspa.com</t>
  </si>
  <si>
    <t xml:space="preserve">Botox &amp; Neurotoxins, Dermal Fillers (RHA/Restylane), RF Microneedling, PDO Thread Facelift, Liquid BBL, Medical Weight Loss (Semaglutide). Service categories listed but no dollar figures.</t>
  </si>
  <si>
    <t xml:space="preserve">MERGED (8/14/26): This is the same business as "LovMedSpa" already tracked in Clinics Overview (Chelsea location, row 24 originally) - domain lovmedspa.com matched on both. Merged into that single row rather than double-counted; this row kept for research trail only.</t>
  </si>
  <si>
    <t xml:space="preserve">Brooklyn Heights / 239 Court St, 11201</t>
  </si>
  <si>
    <t xml:space="preserve">Laser Hair Removal, IPL Photofacial, Laser Skin Resurfacing (Nordlys), Sublative/Sublime RF, Profound Skin Tightening, Pico Laser, Morpheus8, Sofwave, Medical Facials, Neuromodulators, Fillers, Sclerotherapy, Ultherapy, PRP, ThermiVa, Kybella, PDO Threads, CoolSculpting, IV Therapy. "20% off first treatment" promo but no base prices.</t>
  </si>
  <si>
    <t xml:space="preserve">Website checked live: loads fine, contact page has no email, phone-only. info@khrommedspa.com UNVERIFIED.</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</si>
</sst>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i val="true"/>
      <sz val="10"/>
      <color rgb="FF6B7280"/>
      <name val="Arial"/>
      <family val="0"/>
      <charset val="1"/>
    </font>
    <font>
      <b val="true"/>
      <sz val="10"/>
      <color rgb="FF374151"/>
      <name val="Arial"/>
      <family val="0"/>
      <charset val="1"/>
    </font>
    <font>
      <b val="true"/>
      <sz val="16"/>
      <color rgb="FF2563EB"/>
      <name val="Arial"/>
      <family val="0"/>
      <charset val="1"/>
    </font>
    <font>
      <b val="true"/>
      <sz val="13"/>
      <color rgb="FFFFFFFF"/>
      <name val="Arial"/>
      <family val="0"/>
      <charset val="1"/>
    </font>
    <font>
      <b val="true"/>
      <sz val="10"/>
      <color rgb="FFFFFFFF"/>
      <name val="Arial"/>
      <family val="0"/>
      <charset val="1"/>
    </font>
    <font>
      <sz val="10"/>
      <color rgb="FF111827"/>
      <name val="Arial"/>
      <family val="0"/>
      <charset val="1"/>
    </font>
    <font>
      <i val="true"/>
      <sz val="8"/>
      <color rgb="FF6B72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Arial"/>
      <family val="0"/>
      <charset val="1"/>
    </font>
    <font>
      <sz val="10"/>
      <name val="Arial"/>
      <family val="0"/>
      <charset val="1"/>
    </font>
    <font>
      <b val="true"/>
      <sz val="14"/>
      <name val="Arial"/>
      <family val="0"/>
      <charset val="1"/>
    </font>
    <font>
      <b val="true"/>
      <sz val="11"/>
      <name val="Cambria"/>
      <family val="0"/>
      <charset val="1"/>
    </font>
  </fonts>
  <fills count="7">
    <fill>
      <patternFill patternType="none"/>
    </fill>
    <fill>
      <patternFill patternType="gray125"/>
    </fill>
    <fill>
      <patternFill patternType="solid">
        <fgColor rgb="FFF3F4F6"/>
        <bgColor rgb="FFF9F9F9"/>
      </patternFill>
    </fill>
    <fill>
      <patternFill patternType="solid">
        <fgColor rgb="FF2563EB"/>
        <bgColor rgb="FF0066CC"/>
      </patternFill>
    </fill>
    <fill>
      <patternFill patternType="solid">
        <fgColor rgb="FF374151"/>
        <bgColor rgb="FF1F4E78"/>
      </patternFill>
    </fill>
    <fill>
      <patternFill patternType="solid">
        <fgColor rgb="FFF9FAFB"/>
        <bgColor rgb="FFF9F9F9"/>
      </patternFill>
    </fill>
    <fill>
      <patternFill patternType="solid">
        <fgColor rgb="FF1F4E78"/>
        <bgColor rgb="FF374151"/>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1"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general" vertical="top"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9F9F9"/>
      <rgbColor rgb="FFF3F4F6"/>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9FAFB"/>
      <rgbColor rgb="FFD9D9D9"/>
      <rgbColor rgb="FFFFFF99"/>
      <rgbColor rgb="FF99CCFF"/>
      <rgbColor rgb="FFFF99CC"/>
      <rgbColor rgb="FFCC99FF"/>
      <rgbColor rgb="FFFFCC99"/>
      <rgbColor rgb="FF2563EB"/>
      <rgbColor rgb="FF33CCCC"/>
      <rgbColor rgb="FF99CC00"/>
      <rgbColor rgb="FFFFCC00"/>
      <rgbColor rgb="FFFF9900"/>
      <rgbColor rgb="FFFF6600"/>
      <rgbColor rgb="FF6B7280"/>
      <rgbColor rgb="FF969696"/>
      <rgbColor rgb="FF003366"/>
      <rgbColor rgb="FF4F81BD"/>
      <rgbColor rgb="FF111827"/>
      <rgbColor rgb="FF374151"/>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Procedure Popularity (# clinics offering)</a:t>
            </a:r>
          </a:p>
        </c:rich>
      </c:tx>
      <c:overlay val="0"/>
      <c:spPr>
        <a:noFill/>
        <a:ln w="0">
          <a:noFill/>
        </a:ln>
      </c:spPr>
    </c:title>
    <c:autoTitleDeleted val="0"/>
    <c:plotArea>
      <c:barChart>
        <c:barDir val="bar"/>
        <c:grouping val="clustered"/>
        <c:varyColors val="0"/>
        <c:ser>
          <c:idx val="0"/>
          <c:order val="0"/>
          <c:tx>
            <c:strRef>
              <c:f>Dashboard!C10</c:f>
              <c:strCache>
                <c:ptCount val="1"/>
                <c:pt idx="0">
                  <c:v># Clinics Offering</c:v>
                </c:pt>
              </c:strCache>
            </c:strRef>
          </c:tx>
          <c:spPr>
            <a:solidFill>
              <a:srgbClr val="4F81BD"/>
            </a:solidFill>
            <a:ln w="12600">
              <a:solidFill>
                <a:srgbClr val="F9F9F9"/>
              </a:solidFill>
              <a:round/>
            </a:ln>
          </c:spPr>
          <c:invertIfNegative val="0"/>
          <c:dLbls>
            <c:numFmt formatCode="General" sourceLinked="1"/>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Dashboard!$B$11:$B$19</c:f>
              <c:strCache>
                <c:ptCount val="9"/>
                <c:pt idx="0">
                  <c:v>Botox / Neuromodulators</c:v>
                </c:pt>
                <c:pt idx="1">
                  <c:v>Dermal / Lip Fillers</c:v>
                </c:pt>
                <c:pt idx="2">
                  <c:v>Microneedling / RF Microneedling</c:v>
                </c:pt>
                <c:pt idx="3">
                  <c:v>Laser Hair Removal</c:v>
                </c:pt>
                <c:pt idx="4">
                  <c:v>HydraFacial</c:v>
                </c:pt>
                <c:pt idx="5">
                  <c:v>Chemical Peels</c:v>
                </c:pt>
                <c:pt idx="6">
                  <c:v>Kybella</c:v>
                </c:pt>
                <c:pt idx="7">
                  <c:v>Ultherapy</c:v>
                </c:pt>
                <c:pt idx="8">
                  <c:v>CoolSculpting</c:v>
                </c:pt>
              </c:strCache>
            </c:strRef>
          </c:cat>
          <c:val>
            <c:numRef>
              <c:f>Dashboard!$C$11:$C$19</c:f>
              <c:numCache>
                <c:formatCode>General</c:formatCode>
                <c:ptCount val="9"/>
                <c:pt idx="0">
                  <c:v>89</c:v>
                </c:pt>
                <c:pt idx="1">
                  <c:v>86</c:v>
                </c:pt>
                <c:pt idx="2">
                  <c:v>70</c:v>
                </c:pt>
                <c:pt idx="3">
                  <c:v>31</c:v>
                </c:pt>
                <c:pt idx="4">
                  <c:v>28</c:v>
                </c:pt>
                <c:pt idx="5">
                  <c:v>52</c:v>
                </c:pt>
                <c:pt idx="6">
                  <c:v>18</c:v>
                </c:pt>
                <c:pt idx="7">
                  <c:v>15</c:v>
                </c:pt>
                <c:pt idx="8">
                  <c:v>14</c:v>
                </c:pt>
              </c:numCache>
            </c:numRef>
          </c:val>
        </c:ser>
        <c:gapWidth val="40"/>
        <c:overlap val="0"/>
        <c:axId val="32753395"/>
        <c:axId val="6998619"/>
      </c:barChart>
      <c:catAx>
        <c:axId val="32753395"/>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 of clinics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98619"/>
        <c:crosses val="autoZero"/>
        <c:auto val="1"/>
        <c:lblAlgn val="ctr"/>
        <c:lblOffset val="100"/>
        <c:noMultiLvlLbl val="0"/>
      </c:catAx>
      <c:valAx>
        <c:axId val="6998619"/>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275339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xdr:row>
      <xdr:rowOff>0</xdr:rowOff>
    </xdr:from>
    <xdr:to>
      <xdr:col>17</xdr:col>
      <xdr:colOff>363240</xdr:colOff>
      <xdr:row>16</xdr:row>
      <xdr:rowOff>371520</xdr:rowOff>
    </xdr:to>
    <xdr:graphicFrame>
      <xdr:nvGraphicFramePr>
        <xdr:cNvPr id="1" name="Chart 1"/>
        <xdr:cNvGraphicFramePr/>
      </xdr:nvGraphicFramePr>
      <xdr:xfrm>
        <a:off x="11020320" y="1905120"/>
        <a:ext cx="6478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1" width="30"/>
    <col collapsed="false" customWidth="true" hidden="false" outlineLevel="0" max="3" min="3" style="1" width="16"/>
    <col collapsed="false" customWidth="true" hidden="false" outlineLevel="0" max="4" min="4" style="1" width="22"/>
    <col collapsed="false" customWidth="true" hidden="false" outlineLevel="0" max="5" min="5" style="1" width="16"/>
    <col collapsed="false" customWidth="true" hidden="false" outlineLevel="0" max="6" min="6" style="1" width="55"/>
  </cols>
  <sheetData>
    <row r="2" customFormat="false" ht="21.75" hidden="false" customHeight="true" outlineLevel="0" collapsed="false">
      <c r="B2" s="2" t="s">
        <v>0</v>
      </c>
    </row>
    <row r="3" customFormat="false" ht="15" hidden="false" customHeight="true" outlineLevel="0" collapsed="false">
      <c r="B3" s="3" t="s">
        <v>1</v>
      </c>
    </row>
    <row r="5" customFormat="false" ht="27.75" hidden="false" customHeight="true" outlineLevel="0" collapsed="false">
      <c r="B5" s="4" t="s">
        <v>2</v>
      </c>
      <c r="D5" s="4" t="s">
        <v>3</v>
      </c>
      <c r="F5" s="4" t="s">
        <v>4</v>
      </c>
      <c r="H5" s="4" t="s">
        <v>5</v>
      </c>
    </row>
    <row r="6" customFormat="false" ht="25.5" hidden="false" customHeight="true" outlineLevel="0" collapsed="false">
      <c r="B6" s="5" t="n">
        <f aca="false">COUNTA('Clinics Overview'!B2:B178)</f>
        <v>176</v>
      </c>
      <c r="D6" s="5" t="n">
        <f aca="false">SUMPRODUCT(--((ISNUMBER(SEARCH("full",'Clinics Overview'!G2:G178))+ISNUMBER(SEARCH("partial",'Clinics Overview'!G2:G178)))&gt;0))</f>
        <v>83</v>
      </c>
      <c r="F6" s="5" t="n">
        <f aca="false">B6-D6</f>
        <v>93</v>
      </c>
      <c r="H6" s="5" t="n">
        <f aca="false">COUNTA('All Procedures'!F2:F1163)</f>
        <v>1162</v>
      </c>
    </row>
    <row r="9" customFormat="false" ht="21.75" hidden="false" customHeight="true" outlineLevel="0" collapsed="false">
      <c r="B9" s="6" t="s">
        <v>6</v>
      </c>
      <c r="C9" s="6"/>
      <c r="D9" s="6"/>
      <c r="E9" s="6"/>
      <c r="F9" s="6"/>
      <c r="G9" s="6"/>
      <c r="H9" s="6"/>
    </row>
    <row r="10" customFormat="false" ht="15" hidden="false" customHeight="true" outlineLevel="0" collapsed="false">
      <c r="B10" s="7" t="s">
        <v>7</v>
      </c>
      <c r="C10" s="7" t="s">
        <v>8</v>
      </c>
      <c r="D10" s="7" t="s">
        <v>9</v>
      </c>
      <c r="E10" s="7" t="s">
        <v>10</v>
      </c>
      <c r="F10" s="7" t="s">
        <v>11</v>
      </c>
    </row>
    <row r="11" customFormat="false" ht="31.5" hidden="false" customHeight="true" outlineLevel="0" collapsed="false">
      <c r="B11" s="8" t="s">
        <v>12</v>
      </c>
      <c r="C11" s="9" t="n">
        <f aca="false">SUMPRODUCT(--((ISNUMBER(SEARCH("botox",'All Procedures'!F2:F1163))+ISNUMBER(SEARCH("dysport",'All Procedures'!F2:F1163))+ISNUMBER(SEARCH("xeomin",'All Procedures'!F2:F1163))+ISNUMBER(SEARCH("jeuveau",'All Procedures'!F2:F1163)))&gt;0))</f>
        <v>89</v>
      </c>
      <c r="D11" s="9" t="s">
        <v>13</v>
      </c>
      <c r="E11" s="9" t="s">
        <v>14</v>
      </c>
      <c r="F11" s="8" t="s">
        <v>15</v>
      </c>
    </row>
    <row r="12" customFormat="false" ht="31.5" hidden="false" customHeight="true" outlineLevel="0" collapsed="false">
      <c r="B12" s="10" t="s">
        <v>16</v>
      </c>
      <c r="C12" s="11" t="n">
        <f aca="false">SUMPRODUCT(--((ISNUMBER(SEARCH("filler",'All Procedures'!F2:F1163)))&gt;0))</f>
        <v>86</v>
      </c>
      <c r="D12" s="11" t="s">
        <v>17</v>
      </c>
      <c r="E12" s="11" t="s">
        <v>18</v>
      </c>
      <c r="F12" s="10" t="s">
        <v>19</v>
      </c>
    </row>
    <row r="13" customFormat="false" ht="31.5" hidden="false" customHeight="true" outlineLevel="0" collapsed="false">
      <c r="B13" s="8" t="s">
        <v>20</v>
      </c>
      <c r="C13" s="9" t="n">
        <f aca="false">SUMPRODUCT(--((ISNUMBER(SEARCH("microneedling",'All Procedures'!F2:F1163))+ISNUMBER(SEARCH("morpheus8",'All Procedures'!F2:F1163))+ISNUMBER(SEARCH("skinpen",'All Procedures'!F2:F1163)))&gt;0))</f>
        <v>70</v>
      </c>
      <c r="D13" s="9" t="s">
        <v>21</v>
      </c>
      <c r="E13" s="9" t="s">
        <v>22</v>
      </c>
      <c r="F13" s="8" t="s">
        <v>23</v>
      </c>
    </row>
    <row r="14" customFormat="false" ht="31.5" hidden="false" customHeight="true" outlineLevel="0" collapsed="false">
      <c r="B14" s="10" t="s">
        <v>24</v>
      </c>
      <c r="C14" s="11" t="n">
        <f aca="false">SUMPRODUCT(--((ISNUMBER(SEARCH("laser hair",'All Procedures'!F2:F1163)))&gt;0))</f>
        <v>31</v>
      </c>
      <c r="D14" s="11" t="s">
        <v>25</v>
      </c>
      <c r="E14" s="11" t="s">
        <v>26</v>
      </c>
      <c r="F14" s="10" t="s">
        <v>27</v>
      </c>
    </row>
    <row r="15" customFormat="false" ht="31.5" hidden="false" customHeight="true" outlineLevel="0" collapsed="false">
      <c r="B15" s="8" t="s">
        <v>28</v>
      </c>
      <c r="C15" s="9" t="n">
        <f aca="false">SUMPRODUCT(--((ISNUMBER(SEARCH("hydrafacial",'All Procedures'!F2:F1163))+ISNUMBER(SEARCH("hydra facial",'All Procedures'!F2:F1163)))&gt;0))</f>
        <v>28</v>
      </c>
      <c r="D15" s="9" t="s">
        <v>29</v>
      </c>
      <c r="E15" s="9" t="s">
        <v>30</v>
      </c>
      <c r="F15" s="8" t="s">
        <v>31</v>
      </c>
    </row>
    <row r="16" customFormat="false" ht="31.5" hidden="false" customHeight="true" outlineLevel="0" collapsed="false">
      <c r="B16" s="10" t="s">
        <v>32</v>
      </c>
      <c r="C16" s="11" t="n">
        <f aca="false">SUMPRODUCT(--((ISNUMBER(SEARCH("peel",'All Procedures'!F2:F1163)))&gt;0))</f>
        <v>52</v>
      </c>
      <c r="D16" s="11" t="s">
        <v>33</v>
      </c>
      <c r="E16" s="11" t="s">
        <v>34</v>
      </c>
      <c r="F16" s="10" t="s">
        <v>35</v>
      </c>
    </row>
    <row r="17" customFormat="false" ht="31.5" hidden="false" customHeight="true" outlineLevel="0" collapsed="false">
      <c r="B17" s="8" t="s">
        <v>36</v>
      </c>
      <c r="C17" s="9" t="n">
        <f aca="false">SUMPRODUCT(--((ISNUMBER(SEARCH("kybella",'All Procedures'!F2:F1163)))&gt;0))</f>
        <v>18</v>
      </c>
      <c r="D17" s="9" t="s">
        <v>37</v>
      </c>
      <c r="E17" s="9" t="s">
        <v>22</v>
      </c>
      <c r="F17" s="8" t="s">
        <v>38</v>
      </c>
    </row>
    <row r="18" customFormat="false" ht="31.5" hidden="false" customHeight="true" outlineLevel="0" collapsed="false">
      <c r="B18" s="10" t="s">
        <v>39</v>
      </c>
      <c r="C18" s="11" t="n">
        <f aca="false">SUMPRODUCT(--((ISNUMBER(SEARCH("ultherapy",'All Procedures'!F2:F1163)))&gt;0))</f>
        <v>15</v>
      </c>
      <c r="D18" s="11" t="s">
        <v>40</v>
      </c>
      <c r="E18" s="11" t="s">
        <v>41</v>
      </c>
      <c r="F18" s="10" t="s">
        <v>42</v>
      </c>
    </row>
    <row r="19" customFormat="false" ht="31.5" hidden="false" customHeight="true" outlineLevel="0" collapsed="false">
      <c r="B19" s="8" t="s">
        <v>43</v>
      </c>
      <c r="C19" s="9" t="n">
        <f aca="false">SUMPRODUCT(--((ISNUMBER(SEARCH("coolsculpt",'All Procedures'!F2:F1163)))&gt;0))</f>
        <v>14</v>
      </c>
      <c r="D19" s="9" t="s">
        <v>44</v>
      </c>
      <c r="E19" s="9" t="s">
        <v>45</v>
      </c>
      <c r="F19" s="8" t="s">
        <v>46</v>
      </c>
    </row>
    <row r="21" customFormat="false" ht="30" hidden="false" customHeight="true" outlineLevel="0" collapsed="false">
      <c r="B21" s="12" t="s">
        <v>47</v>
      </c>
      <c r="C21" s="12"/>
      <c r="D21" s="12"/>
      <c r="E21" s="12"/>
      <c r="F21" s="12"/>
    </row>
  </sheetData>
  <mergeCells count="2">
    <mergeCell ref="B9:H9"/>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26"/>
    <col collapsed="false" customWidth="true" hidden="false" outlineLevel="0" max="4" min="4" style="1" width="34"/>
    <col collapsed="false" customWidth="true" hidden="false" outlineLevel="0" max="5" min="5" style="1" width="30"/>
    <col collapsed="false" customWidth="true" hidden="false" outlineLevel="0" max="6" min="6" style="1" width="42"/>
    <col collapsed="false" customWidth="true" hidden="false" outlineLevel="0" max="7" min="7" style="1" width="30"/>
    <col collapsed="false" customWidth="true" hidden="false" outlineLevel="0" max="8" min="8" style="1" width="22"/>
    <col collapsed="false" customWidth="true" hidden="false" outlineLevel="0" max="9" min="9" style="1" width="32"/>
  </cols>
  <sheetData>
    <row r="1" customFormat="false" ht="15" hidden="false" customHeight="true" outlineLevel="0" collapsed="false">
      <c r="A1" s="13" t="s">
        <v>48</v>
      </c>
      <c r="B1" s="13" t="s">
        <v>49</v>
      </c>
      <c r="C1" s="13" t="s">
        <v>50</v>
      </c>
      <c r="D1" s="13" t="s">
        <v>51</v>
      </c>
      <c r="E1" s="13" t="s">
        <v>52</v>
      </c>
      <c r="F1" s="13" t="s">
        <v>53</v>
      </c>
      <c r="G1" s="13" t="s">
        <v>54</v>
      </c>
      <c r="H1" s="13" t="s">
        <v>55</v>
      </c>
      <c r="I1" s="13" t="s">
        <v>56</v>
      </c>
    </row>
    <row r="2" customFormat="false" ht="23.25" hidden="false" customHeight="true" outlineLevel="0" collapsed="false">
      <c r="A2" s="14" t="n">
        <v>1</v>
      </c>
      <c r="B2" s="14" t="s">
        <v>57</v>
      </c>
      <c r="C2" s="14" t="s">
        <v>58</v>
      </c>
      <c r="D2" s="15" t="s">
        <v>59</v>
      </c>
      <c r="E2" s="15" t="s">
        <v>60</v>
      </c>
      <c r="F2" s="15" t="s">
        <v>61</v>
      </c>
      <c r="G2" s="15" t="s">
        <v>62</v>
      </c>
      <c r="H2" s="15" t="s">
        <v>63</v>
      </c>
      <c r="I2" s="15" t="s">
        <v>64</v>
      </c>
    </row>
    <row r="3" customFormat="false" ht="23.25" hidden="false" customHeight="true" outlineLevel="0" collapsed="false">
      <c r="A3" s="14" t="n">
        <v>2</v>
      </c>
      <c r="B3" s="14" t="s">
        <v>57</v>
      </c>
      <c r="C3" s="14" t="s">
        <v>58</v>
      </c>
      <c r="D3" s="15" t="s">
        <v>59</v>
      </c>
      <c r="E3" s="15" t="s">
        <v>60</v>
      </c>
      <c r="F3" s="15" t="s">
        <v>65</v>
      </c>
      <c r="G3" s="15" t="s">
        <v>62</v>
      </c>
      <c r="H3" s="15" t="s">
        <v>63</v>
      </c>
      <c r="I3" s="15" t="s">
        <v>64</v>
      </c>
    </row>
    <row r="4" customFormat="false" ht="23.25" hidden="false" customHeight="true" outlineLevel="0" collapsed="false">
      <c r="A4" s="14" t="n">
        <v>3</v>
      </c>
      <c r="B4" s="14" t="s">
        <v>57</v>
      </c>
      <c r="C4" s="14" t="s">
        <v>58</v>
      </c>
      <c r="D4" s="15" t="s">
        <v>59</v>
      </c>
      <c r="E4" s="15" t="s">
        <v>60</v>
      </c>
      <c r="F4" s="15" t="s">
        <v>66</v>
      </c>
      <c r="G4" s="15" t="s">
        <v>62</v>
      </c>
      <c r="H4" s="15" t="s">
        <v>63</v>
      </c>
      <c r="I4" s="15" t="s">
        <v>64</v>
      </c>
    </row>
    <row r="5" customFormat="false" ht="23.25" hidden="false" customHeight="true" outlineLevel="0" collapsed="false">
      <c r="A5" s="14" t="n">
        <v>4</v>
      </c>
      <c r="B5" s="14" t="s">
        <v>57</v>
      </c>
      <c r="C5" s="14" t="s">
        <v>58</v>
      </c>
      <c r="D5" s="15" t="s">
        <v>59</v>
      </c>
      <c r="E5" s="15" t="s">
        <v>60</v>
      </c>
      <c r="F5" s="15" t="s">
        <v>67</v>
      </c>
      <c r="G5" s="15" t="s">
        <v>62</v>
      </c>
      <c r="H5" s="15" t="s">
        <v>63</v>
      </c>
      <c r="I5" s="15" t="s">
        <v>64</v>
      </c>
    </row>
    <row r="6" customFormat="false" ht="23.25" hidden="false" customHeight="true" outlineLevel="0" collapsed="false">
      <c r="A6" s="14" t="n">
        <v>5</v>
      </c>
      <c r="B6" s="14" t="s">
        <v>68</v>
      </c>
      <c r="C6" s="14" t="s">
        <v>69</v>
      </c>
      <c r="D6" s="15" t="s">
        <v>70</v>
      </c>
      <c r="E6" s="15" t="s">
        <v>71</v>
      </c>
      <c r="F6" s="15" t="s">
        <v>72</v>
      </c>
      <c r="G6" s="15" t="s">
        <v>73</v>
      </c>
      <c r="H6" s="15" t="s">
        <v>74</v>
      </c>
      <c r="I6" s="15" t="s">
        <v>75</v>
      </c>
    </row>
    <row r="7" customFormat="false" ht="23.25" hidden="false" customHeight="true" outlineLevel="0" collapsed="false">
      <c r="A7" s="14" t="n">
        <v>6</v>
      </c>
      <c r="B7" s="14" t="s">
        <v>68</v>
      </c>
      <c r="C7" s="14" t="s">
        <v>69</v>
      </c>
      <c r="D7" s="15" t="s">
        <v>70</v>
      </c>
      <c r="E7" s="15" t="s">
        <v>71</v>
      </c>
      <c r="F7" s="15" t="s">
        <v>76</v>
      </c>
      <c r="G7" s="15" t="s">
        <v>73</v>
      </c>
      <c r="H7" s="15" t="s">
        <v>74</v>
      </c>
      <c r="I7" s="15" t="s">
        <v>75</v>
      </c>
    </row>
    <row r="8" customFormat="false" ht="23.25" hidden="false" customHeight="true" outlineLevel="0" collapsed="false">
      <c r="A8" s="14" t="n">
        <v>7</v>
      </c>
      <c r="B8" s="14" t="s">
        <v>68</v>
      </c>
      <c r="C8" s="14" t="s">
        <v>69</v>
      </c>
      <c r="D8" s="15" t="s">
        <v>70</v>
      </c>
      <c r="E8" s="15" t="s">
        <v>71</v>
      </c>
      <c r="F8" s="15" t="s">
        <v>77</v>
      </c>
      <c r="G8" s="15" t="s">
        <v>73</v>
      </c>
      <c r="H8" s="15" t="s">
        <v>74</v>
      </c>
      <c r="I8" s="15" t="s">
        <v>75</v>
      </c>
    </row>
    <row r="9" customFormat="false" ht="23.25" hidden="false" customHeight="true" outlineLevel="0" collapsed="false">
      <c r="A9" s="14" t="n">
        <v>8</v>
      </c>
      <c r="B9" s="14" t="s">
        <v>68</v>
      </c>
      <c r="C9" s="14" t="s">
        <v>69</v>
      </c>
      <c r="D9" s="15" t="s">
        <v>70</v>
      </c>
      <c r="E9" s="15" t="s">
        <v>71</v>
      </c>
      <c r="F9" s="15" t="s">
        <v>78</v>
      </c>
      <c r="G9" s="15" t="s">
        <v>73</v>
      </c>
      <c r="H9" s="15" t="s">
        <v>74</v>
      </c>
      <c r="I9" s="15" t="s">
        <v>75</v>
      </c>
    </row>
    <row r="10" customFormat="false" ht="23.25" hidden="false" customHeight="true" outlineLevel="0" collapsed="false">
      <c r="A10" s="14" t="n">
        <v>9</v>
      </c>
      <c r="B10" s="14" t="s">
        <v>68</v>
      </c>
      <c r="C10" s="14" t="s">
        <v>69</v>
      </c>
      <c r="D10" s="15" t="s">
        <v>70</v>
      </c>
      <c r="E10" s="15" t="s">
        <v>71</v>
      </c>
      <c r="F10" s="15" t="s">
        <v>79</v>
      </c>
      <c r="G10" s="15" t="s">
        <v>73</v>
      </c>
      <c r="H10" s="15" t="s">
        <v>74</v>
      </c>
      <c r="I10" s="15" t="s">
        <v>75</v>
      </c>
    </row>
    <row r="11" customFormat="false" ht="23.25" hidden="false" customHeight="true" outlineLevel="0" collapsed="false">
      <c r="A11" s="14" t="n">
        <v>10</v>
      </c>
      <c r="B11" s="14" t="s">
        <v>68</v>
      </c>
      <c r="C11" s="14" t="s">
        <v>69</v>
      </c>
      <c r="D11" s="15" t="s">
        <v>70</v>
      </c>
      <c r="E11" s="15" t="s">
        <v>71</v>
      </c>
      <c r="F11" s="15" t="s">
        <v>80</v>
      </c>
      <c r="G11" s="15" t="s">
        <v>73</v>
      </c>
      <c r="H11" s="15" t="s">
        <v>74</v>
      </c>
      <c r="I11" s="15" t="s">
        <v>75</v>
      </c>
    </row>
    <row r="12" customFormat="false" ht="23.25" hidden="false" customHeight="true" outlineLevel="0" collapsed="false">
      <c r="A12" s="14" t="n">
        <v>11</v>
      </c>
      <c r="B12" s="14" t="s">
        <v>68</v>
      </c>
      <c r="C12" s="14" t="s">
        <v>69</v>
      </c>
      <c r="D12" s="15" t="s">
        <v>70</v>
      </c>
      <c r="E12" s="15" t="s">
        <v>71</v>
      </c>
      <c r="F12" s="15" t="s">
        <v>81</v>
      </c>
      <c r="G12" s="15" t="s">
        <v>73</v>
      </c>
      <c r="H12" s="15" t="s">
        <v>74</v>
      </c>
      <c r="I12" s="15" t="s">
        <v>75</v>
      </c>
    </row>
    <row r="13" customFormat="false" ht="23.25" hidden="false" customHeight="true" outlineLevel="0" collapsed="false">
      <c r="A13" s="14" t="n">
        <v>12</v>
      </c>
      <c r="B13" s="14" t="s">
        <v>68</v>
      </c>
      <c r="C13" s="14" t="s">
        <v>69</v>
      </c>
      <c r="D13" s="15" t="s">
        <v>70</v>
      </c>
      <c r="E13" s="15" t="s">
        <v>71</v>
      </c>
      <c r="F13" s="15" t="s">
        <v>82</v>
      </c>
      <c r="G13" s="15" t="s">
        <v>73</v>
      </c>
      <c r="H13" s="15" t="s">
        <v>74</v>
      </c>
      <c r="I13" s="15" t="s">
        <v>75</v>
      </c>
    </row>
    <row r="14" customFormat="false" ht="23.25" hidden="false" customHeight="true" outlineLevel="0" collapsed="false">
      <c r="A14" s="14" t="n">
        <v>13</v>
      </c>
      <c r="B14" s="14" t="s">
        <v>68</v>
      </c>
      <c r="C14" s="14" t="s">
        <v>69</v>
      </c>
      <c r="D14" s="15" t="s">
        <v>70</v>
      </c>
      <c r="E14" s="15" t="s">
        <v>71</v>
      </c>
      <c r="F14" s="15" t="s">
        <v>83</v>
      </c>
      <c r="G14" s="15" t="s">
        <v>73</v>
      </c>
      <c r="H14" s="15" t="s">
        <v>74</v>
      </c>
      <c r="I14" s="15" t="s">
        <v>75</v>
      </c>
    </row>
    <row r="15" customFormat="false" ht="23.25" hidden="false" customHeight="true" outlineLevel="0" collapsed="false">
      <c r="A15" s="14" t="n">
        <v>14</v>
      </c>
      <c r="B15" s="14" t="s">
        <v>68</v>
      </c>
      <c r="C15" s="14" t="s">
        <v>69</v>
      </c>
      <c r="D15" s="15" t="s">
        <v>70</v>
      </c>
      <c r="E15" s="15" t="s">
        <v>71</v>
      </c>
      <c r="F15" s="15" t="s">
        <v>84</v>
      </c>
      <c r="G15" s="15" t="s">
        <v>73</v>
      </c>
      <c r="H15" s="15" t="s">
        <v>74</v>
      </c>
      <c r="I15" s="15" t="s">
        <v>75</v>
      </c>
    </row>
    <row r="16" customFormat="false" ht="23.25" hidden="false" customHeight="true" outlineLevel="0" collapsed="false">
      <c r="A16" s="14" t="n">
        <v>15</v>
      </c>
      <c r="B16" s="14" t="s">
        <v>68</v>
      </c>
      <c r="C16" s="14" t="s">
        <v>69</v>
      </c>
      <c r="D16" s="15" t="s">
        <v>70</v>
      </c>
      <c r="E16" s="15" t="s">
        <v>71</v>
      </c>
      <c r="F16" s="15" t="s">
        <v>85</v>
      </c>
      <c r="G16" s="15" t="s">
        <v>73</v>
      </c>
      <c r="H16" s="15" t="s">
        <v>74</v>
      </c>
      <c r="I16" s="15" t="s">
        <v>75</v>
      </c>
    </row>
    <row r="17" customFormat="false" ht="23.25" hidden="false" customHeight="true" outlineLevel="0" collapsed="false">
      <c r="A17" s="14" t="n">
        <v>16</v>
      </c>
      <c r="B17" s="14" t="s">
        <v>68</v>
      </c>
      <c r="C17" s="14" t="s">
        <v>69</v>
      </c>
      <c r="D17" s="15" t="s">
        <v>70</v>
      </c>
      <c r="E17" s="15" t="s">
        <v>71</v>
      </c>
      <c r="F17" s="15" t="s">
        <v>86</v>
      </c>
      <c r="G17" s="15" t="s">
        <v>87</v>
      </c>
      <c r="H17" s="15" t="s">
        <v>74</v>
      </c>
      <c r="I17" s="15" t="s">
        <v>75</v>
      </c>
    </row>
    <row r="18" customFormat="false" ht="23.25" hidden="false" customHeight="true" outlineLevel="0" collapsed="false">
      <c r="A18" s="14" t="n">
        <v>17</v>
      </c>
      <c r="B18" s="14" t="s">
        <v>68</v>
      </c>
      <c r="C18" s="14" t="s">
        <v>69</v>
      </c>
      <c r="D18" s="15" t="s">
        <v>70</v>
      </c>
      <c r="E18" s="15" t="s">
        <v>71</v>
      </c>
      <c r="F18" s="15" t="s">
        <v>88</v>
      </c>
      <c r="G18" s="15" t="s">
        <v>89</v>
      </c>
      <c r="H18" s="15" t="s">
        <v>90</v>
      </c>
      <c r="I18" s="15" t="s">
        <v>75</v>
      </c>
    </row>
    <row r="19" customFormat="false" ht="23.25" hidden="false" customHeight="true" outlineLevel="0" collapsed="false">
      <c r="A19" s="14" t="n">
        <v>18</v>
      </c>
      <c r="B19" s="14" t="s">
        <v>68</v>
      </c>
      <c r="C19" s="14" t="s">
        <v>69</v>
      </c>
      <c r="D19" s="15" t="s">
        <v>70</v>
      </c>
      <c r="E19" s="15" t="s">
        <v>71</v>
      </c>
      <c r="F19" s="15" t="s">
        <v>91</v>
      </c>
      <c r="G19" s="15" t="s">
        <v>92</v>
      </c>
      <c r="H19" s="15" t="s">
        <v>90</v>
      </c>
      <c r="I19" s="15" t="s">
        <v>75</v>
      </c>
    </row>
    <row r="20" customFormat="false" ht="23.25" hidden="false" customHeight="true" outlineLevel="0" collapsed="false">
      <c r="A20" s="14" t="n">
        <v>19</v>
      </c>
      <c r="B20" s="14" t="s">
        <v>68</v>
      </c>
      <c r="C20" s="14" t="s">
        <v>69</v>
      </c>
      <c r="D20" s="15" t="s">
        <v>70</v>
      </c>
      <c r="E20" s="15" t="s">
        <v>71</v>
      </c>
      <c r="F20" s="15" t="s">
        <v>93</v>
      </c>
      <c r="G20" s="15" t="s">
        <v>94</v>
      </c>
      <c r="H20" s="15" t="s">
        <v>90</v>
      </c>
      <c r="I20" s="15" t="s">
        <v>75</v>
      </c>
    </row>
    <row r="21" customFormat="false" ht="23.25" hidden="false" customHeight="true" outlineLevel="0" collapsed="false">
      <c r="A21" s="14" t="n">
        <v>20</v>
      </c>
      <c r="B21" s="14" t="s">
        <v>68</v>
      </c>
      <c r="C21" s="14" t="s">
        <v>69</v>
      </c>
      <c r="D21" s="15" t="s">
        <v>70</v>
      </c>
      <c r="E21" s="15" t="s">
        <v>71</v>
      </c>
      <c r="F21" s="15" t="s">
        <v>95</v>
      </c>
      <c r="G21" s="15" t="s">
        <v>96</v>
      </c>
      <c r="H21" s="15" t="s">
        <v>90</v>
      </c>
      <c r="I21" s="15" t="s">
        <v>75</v>
      </c>
    </row>
    <row r="22" customFormat="false" ht="23.25" hidden="false" customHeight="true" outlineLevel="0" collapsed="false">
      <c r="A22" s="14" t="n">
        <v>21</v>
      </c>
      <c r="B22" s="14" t="s">
        <v>68</v>
      </c>
      <c r="C22" s="14" t="s">
        <v>69</v>
      </c>
      <c r="D22" s="15" t="s">
        <v>70</v>
      </c>
      <c r="E22" s="15" t="s">
        <v>71</v>
      </c>
      <c r="F22" s="15" t="s">
        <v>97</v>
      </c>
      <c r="G22" s="15" t="s">
        <v>94</v>
      </c>
      <c r="H22" s="15" t="s">
        <v>90</v>
      </c>
      <c r="I22" s="15" t="s">
        <v>75</v>
      </c>
    </row>
    <row r="23" customFormat="false" ht="23.25" hidden="false" customHeight="true" outlineLevel="0" collapsed="false">
      <c r="A23" s="14" t="n">
        <v>22</v>
      </c>
      <c r="B23" s="14" t="s">
        <v>68</v>
      </c>
      <c r="C23" s="14" t="s">
        <v>69</v>
      </c>
      <c r="D23" s="15" t="s">
        <v>70</v>
      </c>
      <c r="E23" s="15" t="s">
        <v>71</v>
      </c>
      <c r="F23" s="15" t="s">
        <v>98</v>
      </c>
      <c r="G23" s="15" t="s">
        <v>94</v>
      </c>
      <c r="H23" s="15" t="s">
        <v>90</v>
      </c>
      <c r="I23" s="15" t="s">
        <v>75</v>
      </c>
    </row>
    <row r="24" customFormat="false" ht="23.25" hidden="false" customHeight="true" outlineLevel="0" collapsed="false">
      <c r="A24" s="14" t="n">
        <v>23</v>
      </c>
      <c r="B24" s="14" t="s">
        <v>68</v>
      </c>
      <c r="C24" s="14" t="s">
        <v>69</v>
      </c>
      <c r="D24" s="15" t="s">
        <v>70</v>
      </c>
      <c r="E24" s="15" t="s">
        <v>71</v>
      </c>
      <c r="F24" s="15" t="s">
        <v>99</v>
      </c>
      <c r="G24" s="15" t="s">
        <v>100</v>
      </c>
      <c r="H24" s="15" t="s">
        <v>101</v>
      </c>
      <c r="I24" s="15" t="s">
        <v>75</v>
      </c>
    </row>
    <row r="25" customFormat="false" ht="23.25" hidden="false" customHeight="true" outlineLevel="0" collapsed="false">
      <c r="A25" s="14" t="n">
        <v>24</v>
      </c>
      <c r="B25" s="14" t="s">
        <v>68</v>
      </c>
      <c r="C25" s="14" t="s">
        <v>69</v>
      </c>
      <c r="D25" s="15" t="s">
        <v>70</v>
      </c>
      <c r="E25" s="15" t="s">
        <v>71</v>
      </c>
      <c r="F25" s="15" t="s">
        <v>102</v>
      </c>
      <c r="G25" s="15" t="s">
        <v>103</v>
      </c>
      <c r="H25" s="15" t="s">
        <v>63</v>
      </c>
      <c r="I25" s="15" t="s">
        <v>75</v>
      </c>
    </row>
    <row r="26" customFormat="false" ht="23.25" hidden="false" customHeight="true" outlineLevel="0" collapsed="false">
      <c r="A26" s="14" t="n">
        <v>25</v>
      </c>
      <c r="B26" s="14" t="s">
        <v>68</v>
      </c>
      <c r="C26" s="14" t="s">
        <v>69</v>
      </c>
      <c r="D26" s="15" t="s">
        <v>70</v>
      </c>
      <c r="E26" s="15" t="s">
        <v>71</v>
      </c>
      <c r="F26" s="15" t="s">
        <v>104</v>
      </c>
      <c r="G26" s="15" t="s">
        <v>105</v>
      </c>
      <c r="H26" s="15" t="s">
        <v>63</v>
      </c>
      <c r="I26" s="15" t="s">
        <v>75</v>
      </c>
    </row>
    <row r="27" customFormat="false" ht="23.25" hidden="false" customHeight="true" outlineLevel="0" collapsed="false">
      <c r="A27" s="14" t="n">
        <v>26</v>
      </c>
      <c r="B27" s="14" t="s">
        <v>68</v>
      </c>
      <c r="C27" s="14" t="s">
        <v>69</v>
      </c>
      <c r="D27" s="15" t="s">
        <v>70</v>
      </c>
      <c r="E27" s="15" t="s">
        <v>71</v>
      </c>
      <c r="F27" s="15" t="s">
        <v>106</v>
      </c>
      <c r="G27" s="15" t="s">
        <v>107</v>
      </c>
      <c r="H27" s="15" t="s">
        <v>63</v>
      </c>
      <c r="I27" s="15" t="s">
        <v>75</v>
      </c>
    </row>
    <row r="28" customFormat="false" ht="23.25" hidden="false" customHeight="true" outlineLevel="0" collapsed="false">
      <c r="A28" s="14" t="n">
        <v>27</v>
      </c>
      <c r="B28" s="14" t="s">
        <v>68</v>
      </c>
      <c r="C28" s="14" t="s">
        <v>69</v>
      </c>
      <c r="D28" s="15" t="s">
        <v>70</v>
      </c>
      <c r="E28" s="15" t="s">
        <v>71</v>
      </c>
      <c r="F28" s="15" t="s">
        <v>108</v>
      </c>
      <c r="G28" s="15" t="s">
        <v>109</v>
      </c>
      <c r="H28" s="15" t="s">
        <v>63</v>
      </c>
      <c r="I28" s="15" t="s">
        <v>75</v>
      </c>
    </row>
    <row r="29" customFormat="false" ht="23.25" hidden="false" customHeight="true" outlineLevel="0" collapsed="false">
      <c r="A29" s="14" t="n">
        <v>28</v>
      </c>
      <c r="B29" s="14" t="s">
        <v>68</v>
      </c>
      <c r="C29" s="14" t="s">
        <v>69</v>
      </c>
      <c r="D29" s="15" t="s">
        <v>70</v>
      </c>
      <c r="E29" s="15" t="s">
        <v>71</v>
      </c>
      <c r="F29" s="15" t="s">
        <v>110</v>
      </c>
      <c r="G29" s="15" t="s">
        <v>109</v>
      </c>
      <c r="H29" s="15" t="s">
        <v>63</v>
      </c>
      <c r="I29" s="15" t="s">
        <v>75</v>
      </c>
    </row>
    <row r="30" customFormat="false" ht="23.25" hidden="false" customHeight="true" outlineLevel="0" collapsed="false">
      <c r="A30" s="14" t="n">
        <v>29</v>
      </c>
      <c r="B30" s="14" t="s">
        <v>68</v>
      </c>
      <c r="C30" s="14" t="s">
        <v>69</v>
      </c>
      <c r="D30" s="15" t="s">
        <v>70</v>
      </c>
      <c r="E30" s="15" t="s">
        <v>71</v>
      </c>
      <c r="F30" s="15" t="s">
        <v>111</v>
      </c>
      <c r="G30" s="15" t="s">
        <v>112</v>
      </c>
      <c r="H30" s="15" t="s">
        <v>63</v>
      </c>
      <c r="I30" s="15" t="s">
        <v>75</v>
      </c>
    </row>
    <row r="31" customFormat="false" ht="23.25" hidden="false" customHeight="true" outlineLevel="0" collapsed="false">
      <c r="A31" s="14" t="n">
        <v>30</v>
      </c>
      <c r="B31" s="14" t="s">
        <v>68</v>
      </c>
      <c r="C31" s="14" t="s">
        <v>69</v>
      </c>
      <c r="D31" s="15" t="s">
        <v>70</v>
      </c>
      <c r="E31" s="15" t="s">
        <v>71</v>
      </c>
      <c r="F31" s="15" t="s">
        <v>113</v>
      </c>
      <c r="G31" s="15" t="s">
        <v>109</v>
      </c>
      <c r="H31" s="15" t="s">
        <v>63</v>
      </c>
      <c r="I31" s="15" t="s">
        <v>75</v>
      </c>
    </row>
    <row r="32" customFormat="false" ht="23.25" hidden="false" customHeight="true" outlineLevel="0" collapsed="false">
      <c r="A32" s="14" t="n">
        <v>31</v>
      </c>
      <c r="B32" s="14" t="s">
        <v>68</v>
      </c>
      <c r="C32" s="14" t="s">
        <v>69</v>
      </c>
      <c r="D32" s="15" t="s">
        <v>70</v>
      </c>
      <c r="E32" s="15" t="s">
        <v>71</v>
      </c>
      <c r="F32" s="15" t="s">
        <v>114</v>
      </c>
      <c r="G32" s="15" t="s">
        <v>109</v>
      </c>
      <c r="H32" s="15" t="s">
        <v>63</v>
      </c>
      <c r="I32" s="15" t="s">
        <v>75</v>
      </c>
    </row>
    <row r="33" customFormat="false" ht="23.25" hidden="false" customHeight="true" outlineLevel="0" collapsed="false">
      <c r="A33" s="14" t="n">
        <v>32</v>
      </c>
      <c r="B33" s="14" t="s">
        <v>68</v>
      </c>
      <c r="C33" s="14" t="s">
        <v>69</v>
      </c>
      <c r="D33" s="15" t="s">
        <v>70</v>
      </c>
      <c r="E33" s="15" t="s">
        <v>71</v>
      </c>
      <c r="F33" s="15" t="s">
        <v>115</v>
      </c>
      <c r="G33" s="15" t="s">
        <v>116</v>
      </c>
      <c r="H33" s="15" t="s">
        <v>63</v>
      </c>
      <c r="I33" s="15" t="s">
        <v>75</v>
      </c>
    </row>
    <row r="34" customFormat="false" ht="23.25" hidden="false" customHeight="true" outlineLevel="0" collapsed="false">
      <c r="A34" s="14" t="n">
        <v>33</v>
      </c>
      <c r="B34" s="14" t="s">
        <v>68</v>
      </c>
      <c r="C34" s="14" t="s">
        <v>69</v>
      </c>
      <c r="D34" s="15" t="s">
        <v>70</v>
      </c>
      <c r="E34" s="15" t="s">
        <v>71</v>
      </c>
      <c r="F34" s="15" t="s">
        <v>117</v>
      </c>
      <c r="G34" s="15" t="s">
        <v>118</v>
      </c>
      <c r="H34" s="15" t="s">
        <v>63</v>
      </c>
      <c r="I34" s="15" t="s">
        <v>75</v>
      </c>
    </row>
    <row r="35" customFormat="false" ht="23.25" hidden="false" customHeight="true" outlineLevel="0" collapsed="false">
      <c r="A35" s="14" t="n">
        <v>34</v>
      </c>
      <c r="B35" s="14" t="s">
        <v>68</v>
      </c>
      <c r="C35" s="14" t="s">
        <v>69</v>
      </c>
      <c r="D35" s="15" t="s">
        <v>70</v>
      </c>
      <c r="E35" s="15" t="s">
        <v>71</v>
      </c>
      <c r="F35" s="15" t="s">
        <v>119</v>
      </c>
      <c r="G35" s="15" t="s">
        <v>62</v>
      </c>
      <c r="H35" s="15" t="s">
        <v>63</v>
      </c>
      <c r="I35" s="15" t="s">
        <v>75</v>
      </c>
    </row>
    <row r="36" customFormat="false" ht="23.25" hidden="false" customHeight="true" outlineLevel="0" collapsed="false">
      <c r="A36" s="14" t="n">
        <v>35</v>
      </c>
      <c r="B36" s="14" t="s">
        <v>68</v>
      </c>
      <c r="C36" s="14" t="s">
        <v>69</v>
      </c>
      <c r="D36" s="15" t="s">
        <v>70</v>
      </c>
      <c r="E36" s="15" t="s">
        <v>71</v>
      </c>
      <c r="F36" s="15" t="s">
        <v>120</v>
      </c>
      <c r="G36" s="15" t="s">
        <v>62</v>
      </c>
      <c r="H36" s="15" t="s">
        <v>63</v>
      </c>
      <c r="I36" s="15" t="s">
        <v>75</v>
      </c>
    </row>
    <row r="37" customFormat="false" ht="23.25" hidden="false" customHeight="true" outlineLevel="0" collapsed="false">
      <c r="A37" s="14" t="n">
        <v>36</v>
      </c>
      <c r="B37" s="14" t="s">
        <v>68</v>
      </c>
      <c r="C37" s="14" t="s">
        <v>69</v>
      </c>
      <c r="D37" s="15" t="s">
        <v>70</v>
      </c>
      <c r="E37" s="15" t="s">
        <v>71</v>
      </c>
      <c r="F37" s="15" t="s">
        <v>121</v>
      </c>
      <c r="G37" s="15" t="s">
        <v>62</v>
      </c>
      <c r="H37" s="15" t="s">
        <v>63</v>
      </c>
      <c r="I37" s="15" t="s">
        <v>75</v>
      </c>
    </row>
    <row r="38" customFormat="false" ht="23.25" hidden="false" customHeight="true" outlineLevel="0" collapsed="false">
      <c r="A38" s="14" t="n">
        <v>37</v>
      </c>
      <c r="B38" s="14" t="s">
        <v>68</v>
      </c>
      <c r="C38" s="14" t="s">
        <v>69</v>
      </c>
      <c r="D38" s="15" t="s">
        <v>70</v>
      </c>
      <c r="E38" s="15" t="s">
        <v>71</v>
      </c>
      <c r="F38" s="15" t="s">
        <v>122</v>
      </c>
      <c r="G38" s="15" t="s">
        <v>62</v>
      </c>
      <c r="H38" s="15" t="s">
        <v>63</v>
      </c>
      <c r="I38" s="15" t="s">
        <v>75</v>
      </c>
    </row>
    <row r="39" customFormat="false" ht="23.25" hidden="false" customHeight="true" outlineLevel="0" collapsed="false">
      <c r="A39" s="14" t="n">
        <v>38</v>
      </c>
      <c r="B39" s="14" t="s">
        <v>68</v>
      </c>
      <c r="C39" s="14" t="s">
        <v>69</v>
      </c>
      <c r="D39" s="15" t="s">
        <v>70</v>
      </c>
      <c r="E39" s="15" t="s">
        <v>71</v>
      </c>
      <c r="F39" s="15" t="s">
        <v>123</v>
      </c>
      <c r="G39" s="15" t="s">
        <v>62</v>
      </c>
      <c r="H39" s="15" t="s">
        <v>63</v>
      </c>
      <c r="I39" s="15" t="s">
        <v>75</v>
      </c>
    </row>
    <row r="40" customFormat="false" ht="23.25" hidden="false" customHeight="true" outlineLevel="0" collapsed="false">
      <c r="A40" s="14" t="n">
        <v>39</v>
      </c>
      <c r="B40" s="14" t="s">
        <v>68</v>
      </c>
      <c r="C40" s="14" t="s">
        <v>69</v>
      </c>
      <c r="D40" s="15" t="s">
        <v>70</v>
      </c>
      <c r="E40" s="15" t="s">
        <v>71</v>
      </c>
      <c r="F40" s="15" t="s">
        <v>124</v>
      </c>
      <c r="G40" s="15" t="s">
        <v>62</v>
      </c>
      <c r="H40" s="15" t="s">
        <v>63</v>
      </c>
      <c r="I40" s="15" t="s">
        <v>75</v>
      </c>
    </row>
    <row r="41" customFormat="false" ht="23.25" hidden="false" customHeight="true" outlineLevel="0" collapsed="false">
      <c r="A41" s="14" t="n">
        <v>40</v>
      </c>
      <c r="B41" s="14" t="s">
        <v>68</v>
      </c>
      <c r="C41" s="14" t="s">
        <v>69</v>
      </c>
      <c r="D41" s="15" t="s">
        <v>70</v>
      </c>
      <c r="E41" s="15" t="s">
        <v>71</v>
      </c>
      <c r="F41" s="15" t="s">
        <v>125</v>
      </c>
      <c r="G41" s="15" t="s">
        <v>62</v>
      </c>
      <c r="H41" s="15" t="s">
        <v>63</v>
      </c>
      <c r="I41" s="15" t="s">
        <v>75</v>
      </c>
    </row>
    <row r="42" customFormat="false" ht="23.25" hidden="false" customHeight="true" outlineLevel="0" collapsed="false">
      <c r="A42" s="14" t="n">
        <v>41</v>
      </c>
      <c r="B42" s="14" t="s">
        <v>68</v>
      </c>
      <c r="C42" s="14" t="s">
        <v>69</v>
      </c>
      <c r="D42" s="15" t="s">
        <v>70</v>
      </c>
      <c r="E42" s="15" t="s">
        <v>71</v>
      </c>
      <c r="F42" s="15" t="s">
        <v>126</v>
      </c>
      <c r="G42" s="15" t="s">
        <v>62</v>
      </c>
      <c r="H42" s="15" t="s">
        <v>63</v>
      </c>
      <c r="I42" s="15" t="s">
        <v>75</v>
      </c>
    </row>
    <row r="43" customFormat="false" ht="23.25" hidden="false" customHeight="true" outlineLevel="0" collapsed="false">
      <c r="A43" s="14" t="n">
        <v>42</v>
      </c>
      <c r="B43" s="14" t="s">
        <v>68</v>
      </c>
      <c r="C43" s="14" t="s">
        <v>69</v>
      </c>
      <c r="D43" s="15" t="s">
        <v>70</v>
      </c>
      <c r="E43" s="15" t="s">
        <v>71</v>
      </c>
      <c r="F43" s="15" t="s">
        <v>127</v>
      </c>
      <c r="G43" s="15" t="s">
        <v>62</v>
      </c>
      <c r="H43" s="15" t="s">
        <v>63</v>
      </c>
      <c r="I43" s="15" t="s">
        <v>75</v>
      </c>
    </row>
    <row r="44" customFormat="false" ht="23.25" hidden="false" customHeight="true" outlineLevel="0" collapsed="false">
      <c r="A44" s="14" t="n">
        <v>43</v>
      </c>
      <c r="B44" s="14" t="s">
        <v>68</v>
      </c>
      <c r="C44" s="14" t="s">
        <v>69</v>
      </c>
      <c r="D44" s="15" t="s">
        <v>70</v>
      </c>
      <c r="E44" s="15" t="s">
        <v>71</v>
      </c>
      <c r="F44" s="15" t="s">
        <v>128</v>
      </c>
      <c r="G44" s="15" t="s">
        <v>62</v>
      </c>
      <c r="H44" s="15" t="s">
        <v>63</v>
      </c>
      <c r="I44" s="15" t="s">
        <v>75</v>
      </c>
    </row>
    <row r="45" customFormat="false" ht="23.25" hidden="false" customHeight="true" outlineLevel="0" collapsed="false">
      <c r="A45" s="14" t="n">
        <v>44</v>
      </c>
      <c r="B45" s="14" t="s">
        <v>68</v>
      </c>
      <c r="C45" s="14" t="s">
        <v>69</v>
      </c>
      <c r="D45" s="15" t="s">
        <v>70</v>
      </c>
      <c r="E45" s="15" t="s">
        <v>71</v>
      </c>
      <c r="F45" s="15" t="s">
        <v>129</v>
      </c>
      <c r="G45" s="15" t="s">
        <v>62</v>
      </c>
      <c r="H45" s="15" t="s">
        <v>63</v>
      </c>
      <c r="I45" s="15" t="s">
        <v>75</v>
      </c>
    </row>
    <row r="46" customFormat="false" ht="23.25" hidden="false" customHeight="true" outlineLevel="0" collapsed="false">
      <c r="A46" s="14" t="n">
        <v>45</v>
      </c>
      <c r="B46" s="14" t="s">
        <v>130</v>
      </c>
      <c r="C46" s="14" t="s">
        <v>131</v>
      </c>
      <c r="D46" s="15" t="s">
        <v>132</v>
      </c>
      <c r="E46" s="15" t="s">
        <v>133</v>
      </c>
      <c r="F46" s="15" t="s">
        <v>134</v>
      </c>
      <c r="G46" s="15" t="s">
        <v>135</v>
      </c>
      <c r="H46" s="15" t="s">
        <v>63</v>
      </c>
      <c r="I46" s="15" t="s">
        <v>136</v>
      </c>
    </row>
    <row r="47" customFormat="false" ht="23.25" hidden="false" customHeight="true" outlineLevel="0" collapsed="false">
      <c r="A47" s="14" t="n">
        <v>46</v>
      </c>
      <c r="B47" s="14" t="s">
        <v>130</v>
      </c>
      <c r="C47" s="14" t="s">
        <v>131</v>
      </c>
      <c r="D47" s="15" t="s">
        <v>132</v>
      </c>
      <c r="E47" s="15" t="s">
        <v>133</v>
      </c>
      <c r="F47" s="15" t="s">
        <v>137</v>
      </c>
      <c r="G47" s="15" t="s">
        <v>62</v>
      </c>
      <c r="H47" s="15" t="s">
        <v>63</v>
      </c>
      <c r="I47" s="15" t="s">
        <v>136</v>
      </c>
    </row>
    <row r="48" customFormat="false" ht="23.25" hidden="false" customHeight="true" outlineLevel="0" collapsed="false">
      <c r="A48" s="14" t="n">
        <v>47</v>
      </c>
      <c r="B48" s="14" t="s">
        <v>130</v>
      </c>
      <c r="C48" s="14" t="s">
        <v>131</v>
      </c>
      <c r="D48" s="15" t="s">
        <v>132</v>
      </c>
      <c r="E48" s="15" t="s">
        <v>133</v>
      </c>
      <c r="F48" s="15" t="s">
        <v>138</v>
      </c>
      <c r="G48" s="15" t="s">
        <v>62</v>
      </c>
      <c r="H48" s="15" t="s">
        <v>63</v>
      </c>
      <c r="I48" s="15" t="s">
        <v>136</v>
      </c>
    </row>
    <row r="49" customFormat="false" ht="23.25" hidden="false" customHeight="true" outlineLevel="0" collapsed="false">
      <c r="A49" s="14" t="n">
        <v>48</v>
      </c>
      <c r="B49" s="14" t="s">
        <v>130</v>
      </c>
      <c r="C49" s="14" t="s">
        <v>131</v>
      </c>
      <c r="D49" s="15" t="s">
        <v>132</v>
      </c>
      <c r="E49" s="15" t="s">
        <v>133</v>
      </c>
      <c r="F49" s="15" t="s">
        <v>139</v>
      </c>
      <c r="G49" s="15" t="s">
        <v>62</v>
      </c>
      <c r="H49" s="15" t="s">
        <v>63</v>
      </c>
      <c r="I49" s="15" t="s">
        <v>136</v>
      </c>
    </row>
    <row r="50" customFormat="false" ht="23.25" hidden="false" customHeight="true" outlineLevel="0" collapsed="false">
      <c r="A50" s="14" t="n">
        <v>49</v>
      </c>
      <c r="B50" s="14" t="s">
        <v>130</v>
      </c>
      <c r="C50" s="14" t="s">
        <v>131</v>
      </c>
      <c r="D50" s="15" t="s">
        <v>132</v>
      </c>
      <c r="E50" s="15" t="s">
        <v>133</v>
      </c>
      <c r="F50" s="15" t="s">
        <v>140</v>
      </c>
      <c r="G50" s="15" t="s">
        <v>62</v>
      </c>
      <c r="H50" s="15" t="s">
        <v>63</v>
      </c>
      <c r="I50" s="15" t="s">
        <v>136</v>
      </c>
    </row>
    <row r="51" customFormat="false" ht="23.25" hidden="false" customHeight="true" outlineLevel="0" collapsed="false">
      <c r="A51" s="14" t="n">
        <v>50</v>
      </c>
      <c r="B51" s="14" t="s">
        <v>130</v>
      </c>
      <c r="C51" s="14" t="s">
        <v>131</v>
      </c>
      <c r="D51" s="15" t="s">
        <v>132</v>
      </c>
      <c r="E51" s="15" t="s">
        <v>133</v>
      </c>
      <c r="F51" s="15" t="s">
        <v>141</v>
      </c>
      <c r="G51" s="15" t="s">
        <v>62</v>
      </c>
      <c r="H51" s="15" t="s">
        <v>63</v>
      </c>
      <c r="I51" s="15" t="s">
        <v>136</v>
      </c>
    </row>
    <row r="52" customFormat="false" ht="23.25" hidden="false" customHeight="true" outlineLevel="0" collapsed="false">
      <c r="A52" s="14" t="n">
        <v>51</v>
      </c>
      <c r="B52" s="14" t="s">
        <v>130</v>
      </c>
      <c r="C52" s="14" t="s">
        <v>131</v>
      </c>
      <c r="D52" s="15" t="s">
        <v>132</v>
      </c>
      <c r="E52" s="15" t="s">
        <v>133</v>
      </c>
      <c r="F52" s="15" t="s">
        <v>142</v>
      </c>
      <c r="G52" s="15" t="s">
        <v>62</v>
      </c>
      <c r="H52" s="15" t="s">
        <v>63</v>
      </c>
      <c r="I52" s="15" t="s">
        <v>136</v>
      </c>
    </row>
    <row r="53" customFormat="false" ht="23.25" hidden="false" customHeight="true" outlineLevel="0" collapsed="false">
      <c r="A53" s="14" t="n">
        <v>52</v>
      </c>
      <c r="B53" s="14" t="s">
        <v>130</v>
      </c>
      <c r="C53" s="14" t="s">
        <v>131</v>
      </c>
      <c r="D53" s="15" t="s">
        <v>132</v>
      </c>
      <c r="E53" s="15" t="s">
        <v>133</v>
      </c>
      <c r="F53" s="15" t="s">
        <v>143</v>
      </c>
      <c r="G53" s="15" t="s">
        <v>62</v>
      </c>
      <c r="H53" s="15" t="s">
        <v>63</v>
      </c>
      <c r="I53" s="15" t="s">
        <v>136</v>
      </c>
    </row>
    <row r="54" customFormat="false" ht="23.25" hidden="false" customHeight="true" outlineLevel="0" collapsed="false">
      <c r="A54" s="14" t="n">
        <v>53</v>
      </c>
      <c r="B54" s="14" t="s">
        <v>130</v>
      </c>
      <c r="C54" s="14" t="s">
        <v>131</v>
      </c>
      <c r="D54" s="15" t="s">
        <v>132</v>
      </c>
      <c r="E54" s="15" t="s">
        <v>133</v>
      </c>
      <c r="F54" s="15" t="s">
        <v>144</v>
      </c>
      <c r="G54" s="15" t="s">
        <v>62</v>
      </c>
      <c r="H54" s="15" t="s">
        <v>63</v>
      </c>
      <c r="I54" s="15" t="s">
        <v>136</v>
      </c>
    </row>
    <row r="55" customFormat="false" ht="23.25" hidden="false" customHeight="true" outlineLevel="0" collapsed="false">
      <c r="A55" s="14" t="n">
        <v>54</v>
      </c>
      <c r="B55" s="14" t="s">
        <v>130</v>
      </c>
      <c r="C55" s="14" t="s">
        <v>131</v>
      </c>
      <c r="D55" s="15" t="s">
        <v>132</v>
      </c>
      <c r="E55" s="15" t="s">
        <v>133</v>
      </c>
      <c r="F55" s="15" t="s">
        <v>145</v>
      </c>
      <c r="G55" s="15" t="s">
        <v>62</v>
      </c>
      <c r="H55" s="15" t="s">
        <v>63</v>
      </c>
      <c r="I55" s="15" t="s">
        <v>136</v>
      </c>
    </row>
    <row r="56" customFormat="false" ht="23.25" hidden="false" customHeight="true" outlineLevel="0" collapsed="false">
      <c r="A56" s="14" t="n">
        <v>55</v>
      </c>
      <c r="B56" s="14" t="s">
        <v>130</v>
      </c>
      <c r="C56" s="14" t="s">
        <v>131</v>
      </c>
      <c r="D56" s="15" t="s">
        <v>132</v>
      </c>
      <c r="E56" s="15" t="s">
        <v>133</v>
      </c>
      <c r="F56" s="15" t="s">
        <v>146</v>
      </c>
      <c r="G56" s="15" t="s">
        <v>62</v>
      </c>
      <c r="H56" s="15" t="s">
        <v>63</v>
      </c>
      <c r="I56" s="15" t="s">
        <v>136</v>
      </c>
    </row>
    <row r="57" customFormat="false" ht="23.25" hidden="false" customHeight="true" outlineLevel="0" collapsed="false">
      <c r="A57" s="14" t="n">
        <v>56</v>
      </c>
      <c r="B57" s="14" t="s">
        <v>130</v>
      </c>
      <c r="C57" s="14" t="s">
        <v>131</v>
      </c>
      <c r="D57" s="15" t="s">
        <v>132</v>
      </c>
      <c r="E57" s="15" t="s">
        <v>133</v>
      </c>
      <c r="F57" s="15" t="s">
        <v>147</v>
      </c>
      <c r="G57" s="15" t="s">
        <v>62</v>
      </c>
      <c r="H57" s="15" t="s">
        <v>63</v>
      </c>
      <c r="I57" s="15" t="s">
        <v>136</v>
      </c>
    </row>
    <row r="58" customFormat="false" ht="23.25" hidden="false" customHeight="true" outlineLevel="0" collapsed="false">
      <c r="A58" s="14" t="n">
        <v>57</v>
      </c>
      <c r="B58" s="14" t="s">
        <v>130</v>
      </c>
      <c r="C58" s="14" t="s">
        <v>131</v>
      </c>
      <c r="D58" s="15" t="s">
        <v>132</v>
      </c>
      <c r="E58" s="15" t="s">
        <v>133</v>
      </c>
      <c r="F58" s="15" t="s">
        <v>148</v>
      </c>
      <c r="G58" s="15" t="s">
        <v>62</v>
      </c>
      <c r="H58" s="15" t="s">
        <v>63</v>
      </c>
      <c r="I58" s="15" t="s">
        <v>136</v>
      </c>
    </row>
    <row r="59" customFormat="false" ht="23.25" hidden="false" customHeight="true" outlineLevel="0" collapsed="false">
      <c r="A59" s="14" t="n">
        <v>58</v>
      </c>
      <c r="B59" s="14" t="s">
        <v>130</v>
      </c>
      <c r="C59" s="14" t="s">
        <v>131</v>
      </c>
      <c r="D59" s="15" t="s">
        <v>132</v>
      </c>
      <c r="E59" s="15" t="s">
        <v>133</v>
      </c>
      <c r="F59" s="15" t="s">
        <v>149</v>
      </c>
      <c r="G59" s="15" t="s">
        <v>62</v>
      </c>
      <c r="H59" s="15" t="s">
        <v>63</v>
      </c>
      <c r="I59" s="15" t="s">
        <v>136</v>
      </c>
    </row>
    <row r="60" customFormat="false" ht="23.25" hidden="false" customHeight="true" outlineLevel="0" collapsed="false">
      <c r="A60" s="14" t="n">
        <v>59</v>
      </c>
      <c r="B60" s="14" t="s">
        <v>130</v>
      </c>
      <c r="C60" s="14" t="s">
        <v>131</v>
      </c>
      <c r="D60" s="15" t="s">
        <v>132</v>
      </c>
      <c r="E60" s="15" t="s">
        <v>133</v>
      </c>
      <c r="F60" s="15" t="s">
        <v>150</v>
      </c>
      <c r="G60" s="15" t="s">
        <v>62</v>
      </c>
      <c r="H60" s="15" t="s">
        <v>63</v>
      </c>
      <c r="I60" s="15" t="s">
        <v>136</v>
      </c>
    </row>
    <row r="61" customFormat="false" ht="23.25" hidden="false" customHeight="true" outlineLevel="0" collapsed="false">
      <c r="A61" s="14" t="n">
        <v>60</v>
      </c>
      <c r="B61" s="14" t="s">
        <v>130</v>
      </c>
      <c r="C61" s="14" t="s">
        <v>131</v>
      </c>
      <c r="D61" s="15" t="s">
        <v>132</v>
      </c>
      <c r="E61" s="15" t="s">
        <v>133</v>
      </c>
      <c r="F61" s="15" t="s">
        <v>151</v>
      </c>
      <c r="G61" s="15" t="s">
        <v>62</v>
      </c>
      <c r="H61" s="15" t="s">
        <v>63</v>
      </c>
      <c r="I61" s="15" t="s">
        <v>136</v>
      </c>
    </row>
    <row r="62" customFormat="false" ht="23.25" hidden="false" customHeight="true" outlineLevel="0" collapsed="false">
      <c r="A62" s="14" t="n">
        <v>61</v>
      </c>
      <c r="B62" s="14" t="s">
        <v>130</v>
      </c>
      <c r="C62" s="14" t="s">
        <v>131</v>
      </c>
      <c r="D62" s="15" t="s">
        <v>132</v>
      </c>
      <c r="E62" s="15" t="s">
        <v>133</v>
      </c>
      <c r="F62" s="15" t="s">
        <v>152</v>
      </c>
      <c r="G62" s="15" t="s">
        <v>62</v>
      </c>
      <c r="H62" s="15" t="s">
        <v>63</v>
      </c>
      <c r="I62" s="15" t="s">
        <v>136</v>
      </c>
    </row>
    <row r="63" customFormat="false" ht="23.25" hidden="false" customHeight="true" outlineLevel="0" collapsed="false">
      <c r="A63" s="14" t="n">
        <v>62</v>
      </c>
      <c r="B63" s="14" t="s">
        <v>130</v>
      </c>
      <c r="C63" s="14" t="s">
        <v>131</v>
      </c>
      <c r="D63" s="15" t="s">
        <v>132</v>
      </c>
      <c r="E63" s="15" t="s">
        <v>133</v>
      </c>
      <c r="F63" s="15" t="s">
        <v>153</v>
      </c>
      <c r="G63" s="15" t="s">
        <v>62</v>
      </c>
      <c r="H63" s="15" t="s">
        <v>63</v>
      </c>
      <c r="I63" s="15" t="s">
        <v>136</v>
      </c>
    </row>
    <row r="64" customFormat="false" ht="23.25" hidden="false" customHeight="true" outlineLevel="0" collapsed="false">
      <c r="A64" s="14" t="n">
        <v>63</v>
      </c>
      <c r="B64" s="14" t="s">
        <v>130</v>
      </c>
      <c r="C64" s="14" t="s">
        <v>131</v>
      </c>
      <c r="D64" s="15" t="s">
        <v>132</v>
      </c>
      <c r="E64" s="15" t="s">
        <v>133</v>
      </c>
      <c r="F64" s="15" t="s">
        <v>154</v>
      </c>
      <c r="G64" s="15" t="s">
        <v>62</v>
      </c>
      <c r="H64" s="15" t="s">
        <v>63</v>
      </c>
      <c r="I64" s="15" t="s">
        <v>136</v>
      </c>
    </row>
    <row r="65" customFormat="false" ht="23.25" hidden="false" customHeight="true" outlineLevel="0" collapsed="false">
      <c r="A65" s="14" t="n">
        <v>64</v>
      </c>
      <c r="B65" s="14" t="s">
        <v>130</v>
      </c>
      <c r="C65" s="14" t="s">
        <v>131</v>
      </c>
      <c r="D65" s="15" t="s">
        <v>132</v>
      </c>
      <c r="E65" s="15" t="s">
        <v>133</v>
      </c>
      <c r="F65" s="15" t="s">
        <v>155</v>
      </c>
      <c r="G65" s="15" t="s">
        <v>62</v>
      </c>
      <c r="H65" s="15" t="s">
        <v>63</v>
      </c>
      <c r="I65" s="15" t="s">
        <v>136</v>
      </c>
    </row>
    <row r="66" customFormat="false" ht="23.25" hidden="false" customHeight="true" outlineLevel="0" collapsed="false">
      <c r="A66" s="14" t="n">
        <v>65</v>
      </c>
      <c r="B66" s="14" t="s">
        <v>130</v>
      </c>
      <c r="C66" s="14" t="s">
        <v>131</v>
      </c>
      <c r="D66" s="15" t="s">
        <v>132</v>
      </c>
      <c r="E66" s="15" t="s">
        <v>133</v>
      </c>
      <c r="F66" s="15" t="s">
        <v>156</v>
      </c>
      <c r="G66" s="15" t="s">
        <v>62</v>
      </c>
      <c r="H66" s="15" t="s">
        <v>63</v>
      </c>
      <c r="I66" s="15" t="s">
        <v>136</v>
      </c>
    </row>
    <row r="67" customFormat="false" ht="23.25" hidden="false" customHeight="true" outlineLevel="0" collapsed="false">
      <c r="A67" s="14" t="n">
        <v>66</v>
      </c>
      <c r="B67" s="14" t="s">
        <v>130</v>
      </c>
      <c r="C67" s="14" t="s">
        <v>131</v>
      </c>
      <c r="D67" s="15" t="s">
        <v>132</v>
      </c>
      <c r="E67" s="15" t="s">
        <v>133</v>
      </c>
      <c r="F67" s="15" t="s">
        <v>157</v>
      </c>
      <c r="G67" s="15" t="s">
        <v>62</v>
      </c>
      <c r="H67" s="15" t="s">
        <v>63</v>
      </c>
      <c r="I67" s="15" t="s">
        <v>136</v>
      </c>
    </row>
    <row r="68" customFormat="false" ht="23.25" hidden="false" customHeight="true" outlineLevel="0" collapsed="false">
      <c r="A68" s="14" t="n">
        <v>67</v>
      </c>
      <c r="B68" s="14" t="s">
        <v>130</v>
      </c>
      <c r="C68" s="14" t="s">
        <v>131</v>
      </c>
      <c r="D68" s="15" t="s">
        <v>132</v>
      </c>
      <c r="E68" s="15" t="s">
        <v>133</v>
      </c>
      <c r="F68" s="15" t="s">
        <v>158</v>
      </c>
      <c r="G68" s="15" t="s">
        <v>62</v>
      </c>
      <c r="H68" s="15" t="s">
        <v>63</v>
      </c>
      <c r="I68" s="15" t="s">
        <v>136</v>
      </c>
    </row>
    <row r="69" customFormat="false" ht="23.25" hidden="false" customHeight="true" outlineLevel="0" collapsed="false">
      <c r="A69" s="14" t="n">
        <v>68</v>
      </c>
      <c r="B69" s="14" t="s">
        <v>130</v>
      </c>
      <c r="C69" s="14" t="s">
        <v>131</v>
      </c>
      <c r="D69" s="15" t="s">
        <v>132</v>
      </c>
      <c r="E69" s="15" t="s">
        <v>133</v>
      </c>
      <c r="F69" s="15" t="s">
        <v>159</v>
      </c>
      <c r="G69" s="15" t="s">
        <v>62</v>
      </c>
      <c r="H69" s="15" t="s">
        <v>63</v>
      </c>
      <c r="I69" s="15" t="s">
        <v>136</v>
      </c>
    </row>
    <row r="70" customFormat="false" ht="23.25" hidden="false" customHeight="true" outlineLevel="0" collapsed="false">
      <c r="A70" s="14" t="n">
        <v>69</v>
      </c>
      <c r="B70" s="14" t="s">
        <v>130</v>
      </c>
      <c r="C70" s="14" t="s">
        <v>131</v>
      </c>
      <c r="D70" s="15" t="s">
        <v>132</v>
      </c>
      <c r="E70" s="15" t="s">
        <v>133</v>
      </c>
      <c r="F70" s="15" t="s">
        <v>160</v>
      </c>
      <c r="G70" s="15" t="s">
        <v>62</v>
      </c>
      <c r="H70" s="15" t="s">
        <v>63</v>
      </c>
      <c r="I70" s="15" t="s">
        <v>136</v>
      </c>
    </row>
    <row r="71" customFormat="false" ht="23.25" hidden="false" customHeight="true" outlineLevel="0" collapsed="false">
      <c r="A71" s="14" t="n">
        <v>70</v>
      </c>
      <c r="B71" s="14" t="s">
        <v>130</v>
      </c>
      <c r="C71" s="14" t="s">
        <v>131</v>
      </c>
      <c r="D71" s="15" t="s">
        <v>132</v>
      </c>
      <c r="E71" s="15" t="s">
        <v>133</v>
      </c>
      <c r="F71" s="15" t="s">
        <v>161</v>
      </c>
      <c r="G71" s="15" t="s">
        <v>62</v>
      </c>
      <c r="H71" s="15" t="s">
        <v>63</v>
      </c>
      <c r="I71" s="15" t="s">
        <v>136</v>
      </c>
    </row>
    <row r="72" customFormat="false" ht="23.25" hidden="false" customHeight="true" outlineLevel="0" collapsed="false">
      <c r="A72" s="14" t="n">
        <v>71</v>
      </c>
      <c r="B72" s="14" t="s">
        <v>130</v>
      </c>
      <c r="C72" s="14" t="s">
        <v>131</v>
      </c>
      <c r="D72" s="15" t="s">
        <v>132</v>
      </c>
      <c r="E72" s="15" t="s">
        <v>133</v>
      </c>
      <c r="F72" s="15" t="s">
        <v>162</v>
      </c>
      <c r="G72" s="15" t="s">
        <v>62</v>
      </c>
      <c r="H72" s="15" t="s">
        <v>63</v>
      </c>
      <c r="I72" s="15" t="s">
        <v>136</v>
      </c>
    </row>
    <row r="73" customFormat="false" ht="23.25" hidden="false" customHeight="true" outlineLevel="0" collapsed="false">
      <c r="A73" s="14" t="n">
        <v>72</v>
      </c>
      <c r="B73" s="14" t="s">
        <v>130</v>
      </c>
      <c r="C73" s="14" t="s">
        <v>131</v>
      </c>
      <c r="D73" s="15" t="s">
        <v>132</v>
      </c>
      <c r="E73" s="15" t="s">
        <v>133</v>
      </c>
      <c r="F73" s="15" t="s">
        <v>163</v>
      </c>
      <c r="G73" s="15" t="s">
        <v>62</v>
      </c>
      <c r="H73" s="15" t="s">
        <v>63</v>
      </c>
      <c r="I73" s="15" t="s">
        <v>136</v>
      </c>
    </row>
    <row r="74" customFormat="false" ht="23.25" hidden="false" customHeight="true" outlineLevel="0" collapsed="false">
      <c r="A74" s="14" t="n">
        <v>73</v>
      </c>
      <c r="B74" s="14" t="s">
        <v>130</v>
      </c>
      <c r="C74" s="14" t="s">
        <v>131</v>
      </c>
      <c r="D74" s="15" t="s">
        <v>132</v>
      </c>
      <c r="E74" s="15" t="s">
        <v>133</v>
      </c>
      <c r="F74" s="15" t="s">
        <v>164</v>
      </c>
      <c r="G74" s="15" t="s">
        <v>62</v>
      </c>
      <c r="H74" s="15" t="s">
        <v>63</v>
      </c>
      <c r="I74" s="15" t="s">
        <v>136</v>
      </c>
    </row>
    <row r="75" customFormat="false" ht="23.25" hidden="false" customHeight="true" outlineLevel="0" collapsed="false">
      <c r="A75" s="14" t="n">
        <v>74</v>
      </c>
      <c r="B75" s="14" t="s">
        <v>130</v>
      </c>
      <c r="C75" s="14" t="s">
        <v>131</v>
      </c>
      <c r="D75" s="15" t="s">
        <v>132</v>
      </c>
      <c r="E75" s="15" t="s">
        <v>133</v>
      </c>
      <c r="F75" s="15" t="s">
        <v>165</v>
      </c>
      <c r="G75" s="15" t="s">
        <v>62</v>
      </c>
      <c r="H75" s="15" t="s">
        <v>63</v>
      </c>
      <c r="I75" s="15" t="s">
        <v>136</v>
      </c>
    </row>
    <row r="76" customFormat="false" ht="23.25" hidden="false" customHeight="true" outlineLevel="0" collapsed="false">
      <c r="A76" s="14" t="n">
        <v>75</v>
      </c>
      <c r="B76" s="14" t="s">
        <v>130</v>
      </c>
      <c r="C76" s="14" t="s">
        <v>131</v>
      </c>
      <c r="D76" s="15" t="s">
        <v>132</v>
      </c>
      <c r="E76" s="15" t="s">
        <v>133</v>
      </c>
      <c r="F76" s="15" t="s">
        <v>166</v>
      </c>
      <c r="G76" s="15" t="s">
        <v>62</v>
      </c>
      <c r="H76" s="15" t="s">
        <v>63</v>
      </c>
      <c r="I76" s="15" t="s">
        <v>136</v>
      </c>
    </row>
    <row r="77" customFormat="false" ht="23.25" hidden="false" customHeight="true" outlineLevel="0" collapsed="false">
      <c r="A77" s="14" t="n">
        <v>76</v>
      </c>
      <c r="B77" s="14" t="s">
        <v>130</v>
      </c>
      <c r="C77" s="14" t="s">
        <v>131</v>
      </c>
      <c r="D77" s="15" t="s">
        <v>132</v>
      </c>
      <c r="E77" s="15" t="s">
        <v>133</v>
      </c>
      <c r="F77" s="15" t="s">
        <v>167</v>
      </c>
      <c r="G77" s="15" t="s">
        <v>62</v>
      </c>
      <c r="H77" s="15" t="s">
        <v>63</v>
      </c>
      <c r="I77" s="15" t="s">
        <v>136</v>
      </c>
    </row>
    <row r="78" customFormat="false" ht="23.25" hidden="false" customHeight="true" outlineLevel="0" collapsed="false">
      <c r="A78" s="14" t="n">
        <v>77</v>
      </c>
      <c r="B78" s="14" t="s">
        <v>130</v>
      </c>
      <c r="C78" s="14" t="s">
        <v>131</v>
      </c>
      <c r="D78" s="15" t="s">
        <v>132</v>
      </c>
      <c r="E78" s="15" t="s">
        <v>133</v>
      </c>
      <c r="F78" s="15" t="s">
        <v>168</v>
      </c>
      <c r="G78" s="15" t="s">
        <v>62</v>
      </c>
      <c r="H78" s="15" t="s">
        <v>63</v>
      </c>
      <c r="I78" s="15" t="s">
        <v>136</v>
      </c>
    </row>
    <row r="79" customFormat="false" ht="23.25" hidden="false" customHeight="true" outlineLevel="0" collapsed="false">
      <c r="A79" s="14" t="n">
        <v>78</v>
      </c>
      <c r="B79" s="14" t="s">
        <v>130</v>
      </c>
      <c r="C79" s="14" t="s">
        <v>131</v>
      </c>
      <c r="D79" s="15" t="s">
        <v>132</v>
      </c>
      <c r="E79" s="15" t="s">
        <v>133</v>
      </c>
      <c r="F79" s="15" t="s">
        <v>169</v>
      </c>
      <c r="G79" s="15" t="s">
        <v>62</v>
      </c>
      <c r="H79" s="15" t="s">
        <v>63</v>
      </c>
      <c r="I79" s="15" t="s">
        <v>136</v>
      </c>
    </row>
    <row r="80" customFormat="false" ht="23.25" hidden="false" customHeight="true" outlineLevel="0" collapsed="false">
      <c r="A80" s="14" t="n">
        <v>79</v>
      </c>
      <c r="B80" s="14" t="s">
        <v>130</v>
      </c>
      <c r="C80" s="14" t="s">
        <v>131</v>
      </c>
      <c r="D80" s="15" t="s">
        <v>132</v>
      </c>
      <c r="E80" s="15" t="s">
        <v>133</v>
      </c>
      <c r="F80" s="15" t="s">
        <v>170</v>
      </c>
      <c r="G80" s="15" t="s">
        <v>62</v>
      </c>
      <c r="H80" s="15" t="s">
        <v>63</v>
      </c>
      <c r="I80" s="15" t="s">
        <v>136</v>
      </c>
    </row>
    <row r="81" customFormat="false" ht="23.25" hidden="false" customHeight="true" outlineLevel="0" collapsed="false">
      <c r="A81" s="14" t="n">
        <v>80</v>
      </c>
      <c r="B81" s="14" t="s">
        <v>130</v>
      </c>
      <c r="C81" s="14" t="s">
        <v>131</v>
      </c>
      <c r="D81" s="15" t="s">
        <v>132</v>
      </c>
      <c r="E81" s="15" t="s">
        <v>133</v>
      </c>
      <c r="F81" s="15" t="s">
        <v>171</v>
      </c>
      <c r="G81" s="15" t="s">
        <v>62</v>
      </c>
      <c r="H81" s="15" t="s">
        <v>63</v>
      </c>
      <c r="I81" s="15" t="s">
        <v>136</v>
      </c>
    </row>
    <row r="82" customFormat="false" ht="23.25" hidden="false" customHeight="true" outlineLevel="0" collapsed="false">
      <c r="A82" s="14" t="n">
        <v>81</v>
      </c>
      <c r="B82" s="14" t="s">
        <v>130</v>
      </c>
      <c r="C82" s="14" t="s">
        <v>131</v>
      </c>
      <c r="D82" s="15" t="s">
        <v>132</v>
      </c>
      <c r="E82" s="15" t="s">
        <v>133</v>
      </c>
      <c r="F82" s="15" t="s">
        <v>172</v>
      </c>
      <c r="G82" s="15" t="s">
        <v>62</v>
      </c>
      <c r="H82" s="15" t="s">
        <v>63</v>
      </c>
      <c r="I82" s="15" t="s">
        <v>136</v>
      </c>
    </row>
    <row r="83" customFormat="false" ht="23.25" hidden="false" customHeight="true" outlineLevel="0" collapsed="false">
      <c r="A83" s="14" t="n">
        <v>82</v>
      </c>
      <c r="B83" s="14" t="s">
        <v>130</v>
      </c>
      <c r="C83" s="14" t="s">
        <v>131</v>
      </c>
      <c r="D83" s="15" t="s">
        <v>132</v>
      </c>
      <c r="E83" s="15" t="s">
        <v>133</v>
      </c>
      <c r="F83" s="15" t="s">
        <v>173</v>
      </c>
      <c r="G83" s="15" t="s">
        <v>62</v>
      </c>
      <c r="H83" s="15" t="s">
        <v>63</v>
      </c>
      <c r="I83" s="15" t="s">
        <v>136</v>
      </c>
    </row>
    <row r="84" customFormat="false" ht="23.25" hidden="false" customHeight="true" outlineLevel="0" collapsed="false">
      <c r="A84" s="14" t="n">
        <v>83</v>
      </c>
      <c r="B84" s="14" t="s">
        <v>130</v>
      </c>
      <c r="C84" s="14" t="s">
        <v>131</v>
      </c>
      <c r="D84" s="15" t="s">
        <v>132</v>
      </c>
      <c r="E84" s="15" t="s">
        <v>133</v>
      </c>
      <c r="F84" s="15" t="s">
        <v>174</v>
      </c>
      <c r="G84" s="15" t="s">
        <v>62</v>
      </c>
      <c r="H84" s="15" t="s">
        <v>63</v>
      </c>
      <c r="I84" s="15" t="s">
        <v>136</v>
      </c>
    </row>
    <row r="85" customFormat="false" ht="23.25" hidden="false" customHeight="true" outlineLevel="0" collapsed="false">
      <c r="A85" s="14" t="n">
        <v>84</v>
      </c>
      <c r="B85" s="14" t="s">
        <v>130</v>
      </c>
      <c r="C85" s="14" t="s">
        <v>131</v>
      </c>
      <c r="D85" s="15" t="s">
        <v>132</v>
      </c>
      <c r="E85" s="15" t="s">
        <v>133</v>
      </c>
      <c r="F85" s="15" t="s">
        <v>175</v>
      </c>
      <c r="G85" s="15" t="s">
        <v>62</v>
      </c>
      <c r="H85" s="15" t="s">
        <v>63</v>
      </c>
      <c r="I85" s="15" t="s">
        <v>136</v>
      </c>
    </row>
    <row r="86" customFormat="false" ht="23.25" hidden="false" customHeight="true" outlineLevel="0" collapsed="false">
      <c r="A86" s="14" t="n">
        <v>85</v>
      </c>
      <c r="B86" s="14" t="s">
        <v>130</v>
      </c>
      <c r="C86" s="14" t="s">
        <v>131</v>
      </c>
      <c r="D86" s="15" t="s">
        <v>132</v>
      </c>
      <c r="E86" s="15" t="s">
        <v>133</v>
      </c>
      <c r="F86" s="15" t="s">
        <v>176</v>
      </c>
      <c r="G86" s="15" t="s">
        <v>62</v>
      </c>
      <c r="H86" s="15" t="s">
        <v>63</v>
      </c>
      <c r="I86" s="15" t="s">
        <v>136</v>
      </c>
    </row>
    <row r="87" customFormat="false" ht="23.25" hidden="false" customHeight="true" outlineLevel="0" collapsed="false">
      <c r="A87" s="14" t="n">
        <v>86</v>
      </c>
      <c r="B87" s="14" t="s">
        <v>130</v>
      </c>
      <c r="C87" s="14" t="s">
        <v>131</v>
      </c>
      <c r="D87" s="15" t="s">
        <v>132</v>
      </c>
      <c r="E87" s="15" t="s">
        <v>133</v>
      </c>
      <c r="F87" s="15" t="s">
        <v>177</v>
      </c>
      <c r="G87" s="15" t="s">
        <v>62</v>
      </c>
      <c r="H87" s="15" t="s">
        <v>63</v>
      </c>
      <c r="I87" s="15" t="s">
        <v>136</v>
      </c>
    </row>
    <row r="88" customFormat="false" ht="23.25" hidden="false" customHeight="true" outlineLevel="0" collapsed="false">
      <c r="A88" s="14" t="n">
        <v>87</v>
      </c>
      <c r="B88" s="14" t="s">
        <v>130</v>
      </c>
      <c r="C88" s="14" t="s">
        <v>131</v>
      </c>
      <c r="D88" s="15" t="s">
        <v>132</v>
      </c>
      <c r="E88" s="15" t="s">
        <v>133</v>
      </c>
      <c r="F88" s="15" t="s">
        <v>178</v>
      </c>
      <c r="G88" s="15" t="s">
        <v>62</v>
      </c>
      <c r="H88" s="15" t="s">
        <v>63</v>
      </c>
      <c r="I88" s="15" t="s">
        <v>136</v>
      </c>
    </row>
    <row r="89" customFormat="false" ht="23.25" hidden="false" customHeight="true" outlineLevel="0" collapsed="false">
      <c r="A89" s="14" t="n">
        <v>88</v>
      </c>
      <c r="B89" s="14" t="s">
        <v>130</v>
      </c>
      <c r="C89" s="14" t="s">
        <v>131</v>
      </c>
      <c r="D89" s="15" t="s">
        <v>132</v>
      </c>
      <c r="E89" s="15" t="s">
        <v>133</v>
      </c>
      <c r="F89" s="15" t="s">
        <v>179</v>
      </c>
      <c r="G89" s="15" t="s">
        <v>62</v>
      </c>
      <c r="H89" s="15" t="s">
        <v>63</v>
      </c>
      <c r="I89" s="15" t="s">
        <v>136</v>
      </c>
    </row>
    <row r="90" customFormat="false" ht="23.25" hidden="false" customHeight="true" outlineLevel="0" collapsed="false">
      <c r="A90" s="14" t="n">
        <v>89</v>
      </c>
      <c r="B90" s="14" t="s">
        <v>130</v>
      </c>
      <c r="C90" s="14" t="s">
        <v>131</v>
      </c>
      <c r="D90" s="15" t="s">
        <v>132</v>
      </c>
      <c r="E90" s="15" t="s">
        <v>133</v>
      </c>
      <c r="F90" s="15" t="s">
        <v>180</v>
      </c>
      <c r="G90" s="15" t="s">
        <v>62</v>
      </c>
      <c r="H90" s="15" t="s">
        <v>63</v>
      </c>
      <c r="I90" s="15" t="s">
        <v>136</v>
      </c>
    </row>
    <row r="91" customFormat="false" ht="23.25" hidden="false" customHeight="true" outlineLevel="0" collapsed="false">
      <c r="A91" s="14" t="n">
        <v>90</v>
      </c>
      <c r="B91" s="14" t="s">
        <v>130</v>
      </c>
      <c r="C91" s="14" t="s">
        <v>131</v>
      </c>
      <c r="D91" s="15" t="s">
        <v>132</v>
      </c>
      <c r="E91" s="15" t="s">
        <v>133</v>
      </c>
      <c r="F91" s="15" t="s">
        <v>181</v>
      </c>
      <c r="G91" s="15" t="s">
        <v>62</v>
      </c>
      <c r="H91" s="15" t="s">
        <v>63</v>
      </c>
      <c r="I91" s="15" t="s">
        <v>136</v>
      </c>
    </row>
    <row r="92" customFormat="false" ht="23.25" hidden="false" customHeight="true" outlineLevel="0" collapsed="false">
      <c r="A92" s="14" t="n">
        <v>91</v>
      </c>
      <c r="B92" s="14" t="s">
        <v>130</v>
      </c>
      <c r="C92" s="14" t="s">
        <v>131</v>
      </c>
      <c r="D92" s="15" t="s">
        <v>132</v>
      </c>
      <c r="E92" s="15" t="s">
        <v>133</v>
      </c>
      <c r="F92" s="15" t="s">
        <v>182</v>
      </c>
      <c r="G92" s="15" t="s">
        <v>62</v>
      </c>
      <c r="H92" s="15" t="s">
        <v>63</v>
      </c>
      <c r="I92" s="15" t="s">
        <v>136</v>
      </c>
    </row>
    <row r="93" customFormat="false" ht="23.25" hidden="false" customHeight="true" outlineLevel="0" collapsed="false">
      <c r="A93" s="14" t="n">
        <v>92</v>
      </c>
      <c r="B93" s="14" t="s">
        <v>130</v>
      </c>
      <c r="C93" s="14" t="s">
        <v>131</v>
      </c>
      <c r="D93" s="15" t="s">
        <v>132</v>
      </c>
      <c r="E93" s="15" t="s">
        <v>133</v>
      </c>
      <c r="F93" s="15" t="s">
        <v>183</v>
      </c>
      <c r="G93" s="15" t="s">
        <v>62</v>
      </c>
      <c r="H93" s="15" t="s">
        <v>63</v>
      </c>
      <c r="I93" s="15" t="s">
        <v>136</v>
      </c>
    </row>
    <row r="94" customFormat="false" ht="23.25" hidden="false" customHeight="true" outlineLevel="0" collapsed="false">
      <c r="A94" s="14" t="n">
        <v>93</v>
      </c>
      <c r="B94" s="14" t="s">
        <v>130</v>
      </c>
      <c r="C94" s="14" t="s">
        <v>131</v>
      </c>
      <c r="D94" s="15" t="s">
        <v>132</v>
      </c>
      <c r="E94" s="15" t="s">
        <v>133</v>
      </c>
      <c r="F94" s="15" t="s">
        <v>184</v>
      </c>
      <c r="G94" s="15" t="s">
        <v>62</v>
      </c>
      <c r="H94" s="15" t="s">
        <v>63</v>
      </c>
      <c r="I94" s="15" t="s">
        <v>136</v>
      </c>
    </row>
    <row r="95" customFormat="false" ht="23.25" hidden="false" customHeight="true" outlineLevel="0" collapsed="false">
      <c r="A95" s="14" t="n">
        <v>94</v>
      </c>
      <c r="B95" s="14" t="s">
        <v>130</v>
      </c>
      <c r="C95" s="14" t="s">
        <v>131</v>
      </c>
      <c r="D95" s="15" t="s">
        <v>132</v>
      </c>
      <c r="E95" s="15" t="s">
        <v>133</v>
      </c>
      <c r="F95" s="15" t="s">
        <v>185</v>
      </c>
      <c r="G95" s="15" t="s">
        <v>62</v>
      </c>
      <c r="H95" s="15" t="s">
        <v>63</v>
      </c>
      <c r="I95" s="15" t="s">
        <v>136</v>
      </c>
    </row>
    <row r="96" customFormat="false" ht="23.25" hidden="false" customHeight="true" outlineLevel="0" collapsed="false">
      <c r="A96" s="14" t="n">
        <v>95</v>
      </c>
      <c r="B96" s="14" t="s">
        <v>130</v>
      </c>
      <c r="C96" s="14" t="s">
        <v>131</v>
      </c>
      <c r="D96" s="15" t="s">
        <v>132</v>
      </c>
      <c r="E96" s="15" t="s">
        <v>133</v>
      </c>
      <c r="F96" s="15" t="s">
        <v>186</v>
      </c>
      <c r="G96" s="15" t="s">
        <v>62</v>
      </c>
      <c r="H96" s="15" t="s">
        <v>63</v>
      </c>
      <c r="I96" s="15" t="s">
        <v>136</v>
      </c>
    </row>
    <row r="97" customFormat="false" ht="23.25" hidden="false" customHeight="true" outlineLevel="0" collapsed="false">
      <c r="A97" s="14" t="n">
        <v>96</v>
      </c>
      <c r="B97" s="14" t="s">
        <v>130</v>
      </c>
      <c r="C97" s="14" t="s">
        <v>131</v>
      </c>
      <c r="D97" s="15" t="s">
        <v>132</v>
      </c>
      <c r="E97" s="15" t="s">
        <v>133</v>
      </c>
      <c r="F97" s="15" t="s">
        <v>187</v>
      </c>
      <c r="G97" s="15" t="s">
        <v>62</v>
      </c>
      <c r="H97" s="15" t="s">
        <v>63</v>
      </c>
      <c r="I97" s="15" t="s">
        <v>136</v>
      </c>
    </row>
    <row r="98" customFormat="false" ht="23.25" hidden="false" customHeight="true" outlineLevel="0" collapsed="false">
      <c r="A98" s="14" t="n">
        <v>97</v>
      </c>
      <c r="B98" s="14" t="s">
        <v>130</v>
      </c>
      <c r="C98" s="14" t="s">
        <v>131</v>
      </c>
      <c r="D98" s="15" t="s">
        <v>132</v>
      </c>
      <c r="E98" s="15" t="s">
        <v>133</v>
      </c>
      <c r="F98" s="15" t="s">
        <v>188</v>
      </c>
      <c r="G98" s="15" t="s">
        <v>62</v>
      </c>
      <c r="H98" s="15" t="s">
        <v>63</v>
      </c>
      <c r="I98" s="15" t="s">
        <v>136</v>
      </c>
    </row>
    <row r="99" customFormat="false" ht="23.25" hidden="false" customHeight="true" outlineLevel="0" collapsed="false">
      <c r="A99" s="14" t="n">
        <v>98</v>
      </c>
      <c r="B99" s="14" t="s">
        <v>130</v>
      </c>
      <c r="C99" s="14" t="s">
        <v>131</v>
      </c>
      <c r="D99" s="15" t="s">
        <v>132</v>
      </c>
      <c r="E99" s="15" t="s">
        <v>133</v>
      </c>
      <c r="F99" s="15" t="s">
        <v>189</v>
      </c>
      <c r="G99" s="15" t="s">
        <v>62</v>
      </c>
      <c r="H99" s="15" t="s">
        <v>63</v>
      </c>
      <c r="I99" s="15" t="s">
        <v>136</v>
      </c>
    </row>
    <row r="100" customFormat="false" ht="23.25" hidden="false" customHeight="true" outlineLevel="0" collapsed="false">
      <c r="A100" s="14" t="n">
        <v>99</v>
      </c>
      <c r="B100" s="14" t="s">
        <v>130</v>
      </c>
      <c r="C100" s="14" t="s">
        <v>131</v>
      </c>
      <c r="D100" s="15" t="s">
        <v>132</v>
      </c>
      <c r="E100" s="15" t="s">
        <v>133</v>
      </c>
      <c r="F100" s="15" t="s">
        <v>190</v>
      </c>
      <c r="G100" s="15" t="s">
        <v>62</v>
      </c>
      <c r="H100" s="15" t="s">
        <v>63</v>
      </c>
      <c r="I100" s="15" t="s">
        <v>136</v>
      </c>
    </row>
    <row r="101" customFormat="false" ht="23.25" hidden="false" customHeight="true" outlineLevel="0" collapsed="false">
      <c r="A101" s="14" t="n">
        <v>100</v>
      </c>
      <c r="B101" s="14" t="s">
        <v>130</v>
      </c>
      <c r="C101" s="14" t="s">
        <v>131</v>
      </c>
      <c r="D101" s="15" t="s">
        <v>132</v>
      </c>
      <c r="E101" s="15" t="s">
        <v>133</v>
      </c>
      <c r="F101" s="15" t="s">
        <v>191</v>
      </c>
      <c r="G101" s="15" t="s">
        <v>62</v>
      </c>
      <c r="H101" s="15" t="s">
        <v>63</v>
      </c>
      <c r="I101" s="15" t="s">
        <v>136</v>
      </c>
    </row>
    <row r="102" customFormat="false" ht="23.25" hidden="false" customHeight="true" outlineLevel="0" collapsed="false">
      <c r="A102" s="14" t="n">
        <v>101</v>
      </c>
      <c r="B102" s="14" t="s">
        <v>130</v>
      </c>
      <c r="C102" s="14" t="s">
        <v>131</v>
      </c>
      <c r="D102" s="15" t="s">
        <v>132</v>
      </c>
      <c r="E102" s="15" t="s">
        <v>133</v>
      </c>
      <c r="F102" s="15" t="s">
        <v>192</v>
      </c>
      <c r="G102" s="15" t="s">
        <v>62</v>
      </c>
      <c r="H102" s="15" t="s">
        <v>63</v>
      </c>
      <c r="I102" s="15" t="s">
        <v>136</v>
      </c>
    </row>
    <row r="103" customFormat="false" ht="23.25" hidden="false" customHeight="true" outlineLevel="0" collapsed="false">
      <c r="A103" s="14" t="n">
        <v>102</v>
      </c>
      <c r="B103" s="14" t="s">
        <v>130</v>
      </c>
      <c r="C103" s="14" t="s">
        <v>131</v>
      </c>
      <c r="D103" s="15" t="s">
        <v>132</v>
      </c>
      <c r="E103" s="15" t="s">
        <v>133</v>
      </c>
      <c r="F103" s="15" t="s">
        <v>193</v>
      </c>
      <c r="G103" s="15" t="s">
        <v>62</v>
      </c>
      <c r="H103" s="15" t="s">
        <v>63</v>
      </c>
      <c r="I103" s="15" t="s">
        <v>136</v>
      </c>
    </row>
    <row r="104" customFormat="false" ht="23.25" hidden="false" customHeight="true" outlineLevel="0" collapsed="false">
      <c r="A104" s="14" t="n">
        <v>103</v>
      </c>
      <c r="B104" s="14" t="s">
        <v>130</v>
      </c>
      <c r="C104" s="14" t="s">
        <v>131</v>
      </c>
      <c r="D104" s="15" t="s">
        <v>132</v>
      </c>
      <c r="E104" s="15" t="s">
        <v>133</v>
      </c>
      <c r="F104" s="15" t="s">
        <v>194</v>
      </c>
      <c r="G104" s="15" t="s">
        <v>62</v>
      </c>
      <c r="H104" s="15" t="s">
        <v>63</v>
      </c>
      <c r="I104" s="15" t="s">
        <v>136</v>
      </c>
    </row>
    <row r="105" customFormat="false" ht="34.5" hidden="false" customHeight="true" outlineLevel="0" collapsed="false">
      <c r="A105" s="14" t="n">
        <v>104</v>
      </c>
      <c r="B105" s="14" t="s">
        <v>130</v>
      </c>
      <c r="C105" s="14" t="s">
        <v>131</v>
      </c>
      <c r="D105" s="15" t="s">
        <v>132</v>
      </c>
      <c r="E105" s="15" t="s">
        <v>133</v>
      </c>
      <c r="F105" s="15" t="s">
        <v>195</v>
      </c>
      <c r="G105" s="15" t="s">
        <v>196</v>
      </c>
      <c r="H105" s="15" t="s">
        <v>63</v>
      </c>
      <c r="I105" s="15" t="s">
        <v>136</v>
      </c>
    </row>
    <row r="106" customFormat="false" ht="23.25" hidden="false" customHeight="true" outlineLevel="0" collapsed="false">
      <c r="A106" s="14" t="n">
        <v>105</v>
      </c>
      <c r="B106" s="14" t="s">
        <v>130</v>
      </c>
      <c r="C106" s="14" t="s">
        <v>131</v>
      </c>
      <c r="D106" s="15" t="s">
        <v>132</v>
      </c>
      <c r="E106" s="15" t="s">
        <v>133</v>
      </c>
      <c r="F106" s="15" t="s">
        <v>197</v>
      </c>
      <c r="G106" s="15" t="s">
        <v>62</v>
      </c>
      <c r="H106" s="15" t="s">
        <v>63</v>
      </c>
      <c r="I106" s="15" t="s">
        <v>136</v>
      </c>
    </row>
    <row r="107" customFormat="false" ht="23.25" hidden="false" customHeight="true" outlineLevel="0" collapsed="false">
      <c r="A107" s="14" t="n">
        <v>106</v>
      </c>
      <c r="B107" s="14" t="s">
        <v>130</v>
      </c>
      <c r="C107" s="14" t="s">
        <v>131</v>
      </c>
      <c r="D107" s="15" t="s">
        <v>132</v>
      </c>
      <c r="E107" s="15" t="s">
        <v>133</v>
      </c>
      <c r="F107" s="15" t="s">
        <v>198</v>
      </c>
      <c r="G107" s="15" t="s">
        <v>62</v>
      </c>
      <c r="H107" s="15" t="s">
        <v>63</v>
      </c>
      <c r="I107" s="15" t="s">
        <v>136</v>
      </c>
    </row>
    <row r="108" customFormat="false" ht="23.25" hidden="false" customHeight="true" outlineLevel="0" collapsed="false">
      <c r="A108" s="14" t="n">
        <v>107</v>
      </c>
      <c r="B108" s="14" t="s">
        <v>130</v>
      </c>
      <c r="C108" s="14" t="s">
        <v>131</v>
      </c>
      <c r="D108" s="15" t="s">
        <v>132</v>
      </c>
      <c r="E108" s="15" t="s">
        <v>133</v>
      </c>
      <c r="F108" s="15" t="s">
        <v>199</v>
      </c>
      <c r="G108" s="15" t="s">
        <v>62</v>
      </c>
      <c r="H108" s="15" t="s">
        <v>63</v>
      </c>
      <c r="I108" s="15" t="s">
        <v>136</v>
      </c>
    </row>
    <row r="109" customFormat="false" ht="23.25" hidden="false" customHeight="true" outlineLevel="0" collapsed="false">
      <c r="A109" s="14" t="n">
        <v>108</v>
      </c>
      <c r="B109" s="14" t="s">
        <v>130</v>
      </c>
      <c r="C109" s="14" t="s">
        <v>131</v>
      </c>
      <c r="D109" s="15" t="s">
        <v>132</v>
      </c>
      <c r="E109" s="15" t="s">
        <v>133</v>
      </c>
      <c r="F109" s="15" t="s">
        <v>200</v>
      </c>
      <c r="G109" s="15" t="s">
        <v>62</v>
      </c>
      <c r="H109" s="15" t="s">
        <v>63</v>
      </c>
      <c r="I109" s="15" t="s">
        <v>136</v>
      </c>
    </row>
    <row r="110" customFormat="false" ht="23.25" hidden="false" customHeight="true" outlineLevel="0" collapsed="false">
      <c r="A110" s="14" t="n">
        <v>109</v>
      </c>
      <c r="B110" s="14" t="s">
        <v>130</v>
      </c>
      <c r="C110" s="14" t="s">
        <v>131</v>
      </c>
      <c r="D110" s="15" t="s">
        <v>132</v>
      </c>
      <c r="E110" s="15" t="s">
        <v>133</v>
      </c>
      <c r="F110" s="15" t="s">
        <v>201</v>
      </c>
      <c r="G110" s="15" t="s">
        <v>62</v>
      </c>
      <c r="H110" s="15" t="s">
        <v>63</v>
      </c>
      <c r="I110" s="15" t="s">
        <v>136</v>
      </c>
    </row>
    <row r="111" customFormat="false" ht="23.25" hidden="false" customHeight="true" outlineLevel="0" collapsed="false">
      <c r="A111" s="14" t="n">
        <v>110</v>
      </c>
      <c r="B111" s="14" t="s">
        <v>130</v>
      </c>
      <c r="C111" s="14" t="s">
        <v>131</v>
      </c>
      <c r="D111" s="15" t="s">
        <v>132</v>
      </c>
      <c r="E111" s="15" t="s">
        <v>133</v>
      </c>
      <c r="F111" s="15" t="s">
        <v>202</v>
      </c>
      <c r="G111" s="15" t="s">
        <v>62</v>
      </c>
      <c r="H111" s="15" t="s">
        <v>63</v>
      </c>
      <c r="I111" s="15" t="s">
        <v>136</v>
      </c>
    </row>
    <row r="112" customFormat="false" ht="23.25" hidden="false" customHeight="true" outlineLevel="0" collapsed="false">
      <c r="A112" s="14" t="n">
        <v>111</v>
      </c>
      <c r="B112" s="14" t="s">
        <v>130</v>
      </c>
      <c r="C112" s="14" t="s">
        <v>131</v>
      </c>
      <c r="D112" s="15" t="s">
        <v>132</v>
      </c>
      <c r="E112" s="15" t="s">
        <v>133</v>
      </c>
      <c r="F112" s="15" t="s">
        <v>203</v>
      </c>
      <c r="G112" s="15" t="s">
        <v>62</v>
      </c>
      <c r="H112" s="15" t="s">
        <v>63</v>
      </c>
      <c r="I112" s="15" t="s">
        <v>136</v>
      </c>
    </row>
    <row r="113" customFormat="false" ht="23.25" hidden="false" customHeight="true" outlineLevel="0" collapsed="false">
      <c r="A113" s="14" t="n">
        <v>112</v>
      </c>
      <c r="B113" s="14" t="s">
        <v>130</v>
      </c>
      <c r="C113" s="14" t="s">
        <v>131</v>
      </c>
      <c r="D113" s="15" t="s">
        <v>132</v>
      </c>
      <c r="E113" s="15" t="s">
        <v>133</v>
      </c>
      <c r="F113" s="15" t="s">
        <v>204</v>
      </c>
      <c r="G113" s="15" t="s">
        <v>62</v>
      </c>
      <c r="H113" s="15" t="s">
        <v>63</v>
      </c>
      <c r="I113" s="15" t="s">
        <v>136</v>
      </c>
    </row>
    <row r="114" customFormat="false" ht="23.25" hidden="false" customHeight="true" outlineLevel="0" collapsed="false">
      <c r="A114" s="14" t="n">
        <v>113</v>
      </c>
      <c r="B114" s="14" t="s">
        <v>130</v>
      </c>
      <c r="C114" s="14" t="s">
        <v>131</v>
      </c>
      <c r="D114" s="15" t="s">
        <v>132</v>
      </c>
      <c r="E114" s="15" t="s">
        <v>133</v>
      </c>
      <c r="F114" s="15" t="s">
        <v>205</v>
      </c>
      <c r="G114" s="15" t="s">
        <v>62</v>
      </c>
      <c r="H114" s="15" t="s">
        <v>63</v>
      </c>
      <c r="I114" s="15" t="s">
        <v>136</v>
      </c>
    </row>
    <row r="115" customFormat="false" ht="23.25" hidden="false" customHeight="true" outlineLevel="0" collapsed="false">
      <c r="A115" s="14" t="n">
        <v>114</v>
      </c>
      <c r="B115" s="14" t="s">
        <v>130</v>
      </c>
      <c r="C115" s="14" t="s">
        <v>131</v>
      </c>
      <c r="D115" s="15" t="s">
        <v>132</v>
      </c>
      <c r="E115" s="15" t="s">
        <v>133</v>
      </c>
      <c r="F115" s="15" t="s">
        <v>206</v>
      </c>
      <c r="G115" s="15" t="s">
        <v>62</v>
      </c>
      <c r="H115" s="15" t="s">
        <v>63</v>
      </c>
      <c r="I115" s="15" t="s">
        <v>136</v>
      </c>
    </row>
    <row r="116" customFormat="false" ht="23.25" hidden="false" customHeight="true" outlineLevel="0" collapsed="false">
      <c r="A116" s="14" t="n">
        <v>115</v>
      </c>
      <c r="B116" s="14" t="s">
        <v>130</v>
      </c>
      <c r="C116" s="14" t="s">
        <v>131</v>
      </c>
      <c r="D116" s="15" t="s">
        <v>132</v>
      </c>
      <c r="E116" s="15" t="s">
        <v>133</v>
      </c>
      <c r="F116" s="15" t="s">
        <v>207</v>
      </c>
      <c r="G116" s="15" t="s">
        <v>62</v>
      </c>
      <c r="H116" s="15" t="s">
        <v>63</v>
      </c>
      <c r="I116" s="15" t="s">
        <v>136</v>
      </c>
    </row>
    <row r="117" customFormat="false" ht="34.5" hidden="false" customHeight="true" outlineLevel="0" collapsed="false">
      <c r="A117" s="14" t="n">
        <v>116</v>
      </c>
      <c r="B117" s="14" t="s">
        <v>130</v>
      </c>
      <c r="C117" s="14" t="s">
        <v>131</v>
      </c>
      <c r="D117" s="15" t="s">
        <v>132</v>
      </c>
      <c r="E117" s="15" t="s">
        <v>133</v>
      </c>
      <c r="F117" s="15" t="s">
        <v>208</v>
      </c>
      <c r="G117" s="15" t="s">
        <v>196</v>
      </c>
      <c r="H117" s="15" t="s">
        <v>63</v>
      </c>
      <c r="I117" s="15" t="s">
        <v>136</v>
      </c>
    </row>
    <row r="118" customFormat="false" ht="23.25" hidden="false" customHeight="true" outlineLevel="0" collapsed="false">
      <c r="A118" s="14" t="n">
        <v>117</v>
      </c>
      <c r="B118" s="14" t="s">
        <v>130</v>
      </c>
      <c r="C118" s="14" t="s">
        <v>131</v>
      </c>
      <c r="D118" s="15" t="s">
        <v>132</v>
      </c>
      <c r="E118" s="15" t="s">
        <v>133</v>
      </c>
      <c r="F118" s="15" t="s">
        <v>209</v>
      </c>
      <c r="G118" s="15" t="s">
        <v>62</v>
      </c>
      <c r="H118" s="15" t="s">
        <v>63</v>
      </c>
      <c r="I118" s="15" t="s">
        <v>136</v>
      </c>
    </row>
    <row r="119" customFormat="false" ht="23.25" hidden="false" customHeight="true" outlineLevel="0" collapsed="false">
      <c r="A119" s="14" t="n">
        <v>118</v>
      </c>
      <c r="B119" s="14" t="s">
        <v>130</v>
      </c>
      <c r="C119" s="14" t="s">
        <v>131</v>
      </c>
      <c r="D119" s="15" t="s">
        <v>132</v>
      </c>
      <c r="E119" s="15" t="s">
        <v>133</v>
      </c>
      <c r="F119" s="15" t="s">
        <v>210</v>
      </c>
      <c r="G119" s="15" t="s">
        <v>62</v>
      </c>
      <c r="H119" s="15" t="s">
        <v>63</v>
      </c>
      <c r="I119" s="15" t="s">
        <v>136</v>
      </c>
    </row>
    <row r="120" customFormat="false" ht="23.25" hidden="false" customHeight="true" outlineLevel="0" collapsed="false">
      <c r="A120" s="14" t="n">
        <v>119</v>
      </c>
      <c r="B120" s="14" t="s">
        <v>130</v>
      </c>
      <c r="C120" s="14" t="s">
        <v>131</v>
      </c>
      <c r="D120" s="15" t="s">
        <v>132</v>
      </c>
      <c r="E120" s="15" t="s">
        <v>133</v>
      </c>
      <c r="F120" s="15" t="s">
        <v>211</v>
      </c>
      <c r="G120" s="15" t="s">
        <v>62</v>
      </c>
      <c r="H120" s="15" t="s">
        <v>63</v>
      </c>
      <c r="I120" s="15" t="s">
        <v>136</v>
      </c>
    </row>
    <row r="121" customFormat="false" ht="23.25" hidden="false" customHeight="true" outlineLevel="0" collapsed="false">
      <c r="A121" s="14" t="n">
        <v>120</v>
      </c>
      <c r="B121" s="14" t="s">
        <v>130</v>
      </c>
      <c r="C121" s="14" t="s">
        <v>131</v>
      </c>
      <c r="D121" s="15" t="s">
        <v>132</v>
      </c>
      <c r="E121" s="15" t="s">
        <v>133</v>
      </c>
      <c r="F121" s="15" t="s">
        <v>212</v>
      </c>
      <c r="G121" s="15" t="s">
        <v>62</v>
      </c>
      <c r="H121" s="15" t="s">
        <v>63</v>
      </c>
      <c r="I121" s="15" t="s">
        <v>136</v>
      </c>
    </row>
    <row r="122" customFormat="false" ht="23.25" hidden="false" customHeight="true" outlineLevel="0" collapsed="false">
      <c r="A122" s="14" t="n">
        <v>121</v>
      </c>
      <c r="B122" s="14" t="s">
        <v>130</v>
      </c>
      <c r="C122" s="14" t="s">
        <v>131</v>
      </c>
      <c r="D122" s="15" t="s">
        <v>132</v>
      </c>
      <c r="E122" s="15" t="s">
        <v>133</v>
      </c>
      <c r="F122" s="15" t="s">
        <v>213</v>
      </c>
      <c r="G122" s="15" t="s">
        <v>62</v>
      </c>
      <c r="H122" s="15" t="s">
        <v>63</v>
      </c>
      <c r="I122" s="15" t="s">
        <v>136</v>
      </c>
    </row>
    <row r="123" customFormat="false" ht="23.25" hidden="false" customHeight="true" outlineLevel="0" collapsed="false">
      <c r="A123" s="14" t="n">
        <v>122</v>
      </c>
      <c r="B123" s="14" t="s">
        <v>130</v>
      </c>
      <c r="C123" s="14" t="s">
        <v>131</v>
      </c>
      <c r="D123" s="15" t="s">
        <v>132</v>
      </c>
      <c r="E123" s="15" t="s">
        <v>133</v>
      </c>
      <c r="F123" s="15" t="s">
        <v>214</v>
      </c>
      <c r="G123" s="15" t="s">
        <v>62</v>
      </c>
      <c r="H123" s="15" t="s">
        <v>63</v>
      </c>
      <c r="I123" s="15" t="s">
        <v>136</v>
      </c>
    </row>
    <row r="124" customFormat="false" ht="23.25" hidden="false" customHeight="true" outlineLevel="0" collapsed="false">
      <c r="A124" s="14" t="n">
        <v>123</v>
      </c>
      <c r="B124" s="14" t="s">
        <v>130</v>
      </c>
      <c r="C124" s="14" t="s">
        <v>131</v>
      </c>
      <c r="D124" s="15" t="s">
        <v>132</v>
      </c>
      <c r="E124" s="15" t="s">
        <v>133</v>
      </c>
      <c r="F124" s="15" t="s">
        <v>215</v>
      </c>
      <c r="G124" s="15" t="s">
        <v>62</v>
      </c>
      <c r="H124" s="15" t="s">
        <v>63</v>
      </c>
      <c r="I124" s="15" t="s">
        <v>136</v>
      </c>
    </row>
    <row r="125" customFormat="false" ht="23.25" hidden="false" customHeight="true" outlineLevel="0" collapsed="false">
      <c r="A125" s="14" t="n">
        <v>124</v>
      </c>
      <c r="B125" s="14" t="s">
        <v>130</v>
      </c>
      <c r="C125" s="14" t="s">
        <v>131</v>
      </c>
      <c r="D125" s="15" t="s">
        <v>132</v>
      </c>
      <c r="E125" s="15" t="s">
        <v>133</v>
      </c>
      <c r="F125" s="15" t="s">
        <v>216</v>
      </c>
      <c r="G125" s="15" t="s">
        <v>62</v>
      </c>
      <c r="H125" s="15" t="s">
        <v>63</v>
      </c>
      <c r="I125" s="15" t="s">
        <v>136</v>
      </c>
    </row>
    <row r="126" customFormat="false" ht="23.25" hidden="false" customHeight="true" outlineLevel="0" collapsed="false">
      <c r="A126" s="14" t="n">
        <v>125</v>
      </c>
      <c r="B126" s="14" t="s">
        <v>130</v>
      </c>
      <c r="C126" s="14" t="s">
        <v>131</v>
      </c>
      <c r="D126" s="15" t="s">
        <v>132</v>
      </c>
      <c r="E126" s="15" t="s">
        <v>133</v>
      </c>
      <c r="F126" s="15" t="s">
        <v>217</v>
      </c>
      <c r="G126" s="15" t="s">
        <v>62</v>
      </c>
      <c r="H126" s="15" t="s">
        <v>63</v>
      </c>
      <c r="I126" s="15" t="s">
        <v>136</v>
      </c>
    </row>
    <row r="127" customFormat="false" ht="23.25" hidden="false" customHeight="true" outlineLevel="0" collapsed="false">
      <c r="A127" s="14" t="n">
        <v>126</v>
      </c>
      <c r="B127" s="14" t="s">
        <v>218</v>
      </c>
      <c r="C127" s="14" t="s">
        <v>219</v>
      </c>
      <c r="D127" s="15" t="s">
        <v>220</v>
      </c>
      <c r="E127" s="15" t="s">
        <v>221</v>
      </c>
      <c r="F127" s="15" t="s">
        <v>134</v>
      </c>
      <c r="G127" s="15" t="s">
        <v>62</v>
      </c>
      <c r="H127" s="15" t="s">
        <v>63</v>
      </c>
      <c r="I127" s="15" t="s">
        <v>222</v>
      </c>
    </row>
    <row r="128" customFormat="false" ht="23.25" hidden="false" customHeight="true" outlineLevel="0" collapsed="false">
      <c r="A128" s="14" t="n">
        <v>127</v>
      </c>
      <c r="B128" s="14" t="s">
        <v>218</v>
      </c>
      <c r="C128" s="14" t="s">
        <v>219</v>
      </c>
      <c r="D128" s="15" t="s">
        <v>220</v>
      </c>
      <c r="E128" s="15" t="s">
        <v>221</v>
      </c>
      <c r="F128" s="15" t="s">
        <v>137</v>
      </c>
      <c r="G128" s="15" t="s">
        <v>62</v>
      </c>
      <c r="H128" s="15" t="s">
        <v>63</v>
      </c>
      <c r="I128" s="15" t="s">
        <v>222</v>
      </c>
    </row>
    <row r="129" customFormat="false" ht="23.25" hidden="false" customHeight="true" outlineLevel="0" collapsed="false">
      <c r="A129" s="14" t="n">
        <v>128</v>
      </c>
      <c r="B129" s="14" t="s">
        <v>218</v>
      </c>
      <c r="C129" s="14" t="s">
        <v>219</v>
      </c>
      <c r="D129" s="15" t="s">
        <v>220</v>
      </c>
      <c r="E129" s="15" t="s">
        <v>221</v>
      </c>
      <c r="F129" s="15" t="s">
        <v>138</v>
      </c>
      <c r="G129" s="15" t="s">
        <v>62</v>
      </c>
      <c r="H129" s="15" t="s">
        <v>63</v>
      </c>
      <c r="I129" s="15" t="s">
        <v>222</v>
      </c>
    </row>
    <row r="130" customFormat="false" ht="23.25" hidden="false" customHeight="true" outlineLevel="0" collapsed="false">
      <c r="A130" s="14" t="n">
        <v>129</v>
      </c>
      <c r="B130" s="14" t="s">
        <v>218</v>
      </c>
      <c r="C130" s="14" t="s">
        <v>219</v>
      </c>
      <c r="D130" s="15" t="s">
        <v>220</v>
      </c>
      <c r="E130" s="15" t="s">
        <v>221</v>
      </c>
      <c r="F130" s="15" t="s">
        <v>223</v>
      </c>
      <c r="G130" s="15" t="s">
        <v>62</v>
      </c>
      <c r="H130" s="15" t="s">
        <v>63</v>
      </c>
      <c r="I130" s="15" t="s">
        <v>222</v>
      </c>
    </row>
    <row r="131" customFormat="false" ht="23.25" hidden="false" customHeight="true" outlineLevel="0" collapsed="false">
      <c r="A131" s="14" t="n">
        <v>130</v>
      </c>
      <c r="B131" s="14" t="s">
        <v>218</v>
      </c>
      <c r="C131" s="14" t="s">
        <v>219</v>
      </c>
      <c r="D131" s="15" t="s">
        <v>220</v>
      </c>
      <c r="E131" s="15" t="s">
        <v>221</v>
      </c>
      <c r="F131" s="15" t="s">
        <v>224</v>
      </c>
      <c r="G131" s="15" t="s">
        <v>62</v>
      </c>
      <c r="H131" s="15" t="s">
        <v>63</v>
      </c>
      <c r="I131" s="15" t="s">
        <v>222</v>
      </c>
    </row>
    <row r="132" customFormat="false" ht="23.25" hidden="false" customHeight="true" outlineLevel="0" collapsed="false">
      <c r="A132" s="14" t="n">
        <v>131</v>
      </c>
      <c r="B132" s="14" t="s">
        <v>218</v>
      </c>
      <c r="C132" s="14" t="s">
        <v>219</v>
      </c>
      <c r="D132" s="15" t="s">
        <v>220</v>
      </c>
      <c r="E132" s="15" t="s">
        <v>221</v>
      </c>
      <c r="F132" s="15" t="s">
        <v>225</v>
      </c>
      <c r="G132" s="15" t="s">
        <v>62</v>
      </c>
      <c r="H132" s="15" t="s">
        <v>63</v>
      </c>
      <c r="I132" s="15" t="s">
        <v>222</v>
      </c>
    </row>
    <row r="133" customFormat="false" ht="23.25" hidden="false" customHeight="true" outlineLevel="0" collapsed="false">
      <c r="A133" s="14" t="n">
        <v>132</v>
      </c>
      <c r="B133" s="14" t="s">
        <v>218</v>
      </c>
      <c r="C133" s="14" t="s">
        <v>219</v>
      </c>
      <c r="D133" s="15" t="s">
        <v>220</v>
      </c>
      <c r="E133" s="15" t="s">
        <v>221</v>
      </c>
      <c r="F133" s="15" t="s">
        <v>226</v>
      </c>
      <c r="G133" s="15" t="s">
        <v>62</v>
      </c>
      <c r="H133" s="15" t="s">
        <v>63</v>
      </c>
      <c r="I133" s="15" t="s">
        <v>222</v>
      </c>
    </row>
    <row r="134" customFormat="false" ht="23.25" hidden="false" customHeight="true" outlineLevel="0" collapsed="false">
      <c r="A134" s="14" t="n">
        <v>133</v>
      </c>
      <c r="B134" s="14" t="s">
        <v>218</v>
      </c>
      <c r="C134" s="14" t="s">
        <v>219</v>
      </c>
      <c r="D134" s="15" t="s">
        <v>220</v>
      </c>
      <c r="E134" s="15" t="s">
        <v>221</v>
      </c>
      <c r="F134" s="15" t="s">
        <v>67</v>
      </c>
      <c r="G134" s="15" t="s">
        <v>62</v>
      </c>
      <c r="H134" s="15" t="s">
        <v>63</v>
      </c>
      <c r="I134" s="15" t="s">
        <v>222</v>
      </c>
    </row>
    <row r="135" customFormat="false" ht="23.25" hidden="false" customHeight="true" outlineLevel="0" collapsed="false">
      <c r="A135" s="14" t="n">
        <v>134</v>
      </c>
      <c r="B135" s="14" t="s">
        <v>218</v>
      </c>
      <c r="C135" s="14" t="s">
        <v>219</v>
      </c>
      <c r="D135" s="15" t="s">
        <v>220</v>
      </c>
      <c r="E135" s="15" t="s">
        <v>221</v>
      </c>
      <c r="F135" s="15" t="s">
        <v>144</v>
      </c>
      <c r="G135" s="15" t="s">
        <v>62</v>
      </c>
      <c r="H135" s="15" t="s">
        <v>63</v>
      </c>
      <c r="I135" s="15" t="s">
        <v>222</v>
      </c>
    </row>
    <row r="136" customFormat="false" ht="23.25" hidden="false" customHeight="true" outlineLevel="0" collapsed="false">
      <c r="A136" s="14" t="n">
        <v>135</v>
      </c>
      <c r="B136" s="14" t="s">
        <v>218</v>
      </c>
      <c r="C136" s="14" t="s">
        <v>219</v>
      </c>
      <c r="D136" s="15" t="s">
        <v>220</v>
      </c>
      <c r="E136" s="15" t="s">
        <v>221</v>
      </c>
      <c r="F136" s="15" t="s">
        <v>227</v>
      </c>
      <c r="G136" s="15" t="s">
        <v>62</v>
      </c>
      <c r="H136" s="15" t="s">
        <v>63</v>
      </c>
      <c r="I136" s="15" t="s">
        <v>222</v>
      </c>
    </row>
    <row r="137" customFormat="false" ht="23.25" hidden="false" customHeight="true" outlineLevel="0" collapsed="false">
      <c r="A137" s="14" t="n">
        <v>136</v>
      </c>
      <c r="B137" s="14" t="s">
        <v>218</v>
      </c>
      <c r="C137" s="14" t="s">
        <v>219</v>
      </c>
      <c r="D137" s="15" t="s">
        <v>220</v>
      </c>
      <c r="E137" s="15" t="s">
        <v>221</v>
      </c>
      <c r="F137" s="15" t="s">
        <v>228</v>
      </c>
      <c r="G137" s="15" t="s">
        <v>62</v>
      </c>
      <c r="H137" s="15" t="s">
        <v>63</v>
      </c>
      <c r="I137" s="15" t="s">
        <v>222</v>
      </c>
    </row>
    <row r="138" customFormat="false" ht="23.25" hidden="false" customHeight="true" outlineLevel="0" collapsed="false">
      <c r="A138" s="14" t="n">
        <v>137</v>
      </c>
      <c r="B138" s="14" t="s">
        <v>218</v>
      </c>
      <c r="C138" s="14" t="s">
        <v>219</v>
      </c>
      <c r="D138" s="15" t="s">
        <v>220</v>
      </c>
      <c r="E138" s="15" t="s">
        <v>221</v>
      </c>
      <c r="F138" s="15" t="s">
        <v>229</v>
      </c>
      <c r="G138" s="15" t="s">
        <v>62</v>
      </c>
      <c r="H138" s="15" t="s">
        <v>63</v>
      </c>
      <c r="I138" s="15" t="s">
        <v>222</v>
      </c>
    </row>
    <row r="139" customFormat="false" ht="23.25" hidden="false" customHeight="true" outlineLevel="0" collapsed="false">
      <c r="A139" s="14" t="n">
        <v>138</v>
      </c>
      <c r="B139" s="14" t="s">
        <v>218</v>
      </c>
      <c r="C139" s="14" t="s">
        <v>219</v>
      </c>
      <c r="D139" s="15" t="s">
        <v>220</v>
      </c>
      <c r="E139" s="15" t="s">
        <v>221</v>
      </c>
      <c r="F139" s="15" t="s">
        <v>230</v>
      </c>
      <c r="G139" s="15" t="s">
        <v>62</v>
      </c>
      <c r="H139" s="15" t="s">
        <v>63</v>
      </c>
      <c r="I139" s="15" t="s">
        <v>222</v>
      </c>
    </row>
    <row r="140" customFormat="false" ht="23.25" hidden="false" customHeight="true" outlineLevel="0" collapsed="false">
      <c r="A140" s="14" t="n">
        <v>139</v>
      </c>
      <c r="B140" s="14" t="s">
        <v>218</v>
      </c>
      <c r="C140" s="14" t="s">
        <v>219</v>
      </c>
      <c r="D140" s="15" t="s">
        <v>220</v>
      </c>
      <c r="E140" s="15" t="s">
        <v>221</v>
      </c>
      <c r="F140" s="15" t="s">
        <v>231</v>
      </c>
      <c r="G140" s="15" t="s">
        <v>62</v>
      </c>
      <c r="H140" s="15" t="s">
        <v>63</v>
      </c>
      <c r="I140" s="15" t="s">
        <v>222</v>
      </c>
    </row>
    <row r="141" customFormat="false" ht="23.25" hidden="false" customHeight="true" outlineLevel="0" collapsed="false">
      <c r="A141" s="14" t="n">
        <v>140</v>
      </c>
      <c r="B141" s="14" t="s">
        <v>218</v>
      </c>
      <c r="C141" s="14" t="s">
        <v>219</v>
      </c>
      <c r="D141" s="15" t="s">
        <v>220</v>
      </c>
      <c r="E141" s="15" t="s">
        <v>221</v>
      </c>
      <c r="F141" s="15" t="s">
        <v>32</v>
      </c>
      <c r="G141" s="15" t="s">
        <v>62</v>
      </c>
      <c r="H141" s="15" t="s">
        <v>63</v>
      </c>
      <c r="I141" s="15" t="s">
        <v>222</v>
      </c>
    </row>
    <row r="142" customFormat="false" ht="23.25" hidden="false" customHeight="true" outlineLevel="0" collapsed="false">
      <c r="A142" s="14" t="n">
        <v>141</v>
      </c>
      <c r="B142" s="14" t="s">
        <v>218</v>
      </c>
      <c r="C142" s="14" t="s">
        <v>219</v>
      </c>
      <c r="D142" s="15" t="s">
        <v>220</v>
      </c>
      <c r="E142" s="15" t="s">
        <v>221</v>
      </c>
      <c r="F142" s="15" t="s">
        <v>232</v>
      </c>
      <c r="G142" s="15" t="s">
        <v>62</v>
      </c>
      <c r="H142" s="15" t="s">
        <v>63</v>
      </c>
      <c r="I142" s="15" t="s">
        <v>222</v>
      </c>
    </row>
    <row r="143" customFormat="false" ht="23.25" hidden="false" customHeight="true" outlineLevel="0" collapsed="false">
      <c r="A143" s="14" t="n">
        <v>142</v>
      </c>
      <c r="B143" s="14" t="s">
        <v>218</v>
      </c>
      <c r="C143" s="14" t="s">
        <v>219</v>
      </c>
      <c r="D143" s="15" t="s">
        <v>220</v>
      </c>
      <c r="E143" s="15" t="s">
        <v>221</v>
      </c>
      <c r="F143" s="15" t="s">
        <v>233</v>
      </c>
      <c r="G143" s="15" t="s">
        <v>62</v>
      </c>
      <c r="H143" s="15" t="s">
        <v>63</v>
      </c>
      <c r="I143" s="15" t="s">
        <v>222</v>
      </c>
    </row>
    <row r="144" customFormat="false" ht="23.25" hidden="false" customHeight="true" outlineLevel="0" collapsed="false">
      <c r="A144" s="14" t="n">
        <v>143</v>
      </c>
      <c r="B144" s="14" t="s">
        <v>218</v>
      </c>
      <c r="C144" s="14" t="s">
        <v>219</v>
      </c>
      <c r="D144" s="15" t="s">
        <v>220</v>
      </c>
      <c r="E144" s="15" t="s">
        <v>221</v>
      </c>
      <c r="F144" s="15" t="s">
        <v>234</v>
      </c>
      <c r="G144" s="15" t="s">
        <v>62</v>
      </c>
      <c r="H144" s="15" t="s">
        <v>63</v>
      </c>
      <c r="I144" s="15" t="s">
        <v>222</v>
      </c>
    </row>
    <row r="145" customFormat="false" ht="23.25" hidden="false" customHeight="true" outlineLevel="0" collapsed="false">
      <c r="A145" s="14" t="n">
        <v>144</v>
      </c>
      <c r="B145" s="14" t="s">
        <v>218</v>
      </c>
      <c r="C145" s="14" t="s">
        <v>219</v>
      </c>
      <c r="D145" s="15" t="s">
        <v>220</v>
      </c>
      <c r="E145" s="15" t="s">
        <v>221</v>
      </c>
      <c r="F145" s="15" t="s">
        <v>235</v>
      </c>
      <c r="G145" s="15" t="s">
        <v>62</v>
      </c>
      <c r="H145" s="15" t="s">
        <v>63</v>
      </c>
      <c r="I145" s="15" t="s">
        <v>222</v>
      </c>
    </row>
    <row r="146" customFormat="false" ht="23.25" hidden="false" customHeight="true" outlineLevel="0" collapsed="false">
      <c r="A146" s="14" t="n">
        <v>145</v>
      </c>
      <c r="B146" s="14" t="s">
        <v>218</v>
      </c>
      <c r="C146" s="14" t="s">
        <v>219</v>
      </c>
      <c r="D146" s="15" t="s">
        <v>220</v>
      </c>
      <c r="E146" s="15" t="s">
        <v>221</v>
      </c>
      <c r="F146" s="15" t="s">
        <v>236</v>
      </c>
      <c r="G146" s="15" t="s">
        <v>62</v>
      </c>
      <c r="H146" s="15" t="s">
        <v>63</v>
      </c>
      <c r="I146" s="15" t="s">
        <v>222</v>
      </c>
    </row>
    <row r="147" customFormat="false" ht="23.25" hidden="false" customHeight="true" outlineLevel="0" collapsed="false">
      <c r="A147" s="14" t="n">
        <v>146</v>
      </c>
      <c r="B147" s="14" t="s">
        <v>218</v>
      </c>
      <c r="C147" s="14" t="s">
        <v>219</v>
      </c>
      <c r="D147" s="15" t="s">
        <v>220</v>
      </c>
      <c r="E147" s="15" t="s">
        <v>221</v>
      </c>
      <c r="F147" s="15" t="s">
        <v>237</v>
      </c>
      <c r="G147" s="15" t="s">
        <v>62</v>
      </c>
      <c r="H147" s="15" t="s">
        <v>63</v>
      </c>
      <c r="I147" s="15" t="s">
        <v>222</v>
      </c>
    </row>
    <row r="148" customFormat="false" ht="23.25" hidden="false" customHeight="true" outlineLevel="0" collapsed="false">
      <c r="A148" s="14" t="n">
        <v>147</v>
      </c>
      <c r="B148" s="14" t="s">
        <v>218</v>
      </c>
      <c r="C148" s="14" t="s">
        <v>219</v>
      </c>
      <c r="D148" s="15" t="s">
        <v>220</v>
      </c>
      <c r="E148" s="15" t="s">
        <v>221</v>
      </c>
      <c r="F148" s="15" t="s">
        <v>238</v>
      </c>
      <c r="G148" s="15" t="s">
        <v>62</v>
      </c>
      <c r="H148" s="15" t="s">
        <v>63</v>
      </c>
      <c r="I148" s="15" t="s">
        <v>222</v>
      </c>
    </row>
    <row r="149" customFormat="false" ht="23.25" hidden="false" customHeight="true" outlineLevel="0" collapsed="false">
      <c r="A149" s="14" t="n">
        <v>148</v>
      </c>
      <c r="B149" s="14" t="s">
        <v>218</v>
      </c>
      <c r="C149" s="14" t="s">
        <v>219</v>
      </c>
      <c r="D149" s="15" t="s">
        <v>220</v>
      </c>
      <c r="E149" s="15" t="s">
        <v>221</v>
      </c>
      <c r="F149" s="15" t="s">
        <v>36</v>
      </c>
      <c r="G149" s="15" t="s">
        <v>62</v>
      </c>
      <c r="H149" s="15" t="s">
        <v>63</v>
      </c>
      <c r="I149" s="15" t="s">
        <v>222</v>
      </c>
    </row>
    <row r="150" customFormat="false" ht="23.25" hidden="false" customHeight="true" outlineLevel="0" collapsed="false">
      <c r="A150" s="14" t="n">
        <v>149</v>
      </c>
      <c r="B150" s="14" t="s">
        <v>218</v>
      </c>
      <c r="C150" s="14" t="s">
        <v>219</v>
      </c>
      <c r="D150" s="15" t="s">
        <v>220</v>
      </c>
      <c r="E150" s="15" t="s">
        <v>221</v>
      </c>
      <c r="F150" s="15" t="s">
        <v>239</v>
      </c>
      <c r="G150" s="15" t="s">
        <v>62</v>
      </c>
      <c r="H150" s="15" t="s">
        <v>63</v>
      </c>
      <c r="I150" s="15" t="s">
        <v>222</v>
      </c>
    </row>
    <row r="151" customFormat="false" ht="23.25" hidden="false" customHeight="true" outlineLevel="0" collapsed="false">
      <c r="A151" s="14" t="n">
        <v>150</v>
      </c>
      <c r="B151" s="14" t="s">
        <v>218</v>
      </c>
      <c r="C151" s="14" t="s">
        <v>219</v>
      </c>
      <c r="D151" s="15" t="s">
        <v>220</v>
      </c>
      <c r="E151" s="15" t="s">
        <v>221</v>
      </c>
      <c r="F151" s="15" t="s">
        <v>24</v>
      </c>
      <c r="G151" s="15" t="s">
        <v>62</v>
      </c>
      <c r="H151" s="15" t="s">
        <v>63</v>
      </c>
      <c r="I151" s="15" t="s">
        <v>222</v>
      </c>
    </row>
    <row r="152" customFormat="false" ht="23.25" hidden="false" customHeight="true" outlineLevel="0" collapsed="false">
      <c r="A152" s="14" t="n">
        <v>151</v>
      </c>
      <c r="B152" s="14" t="s">
        <v>218</v>
      </c>
      <c r="C152" s="14" t="s">
        <v>219</v>
      </c>
      <c r="D152" s="15" t="s">
        <v>220</v>
      </c>
      <c r="E152" s="15" t="s">
        <v>221</v>
      </c>
      <c r="F152" s="15" t="s">
        <v>240</v>
      </c>
      <c r="G152" s="15" t="s">
        <v>62</v>
      </c>
      <c r="H152" s="15" t="s">
        <v>63</v>
      </c>
      <c r="I152" s="15" t="s">
        <v>222</v>
      </c>
    </row>
    <row r="153" customFormat="false" ht="23.25" hidden="false" customHeight="true" outlineLevel="0" collapsed="false">
      <c r="A153" s="14" t="n">
        <v>152</v>
      </c>
      <c r="B153" s="14" t="s">
        <v>241</v>
      </c>
      <c r="C153" s="14" t="s">
        <v>242</v>
      </c>
      <c r="D153" s="15" t="s">
        <v>243</v>
      </c>
      <c r="E153" s="15" t="s">
        <v>244</v>
      </c>
      <c r="F153" s="15" t="s">
        <v>245</v>
      </c>
      <c r="G153" s="15" t="s">
        <v>62</v>
      </c>
      <c r="H153" s="15" t="s">
        <v>63</v>
      </c>
      <c r="I153" s="15" t="s">
        <v>246</v>
      </c>
    </row>
    <row r="154" customFormat="false" ht="23.25" hidden="false" customHeight="true" outlineLevel="0" collapsed="false">
      <c r="A154" s="14" t="n">
        <v>153</v>
      </c>
      <c r="B154" s="14" t="s">
        <v>241</v>
      </c>
      <c r="C154" s="14" t="s">
        <v>242</v>
      </c>
      <c r="D154" s="15" t="s">
        <v>243</v>
      </c>
      <c r="E154" s="15" t="s">
        <v>244</v>
      </c>
      <c r="F154" s="15" t="s">
        <v>247</v>
      </c>
      <c r="G154" s="15" t="s">
        <v>62</v>
      </c>
      <c r="H154" s="15" t="s">
        <v>63</v>
      </c>
      <c r="I154" s="15" t="s">
        <v>246</v>
      </c>
    </row>
    <row r="155" customFormat="false" ht="23.25" hidden="false" customHeight="true" outlineLevel="0" collapsed="false">
      <c r="A155" s="14" t="n">
        <v>154</v>
      </c>
      <c r="B155" s="14" t="s">
        <v>241</v>
      </c>
      <c r="C155" s="14" t="s">
        <v>242</v>
      </c>
      <c r="D155" s="15" t="s">
        <v>243</v>
      </c>
      <c r="E155" s="15" t="s">
        <v>244</v>
      </c>
      <c r="F155" s="15" t="s">
        <v>248</v>
      </c>
      <c r="G155" s="15" t="s">
        <v>62</v>
      </c>
      <c r="H155" s="15" t="s">
        <v>63</v>
      </c>
      <c r="I155" s="15" t="s">
        <v>246</v>
      </c>
    </row>
    <row r="156" customFormat="false" ht="23.25" hidden="false" customHeight="true" outlineLevel="0" collapsed="false">
      <c r="A156" s="14" t="n">
        <v>155</v>
      </c>
      <c r="B156" s="14" t="s">
        <v>241</v>
      </c>
      <c r="C156" s="14" t="s">
        <v>242</v>
      </c>
      <c r="D156" s="15" t="s">
        <v>243</v>
      </c>
      <c r="E156" s="15" t="s">
        <v>244</v>
      </c>
      <c r="F156" s="15" t="s">
        <v>32</v>
      </c>
      <c r="G156" s="15" t="s">
        <v>62</v>
      </c>
      <c r="H156" s="15" t="s">
        <v>63</v>
      </c>
      <c r="I156" s="15" t="s">
        <v>246</v>
      </c>
    </row>
    <row r="157" customFormat="false" ht="23.25" hidden="false" customHeight="true" outlineLevel="0" collapsed="false">
      <c r="A157" s="14" t="n">
        <v>156</v>
      </c>
      <c r="B157" s="14" t="s">
        <v>241</v>
      </c>
      <c r="C157" s="14" t="s">
        <v>242</v>
      </c>
      <c r="D157" s="15" t="s">
        <v>243</v>
      </c>
      <c r="E157" s="15" t="s">
        <v>244</v>
      </c>
      <c r="F157" s="15" t="s">
        <v>43</v>
      </c>
      <c r="G157" s="15" t="s">
        <v>62</v>
      </c>
      <c r="H157" s="15" t="s">
        <v>63</v>
      </c>
      <c r="I157" s="15" t="s">
        <v>246</v>
      </c>
    </row>
    <row r="158" customFormat="false" ht="23.25" hidden="false" customHeight="true" outlineLevel="0" collapsed="false">
      <c r="A158" s="14" t="n">
        <v>157</v>
      </c>
      <c r="B158" s="14" t="s">
        <v>241</v>
      </c>
      <c r="C158" s="14" t="s">
        <v>242</v>
      </c>
      <c r="D158" s="15" t="s">
        <v>243</v>
      </c>
      <c r="E158" s="15" t="s">
        <v>244</v>
      </c>
      <c r="F158" s="15" t="s">
        <v>249</v>
      </c>
      <c r="G158" s="15" t="s">
        <v>62</v>
      </c>
      <c r="H158" s="15" t="s">
        <v>63</v>
      </c>
      <c r="I158" s="15" t="s">
        <v>246</v>
      </c>
    </row>
    <row r="159" customFormat="false" ht="23.25" hidden="false" customHeight="true" outlineLevel="0" collapsed="false">
      <c r="A159" s="14" t="n">
        <v>158</v>
      </c>
      <c r="B159" s="14" t="s">
        <v>241</v>
      </c>
      <c r="C159" s="14" t="s">
        <v>242</v>
      </c>
      <c r="D159" s="15" t="s">
        <v>243</v>
      </c>
      <c r="E159" s="15" t="s">
        <v>244</v>
      </c>
      <c r="F159" s="15" t="s">
        <v>250</v>
      </c>
      <c r="G159" s="15" t="s">
        <v>62</v>
      </c>
      <c r="H159" s="15" t="s">
        <v>63</v>
      </c>
      <c r="I159" s="15" t="s">
        <v>246</v>
      </c>
    </row>
    <row r="160" customFormat="false" ht="23.25" hidden="false" customHeight="true" outlineLevel="0" collapsed="false">
      <c r="A160" s="14" t="n">
        <v>159</v>
      </c>
      <c r="B160" s="14" t="s">
        <v>241</v>
      </c>
      <c r="C160" s="14" t="s">
        <v>242</v>
      </c>
      <c r="D160" s="15" t="s">
        <v>243</v>
      </c>
      <c r="E160" s="15" t="s">
        <v>244</v>
      </c>
      <c r="F160" s="15" t="s">
        <v>24</v>
      </c>
      <c r="G160" s="15" t="s">
        <v>62</v>
      </c>
      <c r="H160" s="15" t="s">
        <v>63</v>
      </c>
      <c r="I160" s="15" t="s">
        <v>246</v>
      </c>
    </row>
    <row r="161" customFormat="false" ht="23.25" hidden="false" customHeight="true" outlineLevel="0" collapsed="false">
      <c r="A161" s="14" t="n">
        <v>160</v>
      </c>
      <c r="B161" s="14" t="s">
        <v>241</v>
      </c>
      <c r="C161" s="14" t="s">
        <v>242</v>
      </c>
      <c r="D161" s="15" t="s">
        <v>243</v>
      </c>
      <c r="E161" s="15" t="s">
        <v>244</v>
      </c>
      <c r="F161" s="15" t="s">
        <v>251</v>
      </c>
      <c r="G161" s="15" t="s">
        <v>62</v>
      </c>
      <c r="H161" s="15" t="s">
        <v>63</v>
      </c>
      <c r="I161" s="15" t="s">
        <v>246</v>
      </c>
    </row>
    <row r="162" customFormat="false" ht="23.25" hidden="false" customHeight="true" outlineLevel="0" collapsed="false">
      <c r="A162" s="14" t="n">
        <v>161</v>
      </c>
      <c r="B162" s="14" t="s">
        <v>241</v>
      </c>
      <c r="C162" s="14" t="s">
        <v>242</v>
      </c>
      <c r="D162" s="15" t="s">
        <v>243</v>
      </c>
      <c r="E162" s="15" t="s">
        <v>244</v>
      </c>
      <c r="F162" s="15" t="s">
        <v>252</v>
      </c>
      <c r="G162" s="15" t="s">
        <v>62</v>
      </c>
      <c r="H162" s="15" t="s">
        <v>63</v>
      </c>
      <c r="I162" s="15" t="s">
        <v>246</v>
      </c>
    </row>
    <row r="163" customFormat="false" ht="23.25" hidden="false" customHeight="true" outlineLevel="0" collapsed="false">
      <c r="A163" s="14" t="n">
        <v>162</v>
      </c>
      <c r="B163" s="14" t="s">
        <v>241</v>
      </c>
      <c r="C163" s="14" t="s">
        <v>242</v>
      </c>
      <c r="D163" s="15" t="s">
        <v>243</v>
      </c>
      <c r="E163" s="15" t="s">
        <v>244</v>
      </c>
      <c r="F163" s="15" t="s">
        <v>253</v>
      </c>
      <c r="G163" s="15" t="s">
        <v>62</v>
      </c>
      <c r="H163" s="15" t="s">
        <v>63</v>
      </c>
      <c r="I163" s="15" t="s">
        <v>246</v>
      </c>
    </row>
    <row r="164" customFormat="false" ht="23.25" hidden="false" customHeight="true" outlineLevel="0" collapsed="false">
      <c r="A164" s="14" t="n">
        <v>163</v>
      </c>
      <c r="B164" s="14" t="s">
        <v>241</v>
      </c>
      <c r="C164" s="14" t="s">
        <v>242</v>
      </c>
      <c r="D164" s="15" t="s">
        <v>243</v>
      </c>
      <c r="E164" s="15" t="s">
        <v>244</v>
      </c>
      <c r="F164" s="15" t="s">
        <v>254</v>
      </c>
      <c r="G164" s="15" t="s">
        <v>62</v>
      </c>
      <c r="H164" s="15" t="s">
        <v>63</v>
      </c>
      <c r="I164" s="15" t="s">
        <v>246</v>
      </c>
    </row>
    <row r="165" customFormat="false" ht="23.25" hidden="false" customHeight="true" outlineLevel="0" collapsed="false">
      <c r="A165" s="14" t="n">
        <v>164</v>
      </c>
      <c r="B165" s="14" t="s">
        <v>241</v>
      </c>
      <c r="C165" s="14" t="s">
        <v>242</v>
      </c>
      <c r="D165" s="15" t="s">
        <v>243</v>
      </c>
      <c r="E165" s="15" t="s">
        <v>244</v>
      </c>
      <c r="F165" s="15" t="s">
        <v>255</v>
      </c>
      <c r="G165" s="15" t="s">
        <v>62</v>
      </c>
      <c r="H165" s="15" t="s">
        <v>63</v>
      </c>
      <c r="I165" s="15" t="s">
        <v>246</v>
      </c>
    </row>
    <row r="166" customFormat="false" ht="15" hidden="false" customHeight="true" outlineLevel="0" collapsed="false">
      <c r="A166" s="14" t="n">
        <v>165</v>
      </c>
      <c r="B166" s="14" t="s">
        <v>256</v>
      </c>
      <c r="C166" s="14" t="s">
        <v>257</v>
      </c>
      <c r="D166" s="15" t="s">
        <v>258</v>
      </c>
      <c r="E166" s="15" t="s">
        <v>259</v>
      </c>
      <c r="F166" s="15" t="s">
        <v>260</v>
      </c>
      <c r="G166" s="15" t="s">
        <v>261</v>
      </c>
      <c r="H166" s="15" t="s">
        <v>63</v>
      </c>
      <c r="I166" s="15" t="s">
        <v>262</v>
      </c>
    </row>
    <row r="167" customFormat="false" ht="15" hidden="false" customHeight="true" outlineLevel="0" collapsed="false">
      <c r="A167" s="14" t="n">
        <v>166</v>
      </c>
      <c r="B167" s="14" t="s">
        <v>256</v>
      </c>
      <c r="C167" s="14" t="s">
        <v>257</v>
      </c>
      <c r="D167" s="15" t="s">
        <v>258</v>
      </c>
      <c r="E167" s="15" t="s">
        <v>259</v>
      </c>
      <c r="F167" s="15" t="s">
        <v>263</v>
      </c>
      <c r="G167" s="15" t="s">
        <v>264</v>
      </c>
      <c r="H167" s="15" t="s">
        <v>63</v>
      </c>
      <c r="I167" s="15" t="s">
        <v>262</v>
      </c>
    </row>
    <row r="168" customFormat="false" ht="15" hidden="false" customHeight="true" outlineLevel="0" collapsed="false">
      <c r="A168" s="14" t="n">
        <v>167</v>
      </c>
      <c r="B168" s="14" t="s">
        <v>256</v>
      </c>
      <c r="C168" s="14" t="s">
        <v>257</v>
      </c>
      <c r="D168" s="15" t="s">
        <v>258</v>
      </c>
      <c r="E168" s="15" t="s">
        <v>259</v>
      </c>
      <c r="F168" s="15" t="s">
        <v>265</v>
      </c>
      <c r="G168" s="15" t="s">
        <v>266</v>
      </c>
      <c r="H168" s="15" t="s">
        <v>63</v>
      </c>
      <c r="I168" s="15" t="s">
        <v>262</v>
      </c>
    </row>
    <row r="169" customFormat="false" ht="15" hidden="false" customHeight="true" outlineLevel="0" collapsed="false">
      <c r="A169" s="14" t="n">
        <v>168</v>
      </c>
      <c r="B169" s="14" t="s">
        <v>256</v>
      </c>
      <c r="C169" s="14" t="s">
        <v>257</v>
      </c>
      <c r="D169" s="15" t="s">
        <v>258</v>
      </c>
      <c r="E169" s="15" t="s">
        <v>259</v>
      </c>
      <c r="F169" s="15" t="s">
        <v>267</v>
      </c>
      <c r="G169" s="15" t="s">
        <v>268</v>
      </c>
      <c r="H169" s="15" t="s">
        <v>63</v>
      </c>
      <c r="I169" s="15" t="s">
        <v>262</v>
      </c>
    </row>
    <row r="170" customFormat="false" ht="15" hidden="false" customHeight="true" outlineLevel="0" collapsed="false">
      <c r="A170" s="14" t="n">
        <v>169</v>
      </c>
      <c r="B170" s="14" t="s">
        <v>256</v>
      </c>
      <c r="C170" s="14" t="s">
        <v>257</v>
      </c>
      <c r="D170" s="15" t="s">
        <v>258</v>
      </c>
      <c r="E170" s="15" t="s">
        <v>259</v>
      </c>
      <c r="F170" s="15" t="s">
        <v>269</v>
      </c>
      <c r="G170" s="15" t="s">
        <v>270</v>
      </c>
      <c r="H170" s="15" t="s">
        <v>63</v>
      </c>
      <c r="I170" s="15" t="s">
        <v>262</v>
      </c>
    </row>
    <row r="171" customFormat="false" ht="15" hidden="false" customHeight="true" outlineLevel="0" collapsed="false">
      <c r="A171" s="14" t="n">
        <v>170</v>
      </c>
      <c r="B171" s="14" t="s">
        <v>256</v>
      </c>
      <c r="C171" s="14" t="s">
        <v>257</v>
      </c>
      <c r="D171" s="15" t="s">
        <v>258</v>
      </c>
      <c r="E171" s="15" t="s">
        <v>259</v>
      </c>
      <c r="F171" s="15" t="s">
        <v>271</v>
      </c>
      <c r="G171" s="15" t="s">
        <v>272</v>
      </c>
      <c r="H171" s="15" t="s">
        <v>63</v>
      </c>
      <c r="I171" s="15" t="s">
        <v>262</v>
      </c>
    </row>
    <row r="172" customFormat="false" ht="15" hidden="false" customHeight="true" outlineLevel="0" collapsed="false">
      <c r="A172" s="14" t="n">
        <v>171</v>
      </c>
      <c r="B172" s="14" t="s">
        <v>256</v>
      </c>
      <c r="C172" s="14" t="s">
        <v>257</v>
      </c>
      <c r="D172" s="15" t="s">
        <v>258</v>
      </c>
      <c r="E172" s="15" t="s">
        <v>259</v>
      </c>
      <c r="F172" s="15" t="s">
        <v>273</v>
      </c>
      <c r="G172" s="15" t="s">
        <v>274</v>
      </c>
      <c r="H172" s="15" t="s">
        <v>63</v>
      </c>
      <c r="I172" s="15" t="s">
        <v>262</v>
      </c>
    </row>
    <row r="173" customFormat="false" ht="15" hidden="false" customHeight="true" outlineLevel="0" collapsed="false">
      <c r="A173" s="14" t="n">
        <v>172</v>
      </c>
      <c r="B173" s="14" t="s">
        <v>256</v>
      </c>
      <c r="C173" s="14" t="s">
        <v>257</v>
      </c>
      <c r="D173" s="15" t="s">
        <v>258</v>
      </c>
      <c r="E173" s="15" t="s">
        <v>259</v>
      </c>
      <c r="F173" s="15" t="s">
        <v>275</v>
      </c>
      <c r="G173" s="15" t="s">
        <v>276</v>
      </c>
      <c r="H173" s="15" t="s">
        <v>63</v>
      </c>
      <c r="I173" s="15" t="s">
        <v>262</v>
      </c>
    </row>
    <row r="174" customFormat="false" ht="15" hidden="false" customHeight="true" outlineLevel="0" collapsed="false">
      <c r="A174" s="14" t="n">
        <v>173</v>
      </c>
      <c r="B174" s="14" t="s">
        <v>256</v>
      </c>
      <c r="C174" s="14" t="s">
        <v>257</v>
      </c>
      <c r="D174" s="15" t="s">
        <v>258</v>
      </c>
      <c r="E174" s="15" t="s">
        <v>259</v>
      </c>
      <c r="F174" s="15" t="s">
        <v>277</v>
      </c>
      <c r="G174" s="15" t="s">
        <v>278</v>
      </c>
      <c r="H174" s="15" t="s">
        <v>63</v>
      </c>
      <c r="I174" s="15" t="s">
        <v>262</v>
      </c>
    </row>
    <row r="175" customFormat="false" ht="15" hidden="false" customHeight="true" outlineLevel="0" collapsed="false">
      <c r="A175" s="14" t="n">
        <v>174</v>
      </c>
      <c r="B175" s="14" t="s">
        <v>256</v>
      </c>
      <c r="C175" s="14" t="s">
        <v>257</v>
      </c>
      <c r="D175" s="15" t="s">
        <v>258</v>
      </c>
      <c r="E175" s="15" t="s">
        <v>259</v>
      </c>
      <c r="F175" s="15" t="s">
        <v>279</v>
      </c>
      <c r="G175" s="15" t="s">
        <v>280</v>
      </c>
      <c r="H175" s="15" t="s">
        <v>63</v>
      </c>
      <c r="I175" s="15" t="s">
        <v>262</v>
      </c>
    </row>
    <row r="176" customFormat="false" ht="15" hidden="false" customHeight="true" outlineLevel="0" collapsed="false">
      <c r="A176" s="14" t="n">
        <v>175</v>
      </c>
      <c r="B176" s="14" t="s">
        <v>256</v>
      </c>
      <c r="C176" s="14" t="s">
        <v>257</v>
      </c>
      <c r="D176" s="15" t="s">
        <v>258</v>
      </c>
      <c r="E176" s="15" t="s">
        <v>259</v>
      </c>
      <c r="F176" s="15" t="s">
        <v>281</v>
      </c>
      <c r="G176" s="15" t="s">
        <v>282</v>
      </c>
      <c r="H176" s="15" t="s">
        <v>63</v>
      </c>
      <c r="I176" s="15" t="s">
        <v>262</v>
      </c>
    </row>
    <row r="177" customFormat="false" ht="15" hidden="false" customHeight="true" outlineLevel="0" collapsed="false">
      <c r="A177" s="14" t="n">
        <v>176</v>
      </c>
      <c r="B177" s="14" t="s">
        <v>256</v>
      </c>
      <c r="C177" s="14" t="s">
        <v>257</v>
      </c>
      <c r="D177" s="15" t="s">
        <v>258</v>
      </c>
      <c r="E177" s="15" t="s">
        <v>259</v>
      </c>
      <c r="F177" s="15" t="s">
        <v>283</v>
      </c>
      <c r="G177" s="15" t="s">
        <v>284</v>
      </c>
      <c r="H177" s="15" t="s">
        <v>63</v>
      </c>
      <c r="I177" s="15" t="s">
        <v>262</v>
      </c>
    </row>
    <row r="178" customFormat="false" ht="15" hidden="false" customHeight="true" outlineLevel="0" collapsed="false">
      <c r="A178" s="14" t="n">
        <v>177</v>
      </c>
      <c r="B178" s="14" t="s">
        <v>256</v>
      </c>
      <c r="C178" s="14" t="s">
        <v>257</v>
      </c>
      <c r="D178" s="15" t="s">
        <v>258</v>
      </c>
      <c r="E178" s="15" t="s">
        <v>259</v>
      </c>
      <c r="F178" s="15" t="s">
        <v>285</v>
      </c>
      <c r="G178" s="15" t="s">
        <v>264</v>
      </c>
      <c r="H178" s="15" t="s">
        <v>63</v>
      </c>
      <c r="I178" s="15" t="s">
        <v>262</v>
      </c>
    </row>
    <row r="179" customFormat="false" ht="15" hidden="false" customHeight="true" outlineLevel="0" collapsed="false">
      <c r="A179" s="14" t="n">
        <v>178</v>
      </c>
      <c r="B179" s="14" t="s">
        <v>256</v>
      </c>
      <c r="C179" s="14" t="s">
        <v>257</v>
      </c>
      <c r="D179" s="15" t="s">
        <v>258</v>
      </c>
      <c r="E179" s="15" t="s">
        <v>259</v>
      </c>
      <c r="F179" s="15" t="s">
        <v>286</v>
      </c>
      <c r="G179" s="15" t="s">
        <v>287</v>
      </c>
      <c r="H179" s="15" t="s">
        <v>63</v>
      </c>
      <c r="I179" s="15" t="s">
        <v>262</v>
      </c>
    </row>
    <row r="180" customFormat="false" ht="23.25" hidden="false" customHeight="true" outlineLevel="0" collapsed="false">
      <c r="A180" s="14" t="n">
        <v>179</v>
      </c>
      <c r="B180" s="14" t="s">
        <v>256</v>
      </c>
      <c r="C180" s="14" t="s">
        <v>257</v>
      </c>
      <c r="D180" s="15" t="s">
        <v>258</v>
      </c>
      <c r="E180" s="15" t="s">
        <v>259</v>
      </c>
      <c r="F180" s="15" t="s">
        <v>288</v>
      </c>
      <c r="G180" s="15" t="s">
        <v>62</v>
      </c>
      <c r="H180" s="15" t="s">
        <v>63</v>
      </c>
      <c r="I180" s="15" t="s">
        <v>262</v>
      </c>
    </row>
    <row r="181" customFormat="false" ht="23.25" hidden="false" customHeight="true" outlineLevel="0" collapsed="false">
      <c r="A181" s="14" t="n">
        <v>180</v>
      </c>
      <c r="B181" s="14" t="s">
        <v>256</v>
      </c>
      <c r="C181" s="14" t="s">
        <v>257</v>
      </c>
      <c r="D181" s="15" t="s">
        <v>258</v>
      </c>
      <c r="E181" s="15" t="s">
        <v>259</v>
      </c>
      <c r="F181" s="15" t="s">
        <v>289</v>
      </c>
      <c r="G181" s="15" t="s">
        <v>62</v>
      </c>
      <c r="H181" s="15" t="s">
        <v>63</v>
      </c>
      <c r="I181" s="15" t="s">
        <v>262</v>
      </c>
    </row>
    <row r="182" customFormat="false" ht="23.25" hidden="false" customHeight="true" outlineLevel="0" collapsed="false">
      <c r="A182" s="14" t="n">
        <v>181</v>
      </c>
      <c r="B182" s="14" t="s">
        <v>256</v>
      </c>
      <c r="C182" s="14" t="s">
        <v>257</v>
      </c>
      <c r="D182" s="15" t="s">
        <v>258</v>
      </c>
      <c r="E182" s="15" t="s">
        <v>259</v>
      </c>
      <c r="F182" s="15" t="s">
        <v>290</v>
      </c>
      <c r="G182" s="15" t="s">
        <v>62</v>
      </c>
      <c r="H182" s="15" t="s">
        <v>63</v>
      </c>
      <c r="I182" s="15" t="s">
        <v>262</v>
      </c>
    </row>
    <row r="183" customFormat="false" ht="23.25" hidden="false" customHeight="true" outlineLevel="0" collapsed="false">
      <c r="A183" s="14" t="n">
        <v>182</v>
      </c>
      <c r="B183" s="14" t="s">
        <v>256</v>
      </c>
      <c r="C183" s="14" t="s">
        <v>257</v>
      </c>
      <c r="D183" s="15" t="s">
        <v>258</v>
      </c>
      <c r="E183" s="15" t="s">
        <v>259</v>
      </c>
      <c r="F183" s="15" t="s">
        <v>291</v>
      </c>
      <c r="G183" s="15" t="s">
        <v>62</v>
      </c>
      <c r="H183" s="15" t="s">
        <v>63</v>
      </c>
      <c r="I183" s="15" t="s">
        <v>262</v>
      </c>
    </row>
    <row r="184" customFormat="false" ht="23.25" hidden="false" customHeight="true" outlineLevel="0" collapsed="false">
      <c r="A184" s="14" t="n">
        <v>183</v>
      </c>
      <c r="B184" s="14" t="s">
        <v>256</v>
      </c>
      <c r="C184" s="14" t="s">
        <v>257</v>
      </c>
      <c r="D184" s="15" t="s">
        <v>258</v>
      </c>
      <c r="E184" s="15" t="s">
        <v>259</v>
      </c>
      <c r="F184" s="15" t="s">
        <v>292</v>
      </c>
      <c r="G184" s="15" t="s">
        <v>62</v>
      </c>
      <c r="H184" s="15" t="s">
        <v>63</v>
      </c>
      <c r="I184" s="15" t="s">
        <v>262</v>
      </c>
    </row>
    <row r="185" customFormat="false" ht="23.25" hidden="false" customHeight="true" outlineLevel="0" collapsed="false">
      <c r="A185" s="14" t="n">
        <v>184</v>
      </c>
      <c r="B185" s="14" t="s">
        <v>256</v>
      </c>
      <c r="C185" s="14" t="s">
        <v>257</v>
      </c>
      <c r="D185" s="15" t="s">
        <v>258</v>
      </c>
      <c r="E185" s="15" t="s">
        <v>259</v>
      </c>
      <c r="F185" s="15" t="s">
        <v>293</v>
      </c>
      <c r="G185" s="15" t="s">
        <v>62</v>
      </c>
      <c r="H185" s="15" t="s">
        <v>63</v>
      </c>
      <c r="I185" s="15" t="s">
        <v>262</v>
      </c>
    </row>
    <row r="186" customFormat="false" ht="23.25" hidden="false" customHeight="true" outlineLevel="0" collapsed="false">
      <c r="A186" s="14" t="n">
        <v>185</v>
      </c>
      <c r="B186" s="14" t="s">
        <v>256</v>
      </c>
      <c r="C186" s="14" t="s">
        <v>257</v>
      </c>
      <c r="D186" s="15" t="s">
        <v>258</v>
      </c>
      <c r="E186" s="15" t="s">
        <v>259</v>
      </c>
      <c r="F186" s="15" t="s">
        <v>294</v>
      </c>
      <c r="G186" s="15" t="s">
        <v>62</v>
      </c>
      <c r="H186" s="15" t="s">
        <v>63</v>
      </c>
      <c r="I186" s="15" t="s">
        <v>262</v>
      </c>
    </row>
    <row r="187" customFormat="false" ht="23.25" hidden="false" customHeight="true" outlineLevel="0" collapsed="false">
      <c r="A187" s="14" t="n">
        <v>186</v>
      </c>
      <c r="B187" s="14" t="s">
        <v>256</v>
      </c>
      <c r="C187" s="14" t="s">
        <v>257</v>
      </c>
      <c r="D187" s="15" t="s">
        <v>258</v>
      </c>
      <c r="E187" s="15" t="s">
        <v>259</v>
      </c>
      <c r="F187" s="15" t="s">
        <v>295</v>
      </c>
      <c r="G187" s="15" t="s">
        <v>62</v>
      </c>
      <c r="H187" s="15" t="s">
        <v>63</v>
      </c>
      <c r="I187" s="15" t="s">
        <v>262</v>
      </c>
    </row>
    <row r="188" customFormat="false" ht="23.25" hidden="false" customHeight="true" outlineLevel="0" collapsed="false">
      <c r="A188" s="14" t="n">
        <v>187</v>
      </c>
      <c r="B188" s="14" t="s">
        <v>256</v>
      </c>
      <c r="C188" s="14" t="s">
        <v>257</v>
      </c>
      <c r="D188" s="15" t="s">
        <v>258</v>
      </c>
      <c r="E188" s="15" t="s">
        <v>259</v>
      </c>
      <c r="F188" s="15" t="s">
        <v>296</v>
      </c>
      <c r="G188" s="15" t="s">
        <v>62</v>
      </c>
      <c r="H188" s="15" t="s">
        <v>63</v>
      </c>
      <c r="I188" s="15" t="s">
        <v>262</v>
      </c>
    </row>
    <row r="189" customFormat="false" ht="23.25" hidden="false" customHeight="true" outlineLevel="0" collapsed="false">
      <c r="A189" s="14" t="n">
        <v>188</v>
      </c>
      <c r="B189" s="14" t="s">
        <v>256</v>
      </c>
      <c r="C189" s="14" t="s">
        <v>257</v>
      </c>
      <c r="D189" s="15" t="s">
        <v>258</v>
      </c>
      <c r="E189" s="15" t="s">
        <v>259</v>
      </c>
      <c r="F189" s="15" t="s">
        <v>297</v>
      </c>
      <c r="G189" s="15" t="s">
        <v>62</v>
      </c>
      <c r="H189" s="15" t="s">
        <v>63</v>
      </c>
      <c r="I189" s="15" t="s">
        <v>262</v>
      </c>
    </row>
    <row r="190" customFormat="false" ht="23.25" hidden="false" customHeight="true" outlineLevel="0" collapsed="false">
      <c r="A190" s="14" t="n">
        <v>189</v>
      </c>
      <c r="B190" s="14" t="s">
        <v>256</v>
      </c>
      <c r="C190" s="14" t="s">
        <v>257</v>
      </c>
      <c r="D190" s="15" t="s">
        <v>258</v>
      </c>
      <c r="E190" s="15" t="s">
        <v>259</v>
      </c>
      <c r="F190" s="15" t="s">
        <v>298</v>
      </c>
      <c r="G190" s="15" t="s">
        <v>62</v>
      </c>
      <c r="H190" s="15" t="s">
        <v>63</v>
      </c>
      <c r="I190" s="15" t="s">
        <v>262</v>
      </c>
    </row>
    <row r="191" customFormat="false" ht="23.25" hidden="false" customHeight="true" outlineLevel="0" collapsed="false">
      <c r="A191" s="14" t="n">
        <v>190</v>
      </c>
      <c r="B191" s="14" t="s">
        <v>256</v>
      </c>
      <c r="C191" s="14" t="s">
        <v>257</v>
      </c>
      <c r="D191" s="15" t="s">
        <v>258</v>
      </c>
      <c r="E191" s="15" t="s">
        <v>259</v>
      </c>
      <c r="F191" s="15" t="s">
        <v>299</v>
      </c>
      <c r="G191" s="15" t="s">
        <v>62</v>
      </c>
      <c r="H191" s="15" t="s">
        <v>63</v>
      </c>
      <c r="I191" s="15" t="s">
        <v>262</v>
      </c>
    </row>
    <row r="192" customFormat="false" ht="23.25" hidden="false" customHeight="true" outlineLevel="0" collapsed="false">
      <c r="A192" s="14" t="n">
        <v>191</v>
      </c>
      <c r="B192" s="14" t="s">
        <v>256</v>
      </c>
      <c r="C192" s="14" t="s">
        <v>257</v>
      </c>
      <c r="D192" s="15" t="s">
        <v>258</v>
      </c>
      <c r="E192" s="15" t="s">
        <v>259</v>
      </c>
      <c r="F192" s="15" t="s">
        <v>300</v>
      </c>
      <c r="G192" s="15" t="s">
        <v>62</v>
      </c>
      <c r="H192" s="15" t="s">
        <v>63</v>
      </c>
      <c r="I192" s="15" t="s">
        <v>262</v>
      </c>
    </row>
    <row r="193" customFormat="false" ht="15" hidden="false" customHeight="true" outlineLevel="0" collapsed="false">
      <c r="A193" s="14" t="n">
        <v>192</v>
      </c>
      <c r="B193" s="14" t="s">
        <v>301</v>
      </c>
      <c r="C193" s="14" t="s">
        <v>302</v>
      </c>
      <c r="D193" s="15" t="s">
        <v>303</v>
      </c>
      <c r="E193" s="15" t="s">
        <v>304</v>
      </c>
      <c r="F193" s="15" t="s">
        <v>134</v>
      </c>
      <c r="G193" s="15" t="s">
        <v>305</v>
      </c>
      <c r="H193" s="15" t="s">
        <v>63</v>
      </c>
      <c r="I193" s="15" t="s">
        <v>306</v>
      </c>
    </row>
    <row r="194" customFormat="false" ht="15" hidden="false" customHeight="true" outlineLevel="0" collapsed="false">
      <c r="A194" s="14" t="n">
        <v>193</v>
      </c>
      <c r="B194" s="14" t="s">
        <v>301</v>
      </c>
      <c r="C194" s="14" t="s">
        <v>302</v>
      </c>
      <c r="D194" s="15" t="s">
        <v>303</v>
      </c>
      <c r="E194" s="15" t="s">
        <v>304</v>
      </c>
      <c r="F194" s="15" t="s">
        <v>137</v>
      </c>
      <c r="G194" s="15" t="s">
        <v>305</v>
      </c>
      <c r="H194" s="15" t="s">
        <v>63</v>
      </c>
      <c r="I194" s="15" t="s">
        <v>306</v>
      </c>
    </row>
    <row r="195" customFormat="false" ht="15" hidden="false" customHeight="true" outlineLevel="0" collapsed="false">
      <c r="A195" s="14" t="n">
        <v>194</v>
      </c>
      <c r="B195" s="14" t="s">
        <v>301</v>
      </c>
      <c r="C195" s="14" t="s">
        <v>302</v>
      </c>
      <c r="D195" s="15" t="s">
        <v>303</v>
      </c>
      <c r="E195" s="15" t="s">
        <v>304</v>
      </c>
      <c r="F195" s="15" t="s">
        <v>307</v>
      </c>
      <c r="G195" s="15" t="s">
        <v>305</v>
      </c>
      <c r="H195" s="15" t="s">
        <v>63</v>
      </c>
      <c r="I195" s="15" t="s">
        <v>306</v>
      </c>
    </row>
    <row r="196" customFormat="false" ht="15" hidden="false" customHeight="true" outlineLevel="0" collapsed="false">
      <c r="A196" s="14" t="n">
        <v>195</v>
      </c>
      <c r="B196" s="14" t="s">
        <v>301</v>
      </c>
      <c r="C196" s="14" t="s">
        <v>302</v>
      </c>
      <c r="D196" s="15" t="s">
        <v>303</v>
      </c>
      <c r="E196" s="15" t="s">
        <v>304</v>
      </c>
      <c r="F196" s="15" t="s">
        <v>225</v>
      </c>
      <c r="G196" s="15" t="s">
        <v>308</v>
      </c>
      <c r="H196" s="15" t="s">
        <v>63</v>
      </c>
      <c r="I196" s="15" t="s">
        <v>306</v>
      </c>
    </row>
    <row r="197" customFormat="false" ht="15" hidden="false" customHeight="true" outlineLevel="0" collapsed="false">
      <c r="A197" s="14" t="n">
        <v>196</v>
      </c>
      <c r="B197" s="14" t="s">
        <v>301</v>
      </c>
      <c r="C197" s="14" t="s">
        <v>302</v>
      </c>
      <c r="D197" s="15" t="s">
        <v>303</v>
      </c>
      <c r="E197" s="15" t="s">
        <v>304</v>
      </c>
      <c r="F197" s="15" t="s">
        <v>309</v>
      </c>
      <c r="G197" s="15" t="s">
        <v>310</v>
      </c>
      <c r="H197" s="15" t="s">
        <v>63</v>
      </c>
      <c r="I197" s="15" t="s">
        <v>306</v>
      </c>
    </row>
    <row r="198" customFormat="false" ht="15" hidden="false" customHeight="true" outlineLevel="0" collapsed="false">
      <c r="A198" s="14" t="n">
        <v>197</v>
      </c>
      <c r="B198" s="14" t="s">
        <v>301</v>
      </c>
      <c r="C198" s="14" t="s">
        <v>302</v>
      </c>
      <c r="D198" s="15" t="s">
        <v>303</v>
      </c>
      <c r="E198" s="15" t="s">
        <v>304</v>
      </c>
      <c r="F198" s="15" t="s">
        <v>36</v>
      </c>
      <c r="G198" s="15" t="s">
        <v>311</v>
      </c>
      <c r="H198" s="15" t="s">
        <v>63</v>
      </c>
      <c r="I198" s="15" t="s">
        <v>306</v>
      </c>
    </row>
    <row r="199" customFormat="false" ht="15" hidden="false" customHeight="true" outlineLevel="0" collapsed="false">
      <c r="A199" s="14" t="n">
        <v>198</v>
      </c>
      <c r="B199" s="14" t="s">
        <v>301</v>
      </c>
      <c r="C199" s="14" t="s">
        <v>302</v>
      </c>
      <c r="D199" s="15" t="s">
        <v>303</v>
      </c>
      <c r="E199" s="15" t="s">
        <v>304</v>
      </c>
      <c r="F199" s="15" t="s">
        <v>312</v>
      </c>
      <c r="G199" s="15" t="s">
        <v>313</v>
      </c>
      <c r="H199" s="15" t="s">
        <v>63</v>
      </c>
      <c r="I199" s="15" t="s">
        <v>306</v>
      </c>
    </row>
    <row r="200" customFormat="false" ht="15" hidden="false" customHeight="true" outlineLevel="0" collapsed="false">
      <c r="A200" s="14" t="n">
        <v>199</v>
      </c>
      <c r="B200" s="14" t="s">
        <v>301</v>
      </c>
      <c r="C200" s="14" t="s">
        <v>302</v>
      </c>
      <c r="D200" s="15" t="s">
        <v>303</v>
      </c>
      <c r="E200" s="15" t="s">
        <v>304</v>
      </c>
      <c r="F200" s="15" t="s">
        <v>154</v>
      </c>
      <c r="G200" s="15" t="s">
        <v>314</v>
      </c>
      <c r="H200" s="15" t="s">
        <v>63</v>
      </c>
      <c r="I200" s="15" t="s">
        <v>306</v>
      </c>
    </row>
    <row r="201" customFormat="false" ht="15" hidden="false" customHeight="true" outlineLevel="0" collapsed="false">
      <c r="A201" s="14" t="n">
        <v>200</v>
      </c>
      <c r="B201" s="14" t="s">
        <v>301</v>
      </c>
      <c r="C201" s="14" t="s">
        <v>302</v>
      </c>
      <c r="D201" s="15" t="s">
        <v>303</v>
      </c>
      <c r="E201" s="15" t="s">
        <v>304</v>
      </c>
      <c r="F201" s="15" t="s">
        <v>156</v>
      </c>
      <c r="G201" s="15" t="s">
        <v>315</v>
      </c>
      <c r="H201" s="15" t="s">
        <v>63</v>
      </c>
      <c r="I201" s="15" t="s">
        <v>306</v>
      </c>
    </row>
    <row r="202" customFormat="false" ht="15" hidden="false" customHeight="true" outlineLevel="0" collapsed="false">
      <c r="A202" s="14" t="n">
        <v>201</v>
      </c>
      <c r="B202" s="14" t="s">
        <v>301</v>
      </c>
      <c r="C202" s="14" t="s">
        <v>302</v>
      </c>
      <c r="D202" s="15" t="s">
        <v>303</v>
      </c>
      <c r="E202" s="15" t="s">
        <v>304</v>
      </c>
      <c r="F202" s="15" t="s">
        <v>316</v>
      </c>
      <c r="G202" s="15" t="s">
        <v>317</v>
      </c>
      <c r="H202" s="15" t="s">
        <v>63</v>
      </c>
      <c r="I202" s="15" t="s">
        <v>306</v>
      </c>
    </row>
    <row r="203" customFormat="false" ht="15" hidden="false" customHeight="true" outlineLevel="0" collapsed="false">
      <c r="A203" s="14" t="n">
        <v>202</v>
      </c>
      <c r="B203" s="14" t="s">
        <v>301</v>
      </c>
      <c r="C203" s="14" t="s">
        <v>302</v>
      </c>
      <c r="D203" s="15" t="s">
        <v>303</v>
      </c>
      <c r="E203" s="15" t="s">
        <v>304</v>
      </c>
      <c r="F203" s="15" t="s">
        <v>144</v>
      </c>
      <c r="G203" s="15" t="s">
        <v>308</v>
      </c>
      <c r="H203" s="15" t="s">
        <v>63</v>
      </c>
      <c r="I203" s="15" t="s">
        <v>306</v>
      </c>
    </row>
    <row r="204" customFormat="false" ht="15" hidden="false" customHeight="true" outlineLevel="0" collapsed="false">
      <c r="A204" s="14" t="n">
        <v>203</v>
      </c>
      <c r="B204" s="14" t="s">
        <v>301</v>
      </c>
      <c r="C204" s="14" t="s">
        <v>302</v>
      </c>
      <c r="D204" s="15" t="s">
        <v>303</v>
      </c>
      <c r="E204" s="15" t="s">
        <v>304</v>
      </c>
      <c r="F204" s="15" t="s">
        <v>318</v>
      </c>
      <c r="G204" s="15" t="s">
        <v>319</v>
      </c>
      <c r="H204" s="15" t="s">
        <v>63</v>
      </c>
      <c r="I204" s="15" t="s">
        <v>306</v>
      </c>
    </row>
    <row r="205" customFormat="false" ht="15" hidden="false" customHeight="true" outlineLevel="0" collapsed="false">
      <c r="A205" s="14" t="n">
        <v>204</v>
      </c>
      <c r="B205" s="14" t="s">
        <v>301</v>
      </c>
      <c r="C205" s="14" t="s">
        <v>302</v>
      </c>
      <c r="D205" s="15" t="s">
        <v>303</v>
      </c>
      <c r="E205" s="15" t="s">
        <v>304</v>
      </c>
      <c r="F205" s="15" t="s">
        <v>320</v>
      </c>
      <c r="G205" s="15" t="s">
        <v>321</v>
      </c>
      <c r="H205" s="15" t="s">
        <v>63</v>
      </c>
      <c r="I205" s="15" t="s">
        <v>306</v>
      </c>
    </row>
    <row r="206" customFormat="false" ht="15" hidden="false" customHeight="true" outlineLevel="0" collapsed="false">
      <c r="A206" s="14" t="n">
        <v>205</v>
      </c>
      <c r="B206" s="14" t="s">
        <v>301</v>
      </c>
      <c r="C206" s="14" t="s">
        <v>302</v>
      </c>
      <c r="D206" s="15" t="s">
        <v>303</v>
      </c>
      <c r="E206" s="15" t="s">
        <v>304</v>
      </c>
      <c r="F206" s="15" t="s">
        <v>322</v>
      </c>
      <c r="G206" s="15" t="s">
        <v>323</v>
      </c>
      <c r="H206" s="15" t="s">
        <v>63</v>
      </c>
      <c r="I206" s="15" t="s">
        <v>306</v>
      </c>
    </row>
    <row r="207" customFormat="false" ht="15" hidden="false" customHeight="true" outlineLevel="0" collapsed="false">
      <c r="A207" s="14" t="n">
        <v>206</v>
      </c>
      <c r="B207" s="14" t="s">
        <v>301</v>
      </c>
      <c r="C207" s="14" t="s">
        <v>302</v>
      </c>
      <c r="D207" s="15" t="s">
        <v>303</v>
      </c>
      <c r="E207" s="15" t="s">
        <v>304</v>
      </c>
      <c r="F207" s="15" t="s">
        <v>324</v>
      </c>
      <c r="G207" s="15" t="s">
        <v>325</v>
      </c>
      <c r="H207" s="15" t="s">
        <v>63</v>
      </c>
      <c r="I207" s="15" t="s">
        <v>306</v>
      </c>
    </row>
    <row r="208" customFormat="false" ht="15" hidden="false" customHeight="true" outlineLevel="0" collapsed="false">
      <c r="A208" s="14" t="n">
        <v>207</v>
      </c>
      <c r="B208" s="14" t="s">
        <v>301</v>
      </c>
      <c r="C208" s="14" t="s">
        <v>302</v>
      </c>
      <c r="D208" s="15" t="s">
        <v>303</v>
      </c>
      <c r="E208" s="15" t="s">
        <v>304</v>
      </c>
      <c r="F208" s="15" t="s">
        <v>326</v>
      </c>
      <c r="G208" s="15" t="s">
        <v>327</v>
      </c>
      <c r="H208" s="15" t="s">
        <v>63</v>
      </c>
      <c r="I208" s="15" t="s">
        <v>306</v>
      </c>
    </row>
    <row r="209" customFormat="false" ht="15" hidden="false" customHeight="true" outlineLevel="0" collapsed="false">
      <c r="A209" s="14" t="n">
        <v>208</v>
      </c>
      <c r="B209" s="14" t="s">
        <v>301</v>
      </c>
      <c r="C209" s="14" t="s">
        <v>302</v>
      </c>
      <c r="D209" s="15" t="s">
        <v>303</v>
      </c>
      <c r="E209" s="15" t="s">
        <v>304</v>
      </c>
      <c r="F209" s="15" t="s">
        <v>328</v>
      </c>
      <c r="G209" s="15" t="s">
        <v>327</v>
      </c>
      <c r="H209" s="15" t="s">
        <v>63</v>
      </c>
      <c r="I209" s="15" t="s">
        <v>306</v>
      </c>
    </row>
    <row r="210" customFormat="false" ht="15" hidden="false" customHeight="true" outlineLevel="0" collapsed="false">
      <c r="A210" s="14" t="n">
        <v>209</v>
      </c>
      <c r="B210" s="14" t="s">
        <v>301</v>
      </c>
      <c r="C210" s="14" t="s">
        <v>302</v>
      </c>
      <c r="D210" s="15" t="s">
        <v>303</v>
      </c>
      <c r="E210" s="15" t="s">
        <v>304</v>
      </c>
      <c r="F210" s="15" t="s">
        <v>329</v>
      </c>
      <c r="G210" s="15" t="s">
        <v>330</v>
      </c>
      <c r="H210" s="15" t="s">
        <v>63</v>
      </c>
      <c r="I210" s="15" t="s">
        <v>306</v>
      </c>
    </row>
    <row r="211" customFormat="false" ht="15" hidden="false" customHeight="true" outlineLevel="0" collapsed="false">
      <c r="A211" s="14" t="n">
        <v>210</v>
      </c>
      <c r="B211" s="14" t="s">
        <v>301</v>
      </c>
      <c r="C211" s="14" t="s">
        <v>302</v>
      </c>
      <c r="D211" s="15" t="s">
        <v>303</v>
      </c>
      <c r="E211" s="15" t="s">
        <v>304</v>
      </c>
      <c r="F211" s="15" t="s">
        <v>331</v>
      </c>
      <c r="G211" s="15" t="s">
        <v>332</v>
      </c>
      <c r="H211" s="15" t="s">
        <v>63</v>
      </c>
      <c r="I211" s="15" t="s">
        <v>306</v>
      </c>
    </row>
    <row r="212" customFormat="false" ht="15" hidden="false" customHeight="true" outlineLevel="0" collapsed="false">
      <c r="A212" s="14" t="n">
        <v>211</v>
      </c>
      <c r="B212" s="14" t="s">
        <v>301</v>
      </c>
      <c r="C212" s="14" t="s">
        <v>302</v>
      </c>
      <c r="D212" s="15" t="s">
        <v>303</v>
      </c>
      <c r="E212" s="15" t="s">
        <v>304</v>
      </c>
      <c r="F212" s="15" t="s">
        <v>333</v>
      </c>
      <c r="G212" s="15" t="s">
        <v>334</v>
      </c>
      <c r="H212" s="15" t="s">
        <v>63</v>
      </c>
      <c r="I212" s="15" t="s">
        <v>306</v>
      </c>
    </row>
    <row r="213" customFormat="false" ht="23.25" hidden="false" customHeight="true" outlineLevel="0" collapsed="false">
      <c r="A213" s="14" t="n">
        <v>212</v>
      </c>
      <c r="B213" s="14" t="s">
        <v>301</v>
      </c>
      <c r="C213" s="14" t="s">
        <v>302</v>
      </c>
      <c r="D213" s="15" t="s">
        <v>303</v>
      </c>
      <c r="E213" s="15" t="s">
        <v>304</v>
      </c>
      <c r="F213" s="15" t="s">
        <v>335</v>
      </c>
      <c r="G213" s="15" t="s">
        <v>336</v>
      </c>
      <c r="H213" s="15" t="s">
        <v>63</v>
      </c>
      <c r="I213" s="15" t="s">
        <v>306</v>
      </c>
    </row>
    <row r="214" customFormat="false" ht="23.25" hidden="false" customHeight="true" outlineLevel="0" collapsed="false">
      <c r="A214" s="14" t="n">
        <v>213</v>
      </c>
      <c r="B214" s="14" t="s">
        <v>301</v>
      </c>
      <c r="C214" s="14" t="s">
        <v>302</v>
      </c>
      <c r="D214" s="15" t="s">
        <v>303</v>
      </c>
      <c r="E214" s="15" t="s">
        <v>304</v>
      </c>
      <c r="F214" s="15" t="s">
        <v>337</v>
      </c>
      <c r="G214" s="15" t="s">
        <v>62</v>
      </c>
      <c r="H214" s="15" t="s">
        <v>63</v>
      </c>
      <c r="I214" s="15" t="s">
        <v>306</v>
      </c>
    </row>
    <row r="215" customFormat="false" ht="23.25" hidden="false" customHeight="true" outlineLevel="0" collapsed="false">
      <c r="A215" s="14" t="n">
        <v>214</v>
      </c>
      <c r="B215" s="14" t="s">
        <v>301</v>
      </c>
      <c r="C215" s="14" t="s">
        <v>302</v>
      </c>
      <c r="D215" s="15" t="s">
        <v>303</v>
      </c>
      <c r="E215" s="15" t="s">
        <v>304</v>
      </c>
      <c r="F215" s="15" t="s">
        <v>338</v>
      </c>
      <c r="G215" s="15" t="s">
        <v>62</v>
      </c>
      <c r="H215" s="15" t="s">
        <v>63</v>
      </c>
      <c r="I215" s="15" t="s">
        <v>306</v>
      </c>
    </row>
    <row r="216" customFormat="false" ht="23.25" hidden="false" customHeight="true" outlineLevel="0" collapsed="false">
      <c r="A216" s="14" t="n">
        <v>215</v>
      </c>
      <c r="B216" s="14" t="s">
        <v>339</v>
      </c>
      <c r="C216" s="14" t="s">
        <v>340</v>
      </c>
      <c r="D216" s="15" t="s">
        <v>341</v>
      </c>
      <c r="E216" s="15" t="s">
        <v>342</v>
      </c>
      <c r="F216" s="15" t="s">
        <v>134</v>
      </c>
      <c r="G216" s="15" t="s">
        <v>62</v>
      </c>
      <c r="H216" s="15" t="s">
        <v>63</v>
      </c>
      <c r="I216" s="15" t="s">
        <v>343</v>
      </c>
    </row>
    <row r="217" customFormat="false" ht="23.25" hidden="false" customHeight="true" outlineLevel="0" collapsed="false">
      <c r="A217" s="14" t="n">
        <v>216</v>
      </c>
      <c r="B217" s="14" t="s">
        <v>339</v>
      </c>
      <c r="C217" s="14" t="s">
        <v>340</v>
      </c>
      <c r="D217" s="15" t="s">
        <v>341</v>
      </c>
      <c r="E217" s="15" t="s">
        <v>342</v>
      </c>
      <c r="F217" s="15" t="s">
        <v>137</v>
      </c>
      <c r="G217" s="15" t="s">
        <v>62</v>
      </c>
      <c r="H217" s="15" t="s">
        <v>63</v>
      </c>
      <c r="I217" s="15" t="s">
        <v>343</v>
      </c>
    </row>
    <row r="218" customFormat="false" ht="23.25" hidden="false" customHeight="true" outlineLevel="0" collapsed="false">
      <c r="A218" s="14" t="n">
        <v>217</v>
      </c>
      <c r="B218" s="14" t="s">
        <v>339</v>
      </c>
      <c r="C218" s="14" t="s">
        <v>340</v>
      </c>
      <c r="D218" s="15" t="s">
        <v>341</v>
      </c>
      <c r="E218" s="15" t="s">
        <v>342</v>
      </c>
      <c r="F218" s="15" t="s">
        <v>139</v>
      </c>
      <c r="G218" s="15" t="s">
        <v>62</v>
      </c>
      <c r="H218" s="15" t="s">
        <v>63</v>
      </c>
      <c r="I218" s="15" t="s">
        <v>343</v>
      </c>
    </row>
    <row r="219" customFormat="false" ht="23.25" hidden="false" customHeight="true" outlineLevel="0" collapsed="false">
      <c r="A219" s="14" t="n">
        <v>218</v>
      </c>
      <c r="B219" s="14" t="s">
        <v>339</v>
      </c>
      <c r="C219" s="14" t="s">
        <v>340</v>
      </c>
      <c r="D219" s="15" t="s">
        <v>341</v>
      </c>
      <c r="E219" s="15" t="s">
        <v>342</v>
      </c>
      <c r="F219" s="15" t="s">
        <v>344</v>
      </c>
      <c r="G219" s="15" t="s">
        <v>62</v>
      </c>
      <c r="H219" s="15" t="s">
        <v>63</v>
      </c>
      <c r="I219" s="15" t="s">
        <v>343</v>
      </c>
    </row>
    <row r="220" customFormat="false" ht="23.25" hidden="false" customHeight="true" outlineLevel="0" collapsed="false">
      <c r="A220" s="14" t="n">
        <v>219</v>
      </c>
      <c r="B220" s="14" t="s">
        <v>339</v>
      </c>
      <c r="C220" s="14" t="s">
        <v>340</v>
      </c>
      <c r="D220" s="15" t="s">
        <v>341</v>
      </c>
      <c r="E220" s="15" t="s">
        <v>342</v>
      </c>
      <c r="F220" s="15" t="s">
        <v>226</v>
      </c>
      <c r="G220" s="15" t="s">
        <v>62</v>
      </c>
      <c r="H220" s="15" t="s">
        <v>63</v>
      </c>
      <c r="I220" s="15" t="s">
        <v>343</v>
      </c>
    </row>
    <row r="221" customFormat="false" ht="23.25" hidden="false" customHeight="true" outlineLevel="0" collapsed="false">
      <c r="A221" s="14" t="n">
        <v>220</v>
      </c>
      <c r="B221" s="14" t="s">
        <v>339</v>
      </c>
      <c r="C221" s="14" t="s">
        <v>340</v>
      </c>
      <c r="D221" s="15" t="s">
        <v>341</v>
      </c>
      <c r="E221" s="15" t="s">
        <v>342</v>
      </c>
      <c r="F221" s="15" t="s">
        <v>345</v>
      </c>
      <c r="G221" s="15" t="s">
        <v>62</v>
      </c>
      <c r="H221" s="15" t="s">
        <v>63</v>
      </c>
      <c r="I221" s="15" t="s">
        <v>343</v>
      </c>
    </row>
    <row r="222" customFormat="false" ht="23.25" hidden="false" customHeight="true" outlineLevel="0" collapsed="false">
      <c r="A222" s="14" t="n">
        <v>221</v>
      </c>
      <c r="B222" s="14" t="s">
        <v>339</v>
      </c>
      <c r="C222" s="14" t="s">
        <v>340</v>
      </c>
      <c r="D222" s="15" t="s">
        <v>341</v>
      </c>
      <c r="E222" s="15" t="s">
        <v>342</v>
      </c>
      <c r="F222" s="15" t="s">
        <v>346</v>
      </c>
      <c r="G222" s="15" t="s">
        <v>62</v>
      </c>
      <c r="H222" s="15" t="s">
        <v>63</v>
      </c>
      <c r="I222" s="15" t="s">
        <v>343</v>
      </c>
    </row>
    <row r="223" customFormat="false" ht="23.25" hidden="false" customHeight="true" outlineLevel="0" collapsed="false">
      <c r="A223" s="14" t="n">
        <v>222</v>
      </c>
      <c r="B223" s="14" t="s">
        <v>339</v>
      </c>
      <c r="C223" s="14" t="s">
        <v>340</v>
      </c>
      <c r="D223" s="15" t="s">
        <v>341</v>
      </c>
      <c r="E223" s="15" t="s">
        <v>342</v>
      </c>
      <c r="F223" s="15" t="s">
        <v>347</v>
      </c>
      <c r="G223" s="15" t="s">
        <v>62</v>
      </c>
      <c r="H223" s="15" t="s">
        <v>63</v>
      </c>
      <c r="I223" s="15" t="s">
        <v>343</v>
      </c>
    </row>
    <row r="224" customFormat="false" ht="23.25" hidden="false" customHeight="true" outlineLevel="0" collapsed="false">
      <c r="A224" s="14" t="n">
        <v>223</v>
      </c>
      <c r="B224" s="14" t="s">
        <v>339</v>
      </c>
      <c r="C224" s="14" t="s">
        <v>340</v>
      </c>
      <c r="D224" s="15" t="s">
        <v>341</v>
      </c>
      <c r="E224" s="15" t="s">
        <v>342</v>
      </c>
      <c r="F224" s="15" t="s">
        <v>348</v>
      </c>
      <c r="G224" s="15" t="s">
        <v>62</v>
      </c>
      <c r="H224" s="15" t="s">
        <v>63</v>
      </c>
      <c r="I224" s="15" t="s">
        <v>343</v>
      </c>
    </row>
    <row r="225" customFormat="false" ht="23.25" hidden="false" customHeight="true" outlineLevel="0" collapsed="false">
      <c r="A225" s="14" t="n">
        <v>224</v>
      </c>
      <c r="B225" s="14" t="s">
        <v>339</v>
      </c>
      <c r="C225" s="14" t="s">
        <v>340</v>
      </c>
      <c r="D225" s="15" t="s">
        <v>341</v>
      </c>
      <c r="E225" s="15" t="s">
        <v>342</v>
      </c>
      <c r="F225" s="15" t="s">
        <v>349</v>
      </c>
      <c r="G225" s="15" t="s">
        <v>62</v>
      </c>
      <c r="H225" s="15" t="s">
        <v>63</v>
      </c>
      <c r="I225" s="15" t="s">
        <v>343</v>
      </c>
    </row>
    <row r="226" customFormat="false" ht="23.25" hidden="false" customHeight="true" outlineLevel="0" collapsed="false">
      <c r="A226" s="14" t="n">
        <v>225</v>
      </c>
      <c r="B226" s="14" t="s">
        <v>339</v>
      </c>
      <c r="C226" s="14" t="s">
        <v>340</v>
      </c>
      <c r="D226" s="15" t="s">
        <v>341</v>
      </c>
      <c r="E226" s="15" t="s">
        <v>342</v>
      </c>
      <c r="F226" s="15" t="s">
        <v>350</v>
      </c>
      <c r="G226" s="15" t="s">
        <v>62</v>
      </c>
      <c r="H226" s="15" t="s">
        <v>63</v>
      </c>
      <c r="I226" s="15" t="s">
        <v>343</v>
      </c>
    </row>
    <row r="227" customFormat="false" ht="23.25" hidden="false" customHeight="true" outlineLevel="0" collapsed="false">
      <c r="A227" s="14" t="n">
        <v>226</v>
      </c>
      <c r="B227" s="14" t="s">
        <v>339</v>
      </c>
      <c r="C227" s="14" t="s">
        <v>340</v>
      </c>
      <c r="D227" s="15" t="s">
        <v>341</v>
      </c>
      <c r="E227" s="15" t="s">
        <v>342</v>
      </c>
      <c r="F227" s="15" t="s">
        <v>351</v>
      </c>
      <c r="G227" s="15" t="s">
        <v>62</v>
      </c>
      <c r="H227" s="15" t="s">
        <v>63</v>
      </c>
      <c r="I227" s="15" t="s">
        <v>343</v>
      </c>
    </row>
    <row r="228" customFormat="false" ht="23.25" hidden="false" customHeight="true" outlineLevel="0" collapsed="false">
      <c r="A228" s="14" t="n">
        <v>227</v>
      </c>
      <c r="B228" s="14" t="s">
        <v>339</v>
      </c>
      <c r="C228" s="14" t="s">
        <v>340</v>
      </c>
      <c r="D228" s="15" t="s">
        <v>341</v>
      </c>
      <c r="E228" s="15" t="s">
        <v>342</v>
      </c>
      <c r="F228" s="15" t="s">
        <v>36</v>
      </c>
      <c r="G228" s="15" t="s">
        <v>62</v>
      </c>
      <c r="H228" s="15" t="s">
        <v>63</v>
      </c>
      <c r="I228" s="15" t="s">
        <v>343</v>
      </c>
    </row>
    <row r="229" customFormat="false" ht="23.25" hidden="false" customHeight="true" outlineLevel="0" collapsed="false">
      <c r="A229" s="14" t="n">
        <v>228</v>
      </c>
      <c r="B229" s="14" t="s">
        <v>339</v>
      </c>
      <c r="C229" s="14" t="s">
        <v>340</v>
      </c>
      <c r="D229" s="15" t="s">
        <v>341</v>
      </c>
      <c r="E229" s="15" t="s">
        <v>342</v>
      </c>
      <c r="F229" s="15" t="s">
        <v>352</v>
      </c>
      <c r="G229" s="15" t="s">
        <v>62</v>
      </c>
      <c r="H229" s="15" t="s">
        <v>63</v>
      </c>
      <c r="I229" s="15" t="s">
        <v>343</v>
      </c>
    </row>
    <row r="230" customFormat="false" ht="23.25" hidden="false" customHeight="true" outlineLevel="0" collapsed="false">
      <c r="A230" s="14" t="n">
        <v>229</v>
      </c>
      <c r="B230" s="14" t="s">
        <v>339</v>
      </c>
      <c r="C230" s="14" t="s">
        <v>340</v>
      </c>
      <c r="D230" s="15" t="s">
        <v>341</v>
      </c>
      <c r="E230" s="15" t="s">
        <v>342</v>
      </c>
      <c r="F230" s="15" t="s">
        <v>232</v>
      </c>
      <c r="G230" s="15" t="s">
        <v>62</v>
      </c>
      <c r="H230" s="15" t="s">
        <v>63</v>
      </c>
      <c r="I230" s="15" t="s">
        <v>343</v>
      </c>
    </row>
    <row r="231" customFormat="false" ht="23.25" hidden="false" customHeight="true" outlineLevel="0" collapsed="false">
      <c r="A231" s="14" t="n">
        <v>230</v>
      </c>
      <c r="B231" s="14" t="s">
        <v>339</v>
      </c>
      <c r="C231" s="14" t="s">
        <v>340</v>
      </c>
      <c r="D231" s="15" t="s">
        <v>341</v>
      </c>
      <c r="E231" s="15" t="s">
        <v>342</v>
      </c>
      <c r="F231" s="15" t="s">
        <v>353</v>
      </c>
      <c r="G231" s="15" t="s">
        <v>62</v>
      </c>
      <c r="H231" s="15" t="s">
        <v>63</v>
      </c>
      <c r="I231" s="15" t="s">
        <v>343</v>
      </c>
    </row>
    <row r="232" customFormat="false" ht="23.25" hidden="false" customHeight="true" outlineLevel="0" collapsed="false">
      <c r="A232" s="14" t="n">
        <v>231</v>
      </c>
      <c r="B232" s="14" t="s">
        <v>339</v>
      </c>
      <c r="C232" s="14" t="s">
        <v>340</v>
      </c>
      <c r="D232" s="15" t="s">
        <v>341</v>
      </c>
      <c r="E232" s="15" t="s">
        <v>342</v>
      </c>
      <c r="F232" s="15" t="s">
        <v>354</v>
      </c>
      <c r="G232" s="15" t="s">
        <v>62</v>
      </c>
      <c r="H232" s="15" t="s">
        <v>63</v>
      </c>
      <c r="I232" s="15" t="s">
        <v>343</v>
      </c>
    </row>
    <row r="233" customFormat="false" ht="23.25" hidden="false" customHeight="true" outlineLevel="0" collapsed="false">
      <c r="A233" s="14" t="n">
        <v>232</v>
      </c>
      <c r="B233" s="14" t="s">
        <v>339</v>
      </c>
      <c r="C233" s="14" t="s">
        <v>340</v>
      </c>
      <c r="D233" s="15" t="s">
        <v>341</v>
      </c>
      <c r="E233" s="15" t="s">
        <v>342</v>
      </c>
      <c r="F233" s="15" t="s">
        <v>39</v>
      </c>
      <c r="G233" s="15" t="s">
        <v>62</v>
      </c>
      <c r="H233" s="15" t="s">
        <v>63</v>
      </c>
      <c r="I233" s="15" t="s">
        <v>343</v>
      </c>
    </row>
    <row r="234" customFormat="false" ht="23.25" hidden="false" customHeight="true" outlineLevel="0" collapsed="false">
      <c r="A234" s="14" t="n">
        <v>233</v>
      </c>
      <c r="B234" s="14" t="s">
        <v>339</v>
      </c>
      <c r="C234" s="14" t="s">
        <v>340</v>
      </c>
      <c r="D234" s="15" t="s">
        <v>341</v>
      </c>
      <c r="E234" s="15" t="s">
        <v>342</v>
      </c>
      <c r="F234" s="15" t="s">
        <v>355</v>
      </c>
      <c r="G234" s="15" t="s">
        <v>62</v>
      </c>
      <c r="H234" s="15" t="s">
        <v>63</v>
      </c>
      <c r="I234" s="15" t="s">
        <v>343</v>
      </c>
    </row>
    <row r="235" customFormat="false" ht="23.25" hidden="false" customHeight="true" outlineLevel="0" collapsed="false">
      <c r="A235" s="14" t="n">
        <v>234</v>
      </c>
      <c r="B235" s="14" t="s">
        <v>339</v>
      </c>
      <c r="C235" s="14" t="s">
        <v>340</v>
      </c>
      <c r="D235" s="15" t="s">
        <v>341</v>
      </c>
      <c r="E235" s="15" t="s">
        <v>342</v>
      </c>
      <c r="F235" s="15" t="s">
        <v>28</v>
      </c>
      <c r="G235" s="15" t="s">
        <v>62</v>
      </c>
      <c r="H235" s="15" t="s">
        <v>63</v>
      </c>
      <c r="I235" s="15" t="s">
        <v>343</v>
      </c>
    </row>
    <row r="236" customFormat="false" ht="23.25" hidden="false" customHeight="true" outlineLevel="0" collapsed="false">
      <c r="A236" s="14" t="n">
        <v>235</v>
      </c>
      <c r="B236" s="14" t="s">
        <v>339</v>
      </c>
      <c r="C236" s="14" t="s">
        <v>340</v>
      </c>
      <c r="D236" s="15" t="s">
        <v>341</v>
      </c>
      <c r="E236" s="15" t="s">
        <v>342</v>
      </c>
      <c r="F236" s="15" t="s">
        <v>356</v>
      </c>
      <c r="G236" s="15" t="s">
        <v>62</v>
      </c>
      <c r="H236" s="15" t="s">
        <v>63</v>
      </c>
      <c r="I236" s="15" t="s">
        <v>343</v>
      </c>
    </row>
    <row r="237" customFormat="false" ht="23.25" hidden="false" customHeight="true" outlineLevel="0" collapsed="false">
      <c r="A237" s="14" t="n">
        <v>236</v>
      </c>
      <c r="B237" s="14" t="s">
        <v>339</v>
      </c>
      <c r="C237" s="14" t="s">
        <v>340</v>
      </c>
      <c r="D237" s="15" t="s">
        <v>341</v>
      </c>
      <c r="E237" s="15" t="s">
        <v>342</v>
      </c>
      <c r="F237" s="15" t="s">
        <v>357</v>
      </c>
      <c r="G237" s="15" t="s">
        <v>62</v>
      </c>
      <c r="H237" s="15" t="s">
        <v>63</v>
      </c>
      <c r="I237" s="15" t="s">
        <v>343</v>
      </c>
    </row>
    <row r="238" customFormat="false" ht="23.25" hidden="false" customHeight="true" outlineLevel="0" collapsed="false">
      <c r="A238" s="14" t="n">
        <v>237</v>
      </c>
      <c r="B238" s="14" t="s">
        <v>339</v>
      </c>
      <c r="C238" s="14" t="s">
        <v>340</v>
      </c>
      <c r="D238" s="15" t="s">
        <v>341</v>
      </c>
      <c r="E238" s="15" t="s">
        <v>342</v>
      </c>
      <c r="F238" s="15" t="s">
        <v>358</v>
      </c>
      <c r="G238" s="15" t="s">
        <v>62</v>
      </c>
      <c r="H238" s="15" t="s">
        <v>63</v>
      </c>
      <c r="I238" s="15" t="s">
        <v>343</v>
      </c>
    </row>
    <row r="239" customFormat="false" ht="23.25" hidden="false" customHeight="true" outlineLevel="0" collapsed="false">
      <c r="A239" s="14" t="n">
        <v>238</v>
      </c>
      <c r="B239" s="14" t="s">
        <v>339</v>
      </c>
      <c r="C239" s="14" t="s">
        <v>340</v>
      </c>
      <c r="D239" s="15" t="s">
        <v>341</v>
      </c>
      <c r="E239" s="15" t="s">
        <v>342</v>
      </c>
      <c r="F239" s="15" t="s">
        <v>43</v>
      </c>
      <c r="G239" s="15" t="s">
        <v>62</v>
      </c>
      <c r="H239" s="15" t="s">
        <v>63</v>
      </c>
      <c r="I239" s="15" t="s">
        <v>343</v>
      </c>
    </row>
    <row r="240" customFormat="false" ht="23.25" hidden="false" customHeight="true" outlineLevel="0" collapsed="false">
      <c r="A240" s="14" t="n">
        <v>239</v>
      </c>
      <c r="B240" s="14" t="s">
        <v>339</v>
      </c>
      <c r="C240" s="14" t="s">
        <v>340</v>
      </c>
      <c r="D240" s="15" t="s">
        <v>341</v>
      </c>
      <c r="E240" s="15" t="s">
        <v>342</v>
      </c>
      <c r="F240" s="15" t="s">
        <v>359</v>
      </c>
      <c r="G240" s="15" t="s">
        <v>62</v>
      </c>
      <c r="H240" s="15" t="s">
        <v>63</v>
      </c>
      <c r="I240" s="15" t="s">
        <v>343</v>
      </c>
    </row>
    <row r="241" customFormat="false" ht="23.25" hidden="false" customHeight="true" outlineLevel="0" collapsed="false">
      <c r="A241" s="14" t="n">
        <v>240</v>
      </c>
      <c r="B241" s="14" t="s">
        <v>339</v>
      </c>
      <c r="C241" s="14" t="s">
        <v>340</v>
      </c>
      <c r="D241" s="15" t="s">
        <v>341</v>
      </c>
      <c r="E241" s="15" t="s">
        <v>342</v>
      </c>
      <c r="F241" s="15" t="s">
        <v>360</v>
      </c>
      <c r="G241" s="15" t="s">
        <v>62</v>
      </c>
      <c r="H241" s="15" t="s">
        <v>63</v>
      </c>
      <c r="I241" s="15" t="s">
        <v>343</v>
      </c>
    </row>
    <row r="242" customFormat="false" ht="23.25" hidden="false" customHeight="true" outlineLevel="0" collapsed="false">
      <c r="A242" s="14" t="n">
        <v>241</v>
      </c>
      <c r="B242" s="14" t="s">
        <v>339</v>
      </c>
      <c r="C242" s="14" t="s">
        <v>340</v>
      </c>
      <c r="D242" s="15" t="s">
        <v>341</v>
      </c>
      <c r="E242" s="15" t="s">
        <v>342</v>
      </c>
      <c r="F242" s="15" t="s">
        <v>361</v>
      </c>
      <c r="G242" s="15" t="s">
        <v>62</v>
      </c>
      <c r="H242" s="15" t="s">
        <v>63</v>
      </c>
      <c r="I242" s="15" t="s">
        <v>343</v>
      </c>
    </row>
    <row r="243" customFormat="false" ht="23.25" hidden="false" customHeight="true" outlineLevel="0" collapsed="false">
      <c r="A243" s="14" t="n">
        <v>242</v>
      </c>
      <c r="B243" s="14" t="s">
        <v>339</v>
      </c>
      <c r="C243" s="14" t="s">
        <v>340</v>
      </c>
      <c r="D243" s="15" t="s">
        <v>341</v>
      </c>
      <c r="E243" s="15" t="s">
        <v>342</v>
      </c>
      <c r="F243" s="15" t="s">
        <v>143</v>
      </c>
      <c r="G243" s="15" t="s">
        <v>62</v>
      </c>
      <c r="H243" s="15" t="s">
        <v>63</v>
      </c>
      <c r="I243" s="15" t="s">
        <v>343</v>
      </c>
    </row>
    <row r="244" customFormat="false" ht="23.25" hidden="false" customHeight="true" outlineLevel="0" collapsed="false">
      <c r="A244" s="14" t="n">
        <v>243</v>
      </c>
      <c r="B244" s="14" t="s">
        <v>339</v>
      </c>
      <c r="C244" s="14" t="s">
        <v>340</v>
      </c>
      <c r="D244" s="15" t="s">
        <v>341</v>
      </c>
      <c r="E244" s="15" t="s">
        <v>342</v>
      </c>
      <c r="F244" s="15" t="s">
        <v>362</v>
      </c>
      <c r="G244" s="15" t="s">
        <v>62</v>
      </c>
      <c r="H244" s="15" t="s">
        <v>63</v>
      </c>
      <c r="I244" s="15" t="s">
        <v>343</v>
      </c>
    </row>
    <row r="245" customFormat="false" ht="23.25" hidden="false" customHeight="true" outlineLevel="0" collapsed="false">
      <c r="A245" s="14" t="n">
        <v>244</v>
      </c>
      <c r="B245" s="14" t="s">
        <v>339</v>
      </c>
      <c r="C245" s="14" t="s">
        <v>340</v>
      </c>
      <c r="D245" s="15" t="s">
        <v>341</v>
      </c>
      <c r="E245" s="15" t="s">
        <v>342</v>
      </c>
      <c r="F245" s="15" t="s">
        <v>363</v>
      </c>
      <c r="G245" s="15" t="s">
        <v>62</v>
      </c>
      <c r="H245" s="15" t="s">
        <v>63</v>
      </c>
      <c r="I245" s="15" t="s">
        <v>343</v>
      </c>
    </row>
    <row r="246" customFormat="false" ht="23.25" hidden="false" customHeight="true" outlineLevel="0" collapsed="false">
      <c r="A246" s="14" t="n">
        <v>245</v>
      </c>
      <c r="B246" s="14" t="s">
        <v>339</v>
      </c>
      <c r="C246" s="14" t="s">
        <v>340</v>
      </c>
      <c r="D246" s="15" t="s">
        <v>341</v>
      </c>
      <c r="E246" s="15" t="s">
        <v>342</v>
      </c>
      <c r="F246" s="15" t="s">
        <v>364</v>
      </c>
      <c r="G246" s="15" t="s">
        <v>62</v>
      </c>
      <c r="H246" s="15" t="s">
        <v>63</v>
      </c>
      <c r="I246" s="15" t="s">
        <v>343</v>
      </c>
    </row>
    <row r="247" customFormat="false" ht="23.25" hidden="false" customHeight="true" outlineLevel="0" collapsed="false">
      <c r="A247" s="14" t="n">
        <v>246</v>
      </c>
      <c r="B247" s="14" t="s">
        <v>365</v>
      </c>
      <c r="C247" s="14" t="s">
        <v>366</v>
      </c>
      <c r="D247" s="15" t="s">
        <v>367</v>
      </c>
      <c r="E247" s="15" t="s">
        <v>368</v>
      </c>
      <c r="F247" s="15" t="s">
        <v>369</v>
      </c>
      <c r="G247" s="15" t="s">
        <v>62</v>
      </c>
      <c r="H247" s="15" t="s">
        <v>63</v>
      </c>
      <c r="I247" s="15" t="s">
        <v>370</v>
      </c>
    </row>
    <row r="248" customFormat="false" ht="23.25" hidden="false" customHeight="true" outlineLevel="0" collapsed="false">
      <c r="A248" s="14" t="n">
        <v>247</v>
      </c>
      <c r="B248" s="14" t="s">
        <v>365</v>
      </c>
      <c r="C248" s="14" t="s">
        <v>366</v>
      </c>
      <c r="D248" s="15" t="s">
        <v>367</v>
      </c>
      <c r="E248" s="15" t="s">
        <v>368</v>
      </c>
      <c r="F248" s="15" t="s">
        <v>371</v>
      </c>
      <c r="G248" s="15" t="s">
        <v>62</v>
      </c>
      <c r="H248" s="15" t="s">
        <v>63</v>
      </c>
      <c r="I248" s="15" t="s">
        <v>370</v>
      </c>
    </row>
    <row r="249" customFormat="false" ht="23.25" hidden="false" customHeight="true" outlineLevel="0" collapsed="false">
      <c r="A249" s="14" t="n">
        <v>248</v>
      </c>
      <c r="B249" s="14" t="s">
        <v>365</v>
      </c>
      <c r="C249" s="14" t="s">
        <v>366</v>
      </c>
      <c r="D249" s="15" t="s">
        <v>367</v>
      </c>
      <c r="E249" s="15" t="s">
        <v>368</v>
      </c>
      <c r="F249" s="15" t="s">
        <v>372</v>
      </c>
      <c r="G249" s="15" t="s">
        <v>62</v>
      </c>
      <c r="H249" s="15" t="s">
        <v>63</v>
      </c>
      <c r="I249" s="15" t="s">
        <v>370</v>
      </c>
    </row>
    <row r="250" customFormat="false" ht="23.25" hidden="false" customHeight="true" outlineLevel="0" collapsed="false">
      <c r="A250" s="14" t="n">
        <v>249</v>
      </c>
      <c r="B250" s="14" t="s">
        <v>365</v>
      </c>
      <c r="C250" s="14" t="s">
        <v>366</v>
      </c>
      <c r="D250" s="15" t="s">
        <v>367</v>
      </c>
      <c r="E250" s="15" t="s">
        <v>368</v>
      </c>
      <c r="F250" s="15" t="s">
        <v>373</v>
      </c>
      <c r="G250" s="15" t="s">
        <v>62</v>
      </c>
      <c r="H250" s="15" t="s">
        <v>63</v>
      </c>
      <c r="I250" s="15" t="s">
        <v>370</v>
      </c>
    </row>
    <row r="251" customFormat="false" ht="23.25" hidden="false" customHeight="true" outlineLevel="0" collapsed="false">
      <c r="A251" s="14" t="n">
        <v>250</v>
      </c>
      <c r="B251" s="14" t="s">
        <v>365</v>
      </c>
      <c r="C251" s="14" t="s">
        <v>366</v>
      </c>
      <c r="D251" s="15" t="s">
        <v>367</v>
      </c>
      <c r="E251" s="15" t="s">
        <v>368</v>
      </c>
      <c r="F251" s="15" t="s">
        <v>374</v>
      </c>
      <c r="G251" s="15" t="s">
        <v>62</v>
      </c>
      <c r="H251" s="15" t="s">
        <v>63</v>
      </c>
      <c r="I251" s="15" t="s">
        <v>370</v>
      </c>
    </row>
    <row r="252" customFormat="false" ht="23.25" hidden="false" customHeight="true" outlineLevel="0" collapsed="false">
      <c r="A252" s="14" t="n">
        <v>251</v>
      </c>
      <c r="B252" s="14" t="s">
        <v>365</v>
      </c>
      <c r="C252" s="14" t="s">
        <v>366</v>
      </c>
      <c r="D252" s="15" t="s">
        <v>367</v>
      </c>
      <c r="E252" s="15" t="s">
        <v>368</v>
      </c>
      <c r="F252" s="15" t="s">
        <v>375</v>
      </c>
      <c r="G252" s="15" t="s">
        <v>62</v>
      </c>
      <c r="H252" s="15" t="s">
        <v>63</v>
      </c>
      <c r="I252" s="15" t="s">
        <v>370</v>
      </c>
    </row>
    <row r="253" customFormat="false" ht="23.25" hidden="false" customHeight="true" outlineLevel="0" collapsed="false">
      <c r="A253" s="14" t="n">
        <v>252</v>
      </c>
      <c r="B253" s="14" t="s">
        <v>365</v>
      </c>
      <c r="C253" s="14" t="s">
        <v>366</v>
      </c>
      <c r="D253" s="15" t="s">
        <v>367</v>
      </c>
      <c r="E253" s="15" t="s">
        <v>368</v>
      </c>
      <c r="F253" s="15" t="s">
        <v>376</v>
      </c>
      <c r="G253" s="15" t="s">
        <v>62</v>
      </c>
      <c r="H253" s="15" t="s">
        <v>63</v>
      </c>
      <c r="I253" s="15" t="s">
        <v>370</v>
      </c>
    </row>
    <row r="254" customFormat="false" ht="23.25" hidden="false" customHeight="true" outlineLevel="0" collapsed="false">
      <c r="A254" s="14" t="n">
        <v>253</v>
      </c>
      <c r="B254" s="14" t="s">
        <v>365</v>
      </c>
      <c r="C254" s="14" t="s">
        <v>366</v>
      </c>
      <c r="D254" s="15" t="s">
        <v>367</v>
      </c>
      <c r="E254" s="15" t="s">
        <v>368</v>
      </c>
      <c r="F254" s="15" t="s">
        <v>377</v>
      </c>
      <c r="G254" s="15" t="s">
        <v>62</v>
      </c>
      <c r="H254" s="15" t="s">
        <v>63</v>
      </c>
      <c r="I254" s="15" t="s">
        <v>370</v>
      </c>
    </row>
    <row r="255" customFormat="false" ht="23.25" hidden="false" customHeight="true" outlineLevel="0" collapsed="false">
      <c r="A255" s="14" t="n">
        <v>254</v>
      </c>
      <c r="B255" s="14" t="s">
        <v>365</v>
      </c>
      <c r="C255" s="14" t="s">
        <v>366</v>
      </c>
      <c r="D255" s="15" t="s">
        <v>367</v>
      </c>
      <c r="E255" s="15" t="s">
        <v>368</v>
      </c>
      <c r="F255" s="15" t="s">
        <v>378</v>
      </c>
      <c r="G255" s="15" t="s">
        <v>62</v>
      </c>
      <c r="H255" s="15" t="s">
        <v>63</v>
      </c>
      <c r="I255" s="15" t="s">
        <v>370</v>
      </c>
    </row>
    <row r="256" customFormat="false" ht="23.25" hidden="false" customHeight="true" outlineLevel="0" collapsed="false">
      <c r="A256" s="14" t="n">
        <v>255</v>
      </c>
      <c r="B256" s="14" t="s">
        <v>365</v>
      </c>
      <c r="C256" s="14" t="s">
        <v>366</v>
      </c>
      <c r="D256" s="15" t="s">
        <v>367</v>
      </c>
      <c r="E256" s="15" t="s">
        <v>368</v>
      </c>
      <c r="F256" s="15" t="s">
        <v>379</v>
      </c>
      <c r="G256" s="15" t="s">
        <v>62</v>
      </c>
      <c r="H256" s="15" t="s">
        <v>63</v>
      </c>
      <c r="I256" s="15" t="s">
        <v>370</v>
      </c>
    </row>
    <row r="257" customFormat="false" ht="23.25" hidden="false" customHeight="true" outlineLevel="0" collapsed="false">
      <c r="A257" s="14" t="n">
        <v>256</v>
      </c>
      <c r="B257" s="14" t="s">
        <v>365</v>
      </c>
      <c r="C257" s="14" t="s">
        <v>366</v>
      </c>
      <c r="D257" s="15" t="s">
        <v>367</v>
      </c>
      <c r="E257" s="15" t="s">
        <v>368</v>
      </c>
      <c r="F257" s="15" t="s">
        <v>380</v>
      </c>
      <c r="G257" s="15" t="s">
        <v>62</v>
      </c>
      <c r="H257" s="15" t="s">
        <v>63</v>
      </c>
      <c r="I257" s="15" t="s">
        <v>370</v>
      </c>
    </row>
    <row r="258" customFormat="false" ht="23.25" hidden="false" customHeight="true" outlineLevel="0" collapsed="false">
      <c r="A258" s="14" t="n">
        <v>257</v>
      </c>
      <c r="B258" s="14" t="s">
        <v>365</v>
      </c>
      <c r="C258" s="14" t="s">
        <v>366</v>
      </c>
      <c r="D258" s="15" t="s">
        <v>367</v>
      </c>
      <c r="E258" s="15" t="s">
        <v>368</v>
      </c>
      <c r="F258" s="15" t="s">
        <v>381</v>
      </c>
      <c r="G258" s="15" t="s">
        <v>62</v>
      </c>
      <c r="H258" s="15" t="s">
        <v>63</v>
      </c>
      <c r="I258" s="15" t="s">
        <v>370</v>
      </c>
    </row>
    <row r="259" customFormat="false" ht="23.25" hidden="false" customHeight="true" outlineLevel="0" collapsed="false">
      <c r="A259" s="14" t="n">
        <v>258</v>
      </c>
      <c r="B259" s="14" t="s">
        <v>365</v>
      </c>
      <c r="C259" s="14" t="s">
        <v>366</v>
      </c>
      <c r="D259" s="15" t="s">
        <v>367</v>
      </c>
      <c r="E259" s="15" t="s">
        <v>368</v>
      </c>
      <c r="F259" s="15" t="s">
        <v>382</v>
      </c>
      <c r="G259" s="15" t="s">
        <v>62</v>
      </c>
      <c r="H259" s="15" t="s">
        <v>63</v>
      </c>
      <c r="I259" s="15" t="s">
        <v>370</v>
      </c>
    </row>
    <row r="260" customFormat="false" ht="23.25" hidden="false" customHeight="true" outlineLevel="0" collapsed="false">
      <c r="A260" s="14" t="n">
        <v>259</v>
      </c>
      <c r="B260" s="14" t="s">
        <v>365</v>
      </c>
      <c r="C260" s="14" t="s">
        <v>366</v>
      </c>
      <c r="D260" s="15" t="s">
        <v>367</v>
      </c>
      <c r="E260" s="15" t="s">
        <v>368</v>
      </c>
      <c r="F260" s="15" t="s">
        <v>383</v>
      </c>
      <c r="G260" s="15" t="s">
        <v>62</v>
      </c>
      <c r="H260" s="15" t="s">
        <v>63</v>
      </c>
      <c r="I260" s="15" t="s">
        <v>370</v>
      </c>
    </row>
    <row r="261" customFormat="false" ht="23.25" hidden="false" customHeight="true" outlineLevel="0" collapsed="false">
      <c r="A261" s="14" t="n">
        <v>260</v>
      </c>
      <c r="B261" s="14" t="s">
        <v>365</v>
      </c>
      <c r="C261" s="14" t="s">
        <v>366</v>
      </c>
      <c r="D261" s="15" t="s">
        <v>367</v>
      </c>
      <c r="E261" s="15" t="s">
        <v>368</v>
      </c>
      <c r="F261" s="15" t="s">
        <v>384</v>
      </c>
      <c r="G261" s="15" t="s">
        <v>62</v>
      </c>
      <c r="H261" s="15" t="s">
        <v>63</v>
      </c>
      <c r="I261" s="15" t="s">
        <v>370</v>
      </c>
    </row>
    <row r="262" customFormat="false" ht="23.25" hidden="false" customHeight="true" outlineLevel="0" collapsed="false">
      <c r="A262" s="14" t="n">
        <v>261</v>
      </c>
      <c r="B262" s="14" t="s">
        <v>365</v>
      </c>
      <c r="C262" s="14" t="s">
        <v>366</v>
      </c>
      <c r="D262" s="15" t="s">
        <v>367</v>
      </c>
      <c r="E262" s="15" t="s">
        <v>368</v>
      </c>
      <c r="F262" s="15" t="s">
        <v>385</v>
      </c>
      <c r="G262" s="15" t="s">
        <v>62</v>
      </c>
      <c r="H262" s="15" t="s">
        <v>63</v>
      </c>
      <c r="I262" s="15" t="s">
        <v>370</v>
      </c>
    </row>
    <row r="263" customFormat="false" ht="23.25" hidden="false" customHeight="true" outlineLevel="0" collapsed="false">
      <c r="A263" s="14" t="n">
        <v>262</v>
      </c>
      <c r="B263" s="14" t="s">
        <v>365</v>
      </c>
      <c r="C263" s="14" t="s">
        <v>366</v>
      </c>
      <c r="D263" s="15" t="s">
        <v>367</v>
      </c>
      <c r="E263" s="15" t="s">
        <v>368</v>
      </c>
      <c r="F263" s="15" t="s">
        <v>386</v>
      </c>
      <c r="G263" s="15" t="s">
        <v>62</v>
      </c>
      <c r="H263" s="15" t="s">
        <v>63</v>
      </c>
      <c r="I263" s="15" t="s">
        <v>370</v>
      </c>
    </row>
    <row r="264" customFormat="false" ht="23.25" hidden="false" customHeight="true" outlineLevel="0" collapsed="false">
      <c r="A264" s="14" t="n">
        <v>263</v>
      </c>
      <c r="B264" s="14" t="s">
        <v>365</v>
      </c>
      <c r="C264" s="14" t="s">
        <v>366</v>
      </c>
      <c r="D264" s="15" t="s">
        <v>367</v>
      </c>
      <c r="E264" s="15" t="s">
        <v>368</v>
      </c>
      <c r="F264" s="15" t="s">
        <v>387</v>
      </c>
      <c r="G264" s="15" t="s">
        <v>62</v>
      </c>
      <c r="H264" s="15" t="s">
        <v>63</v>
      </c>
      <c r="I264" s="15" t="s">
        <v>370</v>
      </c>
    </row>
    <row r="265" customFormat="false" ht="23.25" hidden="false" customHeight="true" outlineLevel="0" collapsed="false">
      <c r="A265" s="14" t="n">
        <v>264</v>
      </c>
      <c r="B265" s="14" t="s">
        <v>365</v>
      </c>
      <c r="C265" s="14" t="s">
        <v>366</v>
      </c>
      <c r="D265" s="15" t="s">
        <v>367</v>
      </c>
      <c r="E265" s="15" t="s">
        <v>368</v>
      </c>
      <c r="F265" s="15" t="s">
        <v>388</v>
      </c>
      <c r="G265" s="15" t="s">
        <v>62</v>
      </c>
      <c r="H265" s="15" t="s">
        <v>63</v>
      </c>
      <c r="I265" s="15" t="s">
        <v>370</v>
      </c>
    </row>
    <row r="266" customFormat="false" ht="23.25" hidden="false" customHeight="true" outlineLevel="0" collapsed="false">
      <c r="A266" s="14" t="n">
        <v>265</v>
      </c>
      <c r="B266" s="14" t="s">
        <v>365</v>
      </c>
      <c r="C266" s="14" t="s">
        <v>366</v>
      </c>
      <c r="D266" s="15" t="s">
        <v>367</v>
      </c>
      <c r="E266" s="15" t="s">
        <v>368</v>
      </c>
      <c r="F266" s="15" t="s">
        <v>389</v>
      </c>
      <c r="G266" s="15" t="s">
        <v>62</v>
      </c>
      <c r="H266" s="15" t="s">
        <v>63</v>
      </c>
      <c r="I266" s="15" t="s">
        <v>370</v>
      </c>
    </row>
    <row r="267" customFormat="false" ht="23.25" hidden="false" customHeight="true" outlineLevel="0" collapsed="false">
      <c r="A267" s="14" t="n">
        <v>266</v>
      </c>
      <c r="B267" s="14" t="s">
        <v>365</v>
      </c>
      <c r="C267" s="14" t="s">
        <v>366</v>
      </c>
      <c r="D267" s="15" t="s">
        <v>367</v>
      </c>
      <c r="E267" s="15" t="s">
        <v>368</v>
      </c>
      <c r="F267" s="15" t="s">
        <v>390</v>
      </c>
      <c r="G267" s="15" t="s">
        <v>62</v>
      </c>
      <c r="H267" s="15" t="s">
        <v>63</v>
      </c>
      <c r="I267" s="15" t="s">
        <v>370</v>
      </c>
    </row>
    <row r="268" customFormat="false" ht="23.25" hidden="false" customHeight="true" outlineLevel="0" collapsed="false">
      <c r="A268" s="14" t="n">
        <v>267</v>
      </c>
      <c r="B268" s="14" t="s">
        <v>365</v>
      </c>
      <c r="C268" s="14" t="s">
        <v>366</v>
      </c>
      <c r="D268" s="15" t="s">
        <v>367</v>
      </c>
      <c r="E268" s="15" t="s">
        <v>368</v>
      </c>
      <c r="F268" s="15" t="s">
        <v>391</v>
      </c>
      <c r="G268" s="15" t="s">
        <v>62</v>
      </c>
      <c r="H268" s="15" t="s">
        <v>63</v>
      </c>
      <c r="I268" s="15" t="s">
        <v>370</v>
      </c>
    </row>
    <row r="269" customFormat="false" ht="23.25" hidden="false" customHeight="true" outlineLevel="0" collapsed="false">
      <c r="A269" s="14" t="n">
        <v>268</v>
      </c>
      <c r="B269" s="14" t="s">
        <v>365</v>
      </c>
      <c r="C269" s="14" t="s">
        <v>366</v>
      </c>
      <c r="D269" s="15" t="s">
        <v>367</v>
      </c>
      <c r="E269" s="15" t="s">
        <v>368</v>
      </c>
      <c r="F269" s="15" t="s">
        <v>392</v>
      </c>
      <c r="G269" s="15" t="s">
        <v>62</v>
      </c>
      <c r="H269" s="15" t="s">
        <v>63</v>
      </c>
      <c r="I269" s="15" t="s">
        <v>370</v>
      </c>
    </row>
    <row r="270" customFormat="false" ht="23.25" hidden="false" customHeight="true" outlineLevel="0" collapsed="false">
      <c r="A270" s="14" t="n">
        <v>269</v>
      </c>
      <c r="B270" s="14" t="s">
        <v>365</v>
      </c>
      <c r="C270" s="14" t="s">
        <v>366</v>
      </c>
      <c r="D270" s="15" t="s">
        <v>367</v>
      </c>
      <c r="E270" s="15" t="s">
        <v>368</v>
      </c>
      <c r="F270" s="15" t="s">
        <v>393</v>
      </c>
      <c r="G270" s="15" t="s">
        <v>62</v>
      </c>
      <c r="H270" s="15" t="s">
        <v>63</v>
      </c>
      <c r="I270" s="15" t="s">
        <v>370</v>
      </c>
    </row>
    <row r="271" customFormat="false" ht="23.25" hidden="false" customHeight="true" outlineLevel="0" collapsed="false">
      <c r="A271" s="14" t="n">
        <v>270</v>
      </c>
      <c r="B271" s="14" t="s">
        <v>365</v>
      </c>
      <c r="C271" s="14" t="s">
        <v>366</v>
      </c>
      <c r="D271" s="15" t="s">
        <v>367</v>
      </c>
      <c r="E271" s="15" t="s">
        <v>368</v>
      </c>
      <c r="F271" s="15" t="s">
        <v>394</v>
      </c>
      <c r="G271" s="15" t="s">
        <v>62</v>
      </c>
      <c r="H271" s="15" t="s">
        <v>63</v>
      </c>
      <c r="I271" s="15" t="s">
        <v>370</v>
      </c>
    </row>
    <row r="272" customFormat="false" ht="23.25" hidden="false" customHeight="true" outlineLevel="0" collapsed="false">
      <c r="A272" s="14" t="n">
        <v>271</v>
      </c>
      <c r="B272" s="14" t="s">
        <v>365</v>
      </c>
      <c r="C272" s="14" t="s">
        <v>366</v>
      </c>
      <c r="D272" s="15" t="s">
        <v>367</v>
      </c>
      <c r="E272" s="15" t="s">
        <v>368</v>
      </c>
      <c r="F272" s="15" t="s">
        <v>395</v>
      </c>
      <c r="G272" s="15" t="s">
        <v>62</v>
      </c>
      <c r="H272" s="15" t="s">
        <v>63</v>
      </c>
      <c r="I272" s="15" t="s">
        <v>370</v>
      </c>
    </row>
    <row r="273" customFormat="false" ht="23.25" hidden="false" customHeight="true" outlineLevel="0" collapsed="false">
      <c r="A273" s="14" t="n">
        <v>272</v>
      </c>
      <c r="B273" s="14" t="s">
        <v>365</v>
      </c>
      <c r="C273" s="14" t="s">
        <v>366</v>
      </c>
      <c r="D273" s="15" t="s">
        <v>367</v>
      </c>
      <c r="E273" s="15" t="s">
        <v>368</v>
      </c>
      <c r="F273" s="15" t="s">
        <v>396</v>
      </c>
      <c r="G273" s="15" t="s">
        <v>62</v>
      </c>
      <c r="H273" s="15" t="s">
        <v>63</v>
      </c>
      <c r="I273" s="15" t="s">
        <v>370</v>
      </c>
    </row>
    <row r="274" customFormat="false" ht="23.25" hidden="false" customHeight="true" outlineLevel="0" collapsed="false">
      <c r="A274" s="14" t="n">
        <v>273</v>
      </c>
      <c r="B274" s="14" t="s">
        <v>365</v>
      </c>
      <c r="C274" s="14" t="s">
        <v>366</v>
      </c>
      <c r="D274" s="15" t="s">
        <v>367</v>
      </c>
      <c r="E274" s="15" t="s">
        <v>368</v>
      </c>
      <c r="F274" s="15" t="s">
        <v>397</v>
      </c>
      <c r="G274" s="15" t="s">
        <v>62</v>
      </c>
      <c r="H274" s="15" t="s">
        <v>63</v>
      </c>
      <c r="I274" s="15" t="s">
        <v>370</v>
      </c>
    </row>
    <row r="275" customFormat="false" ht="23.25" hidden="false" customHeight="true" outlineLevel="0" collapsed="false">
      <c r="A275" s="14" t="n">
        <v>274</v>
      </c>
      <c r="B275" s="14" t="s">
        <v>365</v>
      </c>
      <c r="C275" s="14" t="s">
        <v>366</v>
      </c>
      <c r="D275" s="15" t="s">
        <v>367</v>
      </c>
      <c r="E275" s="15" t="s">
        <v>368</v>
      </c>
      <c r="F275" s="15" t="s">
        <v>398</v>
      </c>
      <c r="G275" s="15" t="s">
        <v>62</v>
      </c>
      <c r="H275" s="15" t="s">
        <v>63</v>
      </c>
      <c r="I275" s="15" t="s">
        <v>370</v>
      </c>
    </row>
    <row r="276" customFormat="false" ht="23.25" hidden="false" customHeight="true" outlineLevel="0" collapsed="false">
      <c r="A276" s="14" t="n">
        <v>275</v>
      </c>
      <c r="B276" s="14" t="s">
        <v>365</v>
      </c>
      <c r="C276" s="14" t="s">
        <v>366</v>
      </c>
      <c r="D276" s="15" t="s">
        <v>367</v>
      </c>
      <c r="E276" s="15" t="s">
        <v>368</v>
      </c>
      <c r="F276" s="15" t="s">
        <v>399</v>
      </c>
      <c r="G276" s="15" t="s">
        <v>62</v>
      </c>
      <c r="H276" s="15" t="s">
        <v>63</v>
      </c>
      <c r="I276" s="15" t="s">
        <v>370</v>
      </c>
    </row>
    <row r="277" customFormat="false" ht="23.25" hidden="false" customHeight="true" outlineLevel="0" collapsed="false">
      <c r="A277" s="14" t="n">
        <v>276</v>
      </c>
      <c r="B277" s="14" t="s">
        <v>365</v>
      </c>
      <c r="C277" s="14" t="s">
        <v>366</v>
      </c>
      <c r="D277" s="15" t="s">
        <v>367</v>
      </c>
      <c r="E277" s="15" t="s">
        <v>368</v>
      </c>
      <c r="F277" s="15" t="s">
        <v>400</v>
      </c>
      <c r="G277" s="15" t="s">
        <v>62</v>
      </c>
      <c r="H277" s="15" t="s">
        <v>63</v>
      </c>
      <c r="I277" s="15" t="s">
        <v>370</v>
      </c>
    </row>
    <row r="278" customFormat="false" ht="23.25" hidden="false" customHeight="true" outlineLevel="0" collapsed="false">
      <c r="A278" s="14" t="n">
        <v>277</v>
      </c>
      <c r="B278" s="14" t="s">
        <v>365</v>
      </c>
      <c r="C278" s="14" t="s">
        <v>366</v>
      </c>
      <c r="D278" s="15" t="s">
        <v>367</v>
      </c>
      <c r="E278" s="15" t="s">
        <v>368</v>
      </c>
      <c r="F278" s="15" t="s">
        <v>401</v>
      </c>
      <c r="G278" s="15" t="s">
        <v>62</v>
      </c>
      <c r="H278" s="15" t="s">
        <v>63</v>
      </c>
      <c r="I278" s="15" t="s">
        <v>370</v>
      </c>
    </row>
    <row r="279" customFormat="false" ht="23.25" hidden="false" customHeight="true" outlineLevel="0" collapsed="false">
      <c r="A279" s="14" t="n">
        <v>278</v>
      </c>
      <c r="B279" s="14" t="s">
        <v>365</v>
      </c>
      <c r="C279" s="14" t="s">
        <v>366</v>
      </c>
      <c r="D279" s="15" t="s">
        <v>367</v>
      </c>
      <c r="E279" s="15" t="s">
        <v>368</v>
      </c>
      <c r="F279" s="15" t="s">
        <v>402</v>
      </c>
      <c r="G279" s="15" t="s">
        <v>62</v>
      </c>
      <c r="H279" s="15" t="s">
        <v>63</v>
      </c>
      <c r="I279" s="15" t="s">
        <v>370</v>
      </c>
    </row>
    <row r="280" customFormat="false" ht="23.25" hidden="false" customHeight="true" outlineLevel="0" collapsed="false">
      <c r="A280" s="14" t="n">
        <v>279</v>
      </c>
      <c r="B280" s="14" t="s">
        <v>365</v>
      </c>
      <c r="C280" s="14" t="s">
        <v>366</v>
      </c>
      <c r="D280" s="15" t="s">
        <v>367</v>
      </c>
      <c r="E280" s="15" t="s">
        <v>368</v>
      </c>
      <c r="F280" s="15" t="s">
        <v>403</v>
      </c>
      <c r="G280" s="15" t="s">
        <v>62</v>
      </c>
      <c r="H280" s="15" t="s">
        <v>63</v>
      </c>
      <c r="I280" s="15" t="s">
        <v>370</v>
      </c>
    </row>
    <row r="281" customFormat="false" ht="23.25" hidden="false" customHeight="true" outlineLevel="0" collapsed="false">
      <c r="A281" s="14" t="n">
        <v>280</v>
      </c>
      <c r="B281" s="14" t="s">
        <v>365</v>
      </c>
      <c r="C281" s="14" t="s">
        <v>366</v>
      </c>
      <c r="D281" s="15" t="s">
        <v>367</v>
      </c>
      <c r="E281" s="15" t="s">
        <v>368</v>
      </c>
      <c r="F281" s="15" t="s">
        <v>404</v>
      </c>
      <c r="G281" s="15" t="s">
        <v>62</v>
      </c>
      <c r="H281" s="15" t="s">
        <v>63</v>
      </c>
      <c r="I281" s="15" t="s">
        <v>370</v>
      </c>
    </row>
    <row r="282" customFormat="false" ht="23.25" hidden="false" customHeight="true" outlineLevel="0" collapsed="false">
      <c r="A282" s="14" t="n">
        <v>281</v>
      </c>
      <c r="B282" s="14" t="s">
        <v>365</v>
      </c>
      <c r="C282" s="14" t="s">
        <v>366</v>
      </c>
      <c r="D282" s="15" t="s">
        <v>367</v>
      </c>
      <c r="E282" s="15" t="s">
        <v>368</v>
      </c>
      <c r="F282" s="15" t="s">
        <v>405</v>
      </c>
      <c r="G282" s="15" t="s">
        <v>62</v>
      </c>
      <c r="H282" s="15" t="s">
        <v>63</v>
      </c>
      <c r="I282" s="15" t="s">
        <v>370</v>
      </c>
    </row>
    <row r="283" customFormat="false" ht="23.25" hidden="false" customHeight="true" outlineLevel="0" collapsed="false">
      <c r="A283" s="14" t="n">
        <v>282</v>
      </c>
      <c r="B283" s="14" t="s">
        <v>365</v>
      </c>
      <c r="C283" s="14" t="s">
        <v>366</v>
      </c>
      <c r="D283" s="15" t="s">
        <v>367</v>
      </c>
      <c r="E283" s="15" t="s">
        <v>368</v>
      </c>
      <c r="F283" s="15" t="s">
        <v>406</v>
      </c>
      <c r="G283" s="15" t="s">
        <v>62</v>
      </c>
      <c r="H283" s="15" t="s">
        <v>63</v>
      </c>
      <c r="I283" s="15" t="s">
        <v>370</v>
      </c>
    </row>
    <row r="284" customFormat="false" ht="23.25" hidden="false" customHeight="true" outlineLevel="0" collapsed="false">
      <c r="A284" s="14" t="n">
        <v>283</v>
      </c>
      <c r="B284" s="14" t="s">
        <v>365</v>
      </c>
      <c r="C284" s="14" t="s">
        <v>366</v>
      </c>
      <c r="D284" s="15" t="s">
        <v>367</v>
      </c>
      <c r="E284" s="15" t="s">
        <v>368</v>
      </c>
      <c r="F284" s="15" t="s">
        <v>407</v>
      </c>
      <c r="G284" s="15" t="s">
        <v>62</v>
      </c>
      <c r="H284" s="15" t="s">
        <v>63</v>
      </c>
      <c r="I284" s="15" t="s">
        <v>370</v>
      </c>
    </row>
    <row r="285" customFormat="false" ht="23.25" hidden="false" customHeight="true" outlineLevel="0" collapsed="false">
      <c r="A285" s="14" t="n">
        <v>284</v>
      </c>
      <c r="B285" s="14" t="s">
        <v>365</v>
      </c>
      <c r="C285" s="14" t="s">
        <v>366</v>
      </c>
      <c r="D285" s="15" t="s">
        <v>367</v>
      </c>
      <c r="E285" s="15" t="s">
        <v>368</v>
      </c>
      <c r="F285" s="15" t="s">
        <v>408</v>
      </c>
      <c r="G285" s="15" t="s">
        <v>62</v>
      </c>
      <c r="H285" s="15" t="s">
        <v>63</v>
      </c>
      <c r="I285" s="15" t="s">
        <v>370</v>
      </c>
    </row>
    <row r="286" customFormat="false" ht="23.25" hidden="false" customHeight="true" outlineLevel="0" collapsed="false">
      <c r="A286" s="14" t="n">
        <v>285</v>
      </c>
      <c r="B286" s="14" t="s">
        <v>365</v>
      </c>
      <c r="C286" s="14" t="s">
        <v>366</v>
      </c>
      <c r="D286" s="15" t="s">
        <v>367</v>
      </c>
      <c r="E286" s="15" t="s">
        <v>368</v>
      </c>
      <c r="F286" s="15" t="s">
        <v>409</v>
      </c>
      <c r="G286" s="15" t="s">
        <v>62</v>
      </c>
      <c r="H286" s="15" t="s">
        <v>63</v>
      </c>
      <c r="I286" s="15" t="s">
        <v>370</v>
      </c>
    </row>
    <row r="287" customFormat="false" ht="23.25" hidden="false" customHeight="true" outlineLevel="0" collapsed="false">
      <c r="A287" s="14" t="n">
        <v>286</v>
      </c>
      <c r="B287" s="14" t="s">
        <v>365</v>
      </c>
      <c r="C287" s="14" t="s">
        <v>366</v>
      </c>
      <c r="D287" s="15" t="s">
        <v>367</v>
      </c>
      <c r="E287" s="15" t="s">
        <v>368</v>
      </c>
      <c r="F287" s="15" t="s">
        <v>410</v>
      </c>
      <c r="G287" s="15" t="s">
        <v>62</v>
      </c>
      <c r="H287" s="15" t="s">
        <v>63</v>
      </c>
      <c r="I287" s="15" t="s">
        <v>370</v>
      </c>
    </row>
    <row r="288" customFormat="false" ht="23.25" hidden="false" customHeight="true" outlineLevel="0" collapsed="false">
      <c r="A288" s="14" t="n">
        <v>287</v>
      </c>
      <c r="B288" s="14" t="s">
        <v>365</v>
      </c>
      <c r="C288" s="14" t="s">
        <v>366</v>
      </c>
      <c r="D288" s="15" t="s">
        <v>367</v>
      </c>
      <c r="E288" s="15" t="s">
        <v>368</v>
      </c>
      <c r="F288" s="15" t="s">
        <v>411</v>
      </c>
      <c r="G288" s="15" t="s">
        <v>62</v>
      </c>
      <c r="H288" s="15" t="s">
        <v>63</v>
      </c>
      <c r="I288" s="15" t="s">
        <v>370</v>
      </c>
    </row>
    <row r="289" customFormat="false" ht="23.25" hidden="false" customHeight="true" outlineLevel="0" collapsed="false">
      <c r="A289" s="14" t="n">
        <v>288</v>
      </c>
      <c r="B289" s="14" t="s">
        <v>412</v>
      </c>
      <c r="C289" s="14" t="s">
        <v>413</v>
      </c>
      <c r="D289" s="15" t="s">
        <v>414</v>
      </c>
      <c r="E289" s="15" t="s">
        <v>415</v>
      </c>
      <c r="F289" s="15" t="s">
        <v>416</v>
      </c>
      <c r="G289" s="15" t="s">
        <v>62</v>
      </c>
      <c r="H289" s="15" t="s">
        <v>417</v>
      </c>
      <c r="I289" s="15" t="s">
        <v>418</v>
      </c>
    </row>
    <row r="290" customFormat="false" ht="23.25" hidden="false" customHeight="true" outlineLevel="0" collapsed="false">
      <c r="A290" s="14" t="n">
        <v>289</v>
      </c>
      <c r="B290" s="14" t="s">
        <v>412</v>
      </c>
      <c r="C290" s="14" t="s">
        <v>413</v>
      </c>
      <c r="D290" s="15" t="s">
        <v>414</v>
      </c>
      <c r="E290" s="15" t="s">
        <v>415</v>
      </c>
      <c r="F290" s="15" t="s">
        <v>419</v>
      </c>
      <c r="G290" s="15" t="s">
        <v>62</v>
      </c>
      <c r="H290" s="15" t="s">
        <v>63</v>
      </c>
      <c r="I290" s="15" t="s">
        <v>418</v>
      </c>
    </row>
    <row r="291" customFormat="false" ht="23.25" hidden="false" customHeight="true" outlineLevel="0" collapsed="false">
      <c r="A291" s="14" t="n">
        <v>290</v>
      </c>
      <c r="B291" s="14" t="s">
        <v>412</v>
      </c>
      <c r="C291" s="14" t="s">
        <v>413</v>
      </c>
      <c r="D291" s="15" t="s">
        <v>414</v>
      </c>
      <c r="E291" s="15" t="s">
        <v>415</v>
      </c>
      <c r="F291" s="15" t="s">
        <v>420</v>
      </c>
      <c r="G291" s="15" t="s">
        <v>62</v>
      </c>
      <c r="H291" s="15" t="s">
        <v>63</v>
      </c>
      <c r="I291" s="15" t="s">
        <v>418</v>
      </c>
    </row>
    <row r="292" customFormat="false" ht="23.25" hidden="false" customHeight="true" outlineLevel="0" collapsed="false">
      <c r="A292" s="14" t="n">
        <v>291</v>
      </c>
      <c r="B292" s="14" t="s">
        <v>412</v>
      </c>
      <c r="C292" s="14" t="s">
        <v>413</v>
      </c>
      <c r="D292" s="15" t="s">
        <v>414</v>
      </c>
      <c r="E292" s="15" t="s">
        <v>415</v>
      </c>
      <c r="F292" s="15" t="s">
        <v>421</v>
      </c>
      <c r="G292" s="15" t="s">
        <v>62</v>
      </c>
      <c r="H292" s="15" t="s">
        <v>63</v>
      </c>
      <c r="I292" s="15" t="s">
        <v>418</v>
      </c>
    </row>
    <row r="293" customFormat="false" ht="23.25" hidden="false" customHeight="true" outlineLevel="0" collapsed="false">
      <c r="A293" s="14" t="n">
        <v>292</v>
      </c>
      <c r="B293" s="14" t="s">
        <v>412</v>
      </c>
      <c r="C293" s="14" t="s">
        <v>413</v>
      </c>
      <c r="D293" s="15" t="s">
        <v>414</v>
      </c>
      <c r="E293" s="15" t="s">
        <v>415</v>
      </c>
      <c r="F293" s="15" t="s">
        <v>422</v>
      </c>
      <c r="G293" s="15" t="s">
        <v>62</v>
      </c>
      <c r="H293" s="15" t="s">
        <v>63</v>
      </c>
      <c r="I293" s="15" t="s">
        <v>418</v>
      </c>
    </row>
    <row r="294" customFormat="false" ht="23.25" hidden="false" customHeight="true" outlineLevel="0" collapsed="false">
      <c r="A294" s="14" t="n">
        <v>293</v>
      </c>
      <c r="B294" s="14" t="s">
        <v>412</v>
      </c>
      <c r="C294" s="14" t="s">
        <v>413</v>
      </c>
      <c r="D294" s="15" t="s">
        <v>414</v>
      </c>
      <c r="E294" s="15" t="s">
        <v>415</v>
      </c>
      <c r="F294" s="15" t="s">
        <v>28</v>
      </c>
      <c r="G294" s="15" t="s">
        <v>62</v>
      </c>
      <c r="H294" s="15" t="s">
        <v>63</v>
      </c>
      <c r="I294" s="15" t="s">
        <v>418</v>
      </c>
    </row>
    <row r="295" customFormat="false" ht="23.25" hidden="false" customHeight="true" outlineLevel="0" collapsed="false">
      <c r="A295" s="14" t="n">
        <v>294</v>
      </c>
      <c r="B295" s="14" t="s">
        <v>412</v>
      </c>
      <c r="C295" s="14" t="s">
        <v>413</v>
      </c>
      <c r="D295" s="15" t="s">
        <v>414</v>
      </c>
      <c r="E295" s="15" t="s">
        <v>415</v>
      </c>
      <c r="F295" s="15" t="s">
        <v>423</v>
      </c>
      <c r="G295" s="15" t="s">
        <v>62</v>
      </c>
      <c r="H295" s="15" t="s">
        <v>63</v>
      </c>
      <c r="I295" s="15" t="s">
        <v>418</v>
      </c>
    </row>
    <row r="296" customFormat="false" ht="23.25" hidden="false" customHeight="true" outlineLevel="0" collapsed="false">
      <c r="A296" s="14" t="n">
        <v>295</v>
      </c>
      <c r="B296" s="14" t="s">
        <v>412</v>
      </c>
      <c r="C296" s="14" t="s">
        <v>413</v>
      </c>
      <c r="D296" s="15" t="s">
        <v>414</v>
      </c>
      <c r="E296" s="15" t="s">
        <v>415</v>
      </c>
      <c r="F296" s="15" t="s">
        <v>424</v>
      </c>
      <c r="G296" s="15" t="s">
        <v>62</v>
      </c>
      <c r="H296" s="15" t="s">
        <v>63</v>
      </c>
      <c r="I296" s="15" t="s">
        <v>418</v>
      </c>
    </row>
    <row r="297" customFormat="false" ht="23.25" hidden="false" customHeight="true" outlineLevel="0" collapsed="false">
      <c r="A297" s="14" t="n">
        <v>296</v>
      </c>
      <c r="B297" s="14" t="s">
        <v>412</v>
      </c>
      <c r="C297" s="14" t="s">
        <v>413</v>
      </c>
      <c r="D297" s="15" t="s">
        <v>414</v>
      </c>
      <c r="E297" s="15" t="s">
        <v>415</v>
      </c>
      <c r="F297" s="15" t="s">
        <v>425</v>
      </c>
      <c r="G297" s="15" t="s">
        <v>62</v>
      </c>
      <c r="H297" s="15" t="s">
        <v>63</v>
      </c>
      <c r="I297" s="15" t="s">
        <v>418</v>
      </c>
    </row>
    <row r="298" customFormat="false" ht="23.25" hidden="false" customHeight="true" outlineLevel="0" collapsed="false">
      <c r="A298" s="14" t="n">
        <v>297</v>
      </c>
      <c r="B298" s="14" t="s">
        <v>412</v>
      </c>
      <c r="C298" s="14" t="s">
        <v>413</v>
      </c>
      <c r="D298" s="15" t="s">
        <v>414</v>
      </c>
      <c r="E298" s="15" t="s">
        <v>415</v>
      </c>
      <c r="F298" s="15" t="s">
        <v>426</v>
      </c>
      <c r="G298" s="15" t="s">
        <v>62</v>
      </c>
      <c r="H298" s="15" t="s">
        <v>63</v>
      </c>
      <c r="I298" s="15" t="s">
        <v>418</v>
      </c>
    </row>
    <row r="299" customFormat="false" ht="23.25" hidden="false" customHeight="true" outlineLevel="0" collapsed="false">
      <c r="A299" s="14" t="n">
        <v>298</v>
      </c>
      <c r="B299" s="14" t="s">
        <v>412</v>
      </c>
      <c r="C299" s="14" t="s">
        <v>413</v>
      </c>
      <c r="D299" s="15" t="s">
        <v>414</v>
      </c>
      <c r="E299" s="15" t="s">
        <v>415</v>
      </c>
      <c r="F299" s="15" t="s">
        <v>67</v>
      </c>
      <c r="G299" s="15" t="s">
        <v>62</v>
      </c>
      <c r="H299" s="15" t="s">
        <v>63</v>
      </c>
      <c r="I299" s="15" t="s">
        <v>418</v>
      </c>
    </row>
    <row r="300" customFormat="false" ht="23.25" hidden="false" customHeight="true" outlineLevel="0" collapsed="false">
      <c r="A300" s="14" t="n">
        <v>299</v>
      </c>
      <c r="B300" s="14" t="s">
        <v>412</v>
      </c>
      <c r="C300" s="14" t="s">
        <v>413</v>
      </c>
      <c r="D300" s="15" t="s">
        <v>414</v>
      </c>
      <c r="E300" s="15" t="s">
        <v>415</v>
      </c>
      <c r="F300" s="15" t="s">
        <v>427</v>
      </c>
      <c r="G300" s="15" t="s">
        <v>62</v>
      </c>
      <c r="H300" s="15" t="s">
        <v>63</v>
      </c>
      <c r="I300" s="15" t="s">
        <v>418</v>
      </c>
    </row>
    <row r="301" customFormat="false" ht="23.25" hidden="false" customHeight="true" outlineLevel="0" collapsed="false">
      <c r="A301" s="14" t="n">
        <v>300</v>
      </c>
      <c r="B301" s="14" t="s">
        <v>412</v>
      </c>
      <c r="C301" s="14" t="s">
        <v>413</v>
      </c>
      <c r="D301" s="15" t="s">
        <v>414</v>
      </c>
      <c r="E301" s="15" t="s">
        <v>415</v>
      </c>
      <c r="F301" s="15" t="s">
        <v>428</v>
      </c>
      <c r="G301" s="15" t="s">
        <v>62</v>
      </c>
      <c r="H301" s="15" t="s">
        <v>63</v>
      </c>
      <c r="I301" s="15" t="s">
        <v>418</v>
      </c>
    </row>
    <row r="302" customFormat="false" ht="23.25" hidden="false" customHeight="true" outlineLevel="0" collapsed="false">
      <c r="A302" s="14" t="n">
        <v>301</v>
      </c>
      <c r="B302" s="14" t="s">
        <v>412</v>
      </c>
      <c r="C302" s="14" t="s">
        <v>413</v>
      </c>
      <c r="D302" s="15" t="s">
        <v>414</v>
      </c>
      <c r="E302" s="15" t="s">
        <v>415</v>
      </c>
      <c r="F302" s="15" t="s">
        <v>429</v>
      </c>
      <c r="G302" s="15" t="s">
        <v>62</v>
      </c>
      <c r="H302" s="15" t="s">
        <v>63</v>
      </c>
      <c r="I302" s="15" t="s">
        <v>418</v>
      </c>
    </row>
    <row r="303" customFormat="false" ht="23.25" hidden="false" customHeight="true" outlineLevel="0" collapsed="false">
      <c r="A303" s="14" t="n">
        <v>302</v>
      </c>
      <c r="B303" s="14" t="s">
        <v>412</v>
      </c>
      <c r="C303" s="14" t="s">
        <v>413</v>
      </c>
      <c r="D303" s="15" t="s">
        <v>414</v>
      </c>
      <c r="E303" s="15" t="s">
        <v>415</v>
      </c>
      <c r="F303" s="15" t="s">
        <v>359</v>
      </c>
      <c r="G303" s="15" t="s">
        <v>62</v>
      </c>
      <c r="H303" s="15" t="s">
        <v>63</v>
      </c>
      <c r="I303" s="15" t="s">
        <v>418</v>
      </c>
    </row>
    <row r="304" customFormat="false" ht="23.25" hidden="false" customHeight="true" outlineLevel="0" collapsed="false">
      <c r="A304" s="14" t="n">
        <v>303</v>
      </c>
      <c r="B304" s="14" t="s">
        <v>412</v>
      </c>
      <c r="C304" s="14" t="s">
        <v>413</v>
      </c>
      <c r="D304" s="15" t="s">
        <v>414</v>
      </c>
      <c r="E304" s="15" t="s">
        <v>415</v>
      </c>
      <c r="F304" s="15" t="s">
        <v>430</v>
      </c>
      <c r="G304" s="15" t="s">
        <v>62</v>
      </c>
      <c r="H304" s="15" t="s">
        <v>63</v>
      </c>
      <c r="I304" s="15" t="s">
        <v>418</v>
      </c>
    </row>
    <row r="305" customFormat="false" ht="23.25" hidden="false" customHeight="true" outlineLevel="0" collapsed="false">
      <c r="A305" s="14" t="n">
        <v>304</v>
      </c>
      <c r="B305" s="14" t="s">
        <v>412</v>
      </c>
      <c r="C305" s="14" t="s">
        <v>413</v>
      </c>
      <c r="D305" s="15" t="s">
        <v>414</v>
      </c>
      <c r="E305" s="15" t="s">
        <v>415</v>
      </c>
      <c r="F305" s="15" t="s">
        <v>431</v>
      </c>
      <c r="G305" s="15" t="s">
        <v>62</v>
      </c>
      <c r="H305" s="15" t="s">
        <v>63</v>
      </c>
      <c r="I305" s="15" t="s">
        <v>418</v>
      </c>
    </row>
    <row r="306" customFormat="false" ht="23.25" hidden="false" customHeight="true" outlineLevel="0" collapsed="false">
      <c r="A306" s="14" t="n">
        <v>305</v>
      </c>
      <c r="B306" s="14" t="s">
        <v>412</v>
      </c>
      <c r="C306" s="14" t="s">
        <v>413</v>
      </c>
      <c r="D306" s="15" t="s">
        <v>414</v>
      </c>
      <c r="E306" s="15" t="s">
        <v>415</v>
      </c>
      <c r="F306" s="15" t="s">
        <v>24</v>
      </c>
      <c r="G306" s="15" t="s">
        <v>62</v>
      </c>
      <c r="H306" s="15" t="s">
        <v>63</v>
      </c>
      <c r="I306" s="15" t="s">
        <v>418</v>
      </c>
    </row>
    <row r="307" customFormat="false" ht="23.25" hidden="false" customHeight="true" outlineLevel="0" collapsed="false">
      <c r="A307" s="14" t="n">
        <v>306</v>
      </c>
      <c r="B307" s="14" t="s">
        <v>412</v>
      </c>
      <c r="C307" s="14" t="s">
        <v>413</v>
      </c>
      <c r="D307" s="15" t="s">
        <v>414</v>
      </c>
      <c r="E307" s="15" t="s">
        <v>415</v>
      </c>
      <c r="F307" s="15" t="s">
        <v>335</v>
      </c>
      <c r="G307" s="15" t="s">
        <v>62</v>
      </c>
      <c r="H307" s="15" t="s">
        <v>63</v>
      </c>
      <c r="I307" s="15" t="s">
        <v>418</v>
      </c>
    </row>
    <row r="308" customFormat="false" ht="23.25" hidden="false" customHeight="true" outlineLevel="0" collapsed="false">
      <c r="A308" s="14" t="n">
        <v>307</v>
      </c>
      <c r="B308" s="14" t="s">
        <v>412</v>
      </c>
      <c r="C308" s="14" t="s">
        <v>413</v>
      </c>
      <c r="D308" s="15" t="s">
        <v>414</v>
      </c>
      <c r="E308" s="15" t="s">
        <v>415</v>
      </c>
      <c r="F308" s="15" t="s">
        <v>432</v>
      </c>
      <c r="G308" s="15" t="s">
        <v>62</v>
      </c>
      <c r="H308" s="15" t="s">
        <v>63</v>
      </c>
      <c r="I308" s="15" t="s">
        <v>418</v>
      </c>
    </row>
    <row r="309" customFormat="false" ht="23.25" hidden="false" customHeight="true" outlineLevel="0" collapsed="false">
      <c r="A309" s="14" t="n">
        <v>308</v>
      </c>
      <c r="B309" s="14" t="s">
        <v>412</v>
      </c>
      <c r="C309" s="14" t="s">
        <v>413</v>
      </c>
      <c r="D309" s="15" t="s">
        <v>414</v>
      </c>
      <c r="E309" s="15" t="s">
        <v>415</v>
      </c>
      <c r="F309" s="15" t="s">
        <v>433</v>
      </c>
      <c r="G309" s="15" t="s">
        <v>62</v>
      </c>
      <c r="H309" s="15" t="s">
        <v>63</v>
      </c>
      <c r="I309" s="15" t="s">
        <v>418</v>
      </c>
    </row>
    <row r="310" customFormat="false" ht="23.25" hidden="false" customHeight="true" outlineLevel="0" collapsed="false">
      <c r="A310" s="14" t="n">
        <v>309</v>
      </c>
      <c r="B310" s="14" t="s">
        <v>412</v>
      </c>
      <c r="C310" s="14" t="s">
        <v>413</v>
      </c>
      <c r="D310" s="15" t="s">
        <v>414</v>
      </c>
      <c r="E310" s="15" t="s">
        <v>415</v>
      </c>
      <c r="F310" s="15" t="s">
        <v>434</v>
      </c>
      <c r="G310" s="15" t="s">
        <v>62</v>
      </c>
      <c r="H310" s="15" t="s">
        <v>63</v>
      </c>
      <c r="I310" s="15" t="s">
        <v>418</v>
      </c>
    </row>
    <row r="311" customFormat="false" ht="23.25" hidden="false" customHeight="true" outlineLevel="0" collapsed="false">
      <c r="A311" s="14" t="n">
        <v>310</v>
      </c>
      <c r="B311" s="14" t="s">
        <v>412</v>
      </c>
      <c r="C311" s="14" t="s">
        <v>413</v>
      </c>
      <c r="D311" s="15" t="s">
        <v>414</v>
      </c>
      <c r="E311" s="15" t="s">
        <v>415</v>
      </c>
      <c r="F311" s="15" t="s">
        <v>435</v>
      </c>
      <c r="G311" s="15" t="s">
        <v>62</v>
      </c>
      <c r="H311" s="15" t="s">
        <v>63</v>
      </c>
      <c r="I311" s="15" t="s">
        <v>418</v>
      </c>
    </row>
    <row r="312" customFormat="false" ht="23.25" hidden="false" customHeight="true" outlineLevel="0" collapsed="false">
      <c r="A312" s="14" t="n">
        <v>311</v>
      </c>
      <c r="B312" s="14" t="s">
        <v>436</v>
      </c>
      <c r="C312" s="14" t="s">
        <v>302</v>
      </c>
      <c r="D312" s="15" t="s">
        <v>437</v>
      </c>
      <c r="E312" s="15" t="s">
        <v>438</v>
      </c>
      <c r="F312" s="15" t="s">
        <v>134</v>
      </c>
      <c r="G312" s="15" t="s">
        <v>62</v>
      </c>
      <c r="H312" s="15" t="s">
        <v>63</v>
      </c>
      <c r="I312" s="15" t="s">
        <v>439</v>
      </c>
    </row>
    <row r="313" customFormat="false" ht="23.25" hidden="false" customHeight="true" outlineLevel="0" collapsed="false">
      <c r="A313" s="14" t="n">
        <v>312</v>
      </c>
      <c r="B313" s="14" t="s">
        <v>436</v>
      </c>
      <c r="C313" s="14" t="s">
        <v>302</v>
      </c>
      <c r="D313" s="15" t="s">
        <v>437</v>
      </c>
      <c r="E313" s="15" t="s">
        <v>438</v>
      </c>
      <c r="F313" s="15" t="s">
        <v>440</v>
      </c>
      <c r="G313" s="15" t="s">
        <v>62</v>
      </c>
      <c r="H313" s="15" t="s">
        <v>63</v>
      </c>
      <c r="I313" s="15" t="s">
        <v>439</v>
      </c>
    </row>
    <row r="314" customFormat="false" ht="23.25" hidden="false" customHeight="true" outlineLevel="0" collapsed="false">
      <c r="A314" s="14" t="n">
        <v>313</v>
      </c>
      <c r="B314" s="14" t="s">
        <v>436</v>
      </c>
      <c r="C314" s="14" t="s">
        <v>302</v>
      </c>
      <c r="D314" s="15" t="s">
        <v>437</v>
      </c>
      <c r="E314" s="15" t="s">
        <v>438</v>
      </c>
      <c r="F314" s="15" t="s">
        <v>441</v>
      </c>
      <c r="G314" s="15" t="s">
        <v>62</v>
      </c>
      <c r="H314" s="15" t="s">
        <v>63</v>
      </c>
      <c r="I314" s="15" t="s">
        <v>439</v>
      </c>
    </row>
    <row r="315" customFormat="false" ht="23.25" hidden="false" customHeight="true" outlineLevel="0" collapsed="false">
      <c r="A315" s="14" t="n">
        <v>314</v>
      </c>
      <c r="B315" s="14" t="s">
        <v>436</v>
      </c>
      <c r="C315" s="14" t="s">
        <v>302</v>
      </c>
      <c r="D315" s="15" t="s">
        <v>437</v>
      </c>
      <c r="E315" s="15" t="s">
        <v>438</v>
      </c>
      <c r="F315" s="15" t="s">
        <v>442</v>
      </c>
      <c r="G315" s="15" t="s">
        <v>62</v>
      </c>
      <c r="H315" s="15" t="s">
        <v>63</v>
      </c>
      <c r="I315" s="15" t="s">
        <v>439</v>
      </c>
    </row>
    <row r="316" customFormat="false" ht="23.25" hidden="false" customHeight="true" outlineLevel="0" collapsed="false">
      <c r="A316" s="14" t="n">
        <v>315</v>
      </c>
      <c r="B316" s="14" t="s">
        <v>436</v>
      </c>
      <c r="C316" s="14" t="s">
        <v>302</v>
      </c>
      <c r="D316" s="15" t="s">
        <v>437</v>
      </c>
      <c r="E316" s="15" t="s">
        <v>438</v>
      </c>
      <c r="F316" s="15" t="s">
        <v>443</v>
      </c>
      <c r="G316" s="15" t="s">
        <v>62</v>
      </c>
      <c r="H316" s="15" t="s">
        <v>63</v>
      </c>
      <c r="I316" s="15" t="s">
        <v>439</v>
      </c>
    </row>
    <row r="317" customFormat="false" ht="23.25" hidden="false" customHeight="true" outlineLevel="0" collapsed="false">
      <c r="A317" s="14" t="n">
        <v>316</v>
      </c>
      <c r="B317" s="14" t="s">
        <v>436</v>
      </c>
      <c r="C317" s="14" t="s">
        <v>302</v>
      </c>
      <c r="D317" s="15" t="s">
        <v>437</v>
      </c>
      <c r="E317" s="15" t="s">
        <v>438</v>
      </c>
      <c r="F317" s="15" t="s">
        <v>444</v>
      </c>
      <c r="G317" s="15" t="s">
        <v>62</v>
      </c>
      <c r="H317" s="15" t="s">
        <v>63</v>
      </c>
      <c r="I317" s="15" t="s">
        <v>439</v>
      </c>
    </row>
    <row r="318" customFormat="false" ht="23.25" hidden="false" customHeight="true" outlineLevel="0" collapsed="false">
      <c r="A318" s="14" t="n">
        <v>317</v>
      </c>
      <c r="B318" s="14" t="s">
        <v>436</v>
      </c>
      <c r="C318" s="14" t="s">
        <v>302</v>
      </c>
      <c r="D318" s="15" t="s">
        <v>437</v>
      </c>
      <c r="E318" s="15" t="s">
        <v>438</v>
      </c>
      <c r="F318" s="15" t="s">
        <v>445</v>
      </c>
      <c r="G318" s="15" t="s">
        <v>62</v>
      </c>
      <c r="H318" s="15" t="s">
        <v>63</v>
      </c>
      <c r="I318" s="15" t="s">
        <v>439</v>
      </c>
    </row>
    <row r="319" customFormat="false" ht="23.25" hidden="false" customHeight="true" outlineLevel="0" collapsed="false">
      <c r="A319" s="14" t="n">
        <v>318</v>
      </c>
      <c r="B319" s="14" t="s">
        <v>436</v>
      </c>
      <c r="C319" s="14" t="s">
        <v>302</v>
      </c>
      <c r="D319" s="15" t="s">
        <v>437</v>
      </c>
      <c r="E319" s="15" t="s">
        <v>438</v>
      </c>
      <c r="F319" s="15" t="s">
        <v>446</v>
      </c>
      <c r="G319" s="15" t="s">
        <v>62</v>
      </c>
      <c r="H319" s="15" t="s">
        <v>63</v>
      </c>
      <c r="I319" s="15" t="s">
        <v>439</v>
      </c>
    </row>
    <row r="320" customFormat="false" ht="23.25" hidden="false" customHeight="true" outlineLevel="0" collapsed="false">
      <c r="A320" s="14" t="n">
        <v>319</v>
      </c>
      <c r="B320" s="14" t="s">
        <v>436</v>
      </c>
      <c r="C320" s="14" t="s">
        <v>302</v>
      </c>
      <c r="D320" s="15" t="s">
        <v>437</v>
      </c>
      <c r="E320" s="15" t="s">
        <v>438</v>
      </c>
      <c r="F320" s="15" t="s">
        <v>447</v>
      </c>
      <c r="G320" s="15" t="s">
        <v>62</v>
      </c>
      <c r="H320" s="15" t="s">
        <v>63</v>
      </c>
      <c r="I320" s="15" t="s">
        <v>439</v>
      </c>
    </row>
    <row r="321" customFormat="false" ht="23.25" hidden="false" customHeight="true" outlineLevel="0" collapsed="false">
      <c r="A321" s="14" t="n">
        <v>320</v>
      </c>
      <c r="B321" s="14" t="s">
        <v>436</v>
      </c>
      <c r="C321" s="14" t="s">
        <v>302</v>
      </c>
      <c r="D321" s="15" t="s">
        <v>437</v>
      </c>
      <c r="E321" s="15" t="s">
        <v>438</v>
      </c>
      <c r="F321" s="15" t="s">
        <v>448</v>
      </c>
      <c r="G321" s="15" t="s">
        <v>62</v>
      </c>
      <c r="H321" s="15" t="s">
        <v>63</v>
      </c>
      <c r="I321" s="15" t="s">
        <v>439</v>
      </c>
    </row>
    <row r="322" customFormat="false" ht="23.25" hidden="false" customHeight="true" outlineLevel="0" collapsed="false">
      <c r="A322" s="14" t="n">
        <v>321</v>
      </c>
      <c r="B322" s="14" t="s">
        <v>436</v>
      </c>
      <c r="C322" s="14" t="s">
        <v>302</v>
      </c>
      <c r="D322" s="15" t="s">
        <v>437</v>
      </c>
      <c r="E322" s="15" t="s">
        <v>438</v>
      </c>
      <c r="F322" s="15" t="s">
        <v>449</v>
      </c>
      <c r="G322" s="15" t="s">
        <v>62</v>
      </c>
      <c r="H322" s="15" t="s">
        <v>63</v>
      </c>
      <c r="I322" s="15" t="s">
        <v>439</v>
      </c>
    </row>
    <row r="323" customFormat="false" ht="23.25" hidden="false" customHeight="true" outlineLevel="0" collapsed="false">
      <c r="A323" s="14" t="n">
        <v>322</v>
      </c>
      <c r="B323" s="14" t="s">
        <v>436</v>
      </c>
      <c r="C323" s="14" t="s">
        <v>302</v>
      </c>
      <c r="D323" s="15" t="s">
        <v>437</v>
      </c>
      <c r="E323" s="15" t="s">
        <v>438</v>
      </c>
      <c r="F323" s="15" t="s">
        <v>450</v>
      </c>
      <c r="G323" s="15" t="s">
        <v>62</v>
      </c>
      <c r="H323" s="15" t="s">
        <v>63</v>
      </c>
      <c r="I323" s="15" t="s">
        <v>439</v>
      </c>
    </row>
    <row r="324" customFormat="false" ht="23.25" hidden="false" customHeight="true" outlineLevel="0" collapsed="false">
      <c r="A324" s="14" t="n">
        <v>323</v>
      </c>
      <c r="B324" s="14" t="s">
        <v>436</v>
      </c>
      <c r="C324" s="14" t="s">
        <v>302</v>
      </c>
      <c r="D324" s="15" t="s">
        <v>437</v>
      </c>
      <c r="E324" s="15" t="s">
        <v>438</v>
      </c>
      <c r="F324" s="15" t="s">
        <v>137</v>
      </c>
      <c r="G324" s="15" t="s">
        <v>62</v>
      </c>
      <c r="H324" s="15" t="s">
        <v>63</v>
      </c>
      <c r="I324" s="15" t="s">
        <v>439</v>
      </c>
    </row>
    <row r="325" customFormat="false" ht="23.25" hidden="false" customHeight="true" outlineLevel="0" collapsed="false">
      <c r="A325" s="14" t="n">
        <v>324</v>
      </c>
      <c r="B325" s="14" t="s">
        <v>436</v>
      </c>
      <c r="C325" s="14" t="s">
        <v>302</v>
      </c>
      <c r="D325" s="15" t="s">
        <v>437</v>
      </c>
      <c r="E325" s="15" t="s">
        <v>438</v>
      </c>
      <c r="F325" s="15" t="s">
        <v>344</v>
      </c>
      <c r="G325" s="15" t="s">
        <v>62</v>
      </c>
      <c r="H325" s="15" t="s">
        <v>63</v>
      </c>
      <c r="I325" s="15" t="s">
        <v>439</v>
      </c>
    </row>
    <row r="326" customFormat="false" ht="23.25" hidden="false" customHeight="true" outlineLevel="0" collapsed="false">
      <c r="A326" s="14" t="n">
        <v>325</v>
      </c>
      <c r="B326" s="14" t="s">
        <v>436</v>
      </c>
      <c r="C326" s="14" t="s">
        <v>302</v>
      </c>
      <c r="D326" s="15" t="s">
        <v>437</v>
      </c>
      <c r="E326" s="15" t="s">
        <v>438</v>
      </c>
      <c r="F326" s="15" t="s">
        <v>451</v>
      </c>
      <c r="G326" s="15" t="s">
        <v>62</v>
      </c>
      <c r="H326" s="15" t="s">
        <v>63</v>
      </c>
      <c r="I326" s="15" t="s">
        <v>439</v>
      </c>
    </row>
    <row r="327" customFormat="false" ht="23.25" hidden="false" customHeight="true" outlineLevel="0" collapsed="false">
      <c r="A327" s="14" t="n">
        <v>326</v>
      </c>
      <c r="B327" s="14" t="s">
        <v>436</v>
      </c>
      <c r="C327" s="14" t="s">
        <v>302</v>
      </c>
      <c r="D327" s="15" t="s">
        <v>437</v>
      </c>
      <c r="E327" s="15" t="s">
        <v>438</v>
      </c>
      <c r="F327" s="15" t="s">
        <v>452</v>
      </c>
      <c r="G327" s="15" t="s">
        <v>62</v>
      </c>
      <c r="H327" s="15" t="s">
        <v>63</v>
      </c>
      <c r="I327" s="15" t="s">
        <v>439</v>
      </c>
    </row>
    <row r="328" customFormat="false" ht="23.25" hidden="false" customHeight="true" outlineLevel="0" collapsed="false">
      <c r="A328" s="14" t="n">
        <v>327</v>
      </c>
      <c r="B328" s="14" t="s">
        <v>436</v>
      </c>
      <c r="C328" s="14" t="s">
        <v>302</v>
      </c>
      <c r="D328" s="15" t="s">
        <v>437</v>
      </c>
      <c r="E328" s="15" t="s">
        <v>438</v>
      </c>
      <c r="F328" s="15" t="s">
        <v>453</v>
      </c>
      <c r="G328" s="15" t="s">
        <v>62</v>
      </c>
      <c r="H328" s="15" t="s">
        <v>63</v>
      </c>
      <c r="I328" s="15" t="s">
        <v>439</v>
      </c>
    </row>
    <row r="329" customFormat="false" ht="23.25" hidden="false" customHeight="true" outlineLevel="0" collapsed="false">
      <c r="A329" s="14" t="n">
        <v>328</v>
      </c>
      <c r="B329" s="14" t="s">
        <v>436</v>
      </c>
      <c r="C329" s="14" t="s">
        <v>302</v>
      </c>
      <c r="D329" s="15" t="s">
        <v>437</v>
      </c>
      <c r="E329" s="15" t="s">
        <v>438</v>
      </c>
      <c r="F329" s="15" t="s">
        <v>67</v>
      </c>
      <c r="G329" s="15" t="s">
        <v>62</v>
      </c>
      <c r="H329" s="15" t="s">
        <v>63</v>
      </c>
      <c r="I329" s="15" t="s">
        <v>439</v>
      </c>
    </row>
    <row r="330" customFormat="false" ht="23.25" hidden="false" customHeight="true" outlineLevel="0" collapsed="false">
      <c r="A330" s="14" t="n">
        <v>329</v>
      </c>
      <c r="B330" s="14" t="s">
        <v>436</v>
      </c>
      <c r="C330" s="14" t="s">
        <v>302</v>
      </c>
      <c r="D330" s="15" t="s">
        <v>437</v>
      </c>
      <c r="E330" s="15" t="s">
        <v>438</v>
      </c>
      <c r="F330" s="15" t="s">
        <v>454</v>
      </c>
      <c r="G330" s="15" t="s">
        <v>62</v>
      </c>
      <c r="H330" s="15" t="s">
        <v>63</v>
      </c>
      <c r="I330" s="15" t="s">
        <v>439</v>
      </c>
    </row>
    <row r="331" customFormat="false" ht="23.25" hidden="false" customHeight="true" outlineLevel="0" collapsed="false">
      <c r="A331" s="14" t="n">
        <v>330</v>
      </c>
      <c r="B331" s="14" t="s">
        <v>436</v>
      </c>
      <c r="C331" s="14" t="s">
        <v>302</v>
      </c>
      <c r="D331" s="15" t="s">
        <v>437</v>
      </c>
      <c r="E331" s="15" t="s">
        <v>438</v>
      </c>
      <c r="F331" s="15" t="s">
        <v>455</v>
      </c>
      <c r="G331" s="15" t="s">
        <v>62</v>
      </c>
      <c r="H331" s="15" t="s">
        <v>63</v>
      </c>
      <c r="I331" s="15" t="s">
        <v>439</v>
      </c>
    </row>
    <row r="332" customFormat="false" ht="23.25" hidden="false" customHeight="true" outlineLevel="0" collapsed="false">
      <c r="A332" s="14" t="n">
        <v>331</v>
      </c>
      <c r="B332" s="14" t="s">
        <v>436</v>
      </c>
      <c r="C332" s="14" t="s">
        <v>302</v>
      </c>
      <c r="D332" s="15" t="s">
        <v>437</v>
      </c>
      <c r="E332" s="15" t="s">
        <v>438</v>
      </c>
      <c r="F332" s="15" t="s">
        <v>456</v>
      </c>
      <c r="G332" s="15" t="s">
        <v>62</v>
      </c>
      <c r="H332" s="15" t="s">
        <v>63</v>
      </c>
      <c r="I332" s="15" t="s">
        <v>439</v>
      </c>
    </row>
    <row r="333" customFormat="false" ht="23.25" hidden="false" customHeight="true" outlineLevel="0" collapsed="false">
      <c r="A333" s="14" t="n">
        <v>332</v>
      </c>
      <c r="B333" s="14" t="s">
        <v>436</v>
      </c>
      <c r="C333" s="14" t="s">
        <v>302</v>
      </c>
      <c r="D333" s="15" t="s">
        <v>437</v>
      </c>
      <c r="E333" s="15" t="s">
        <v>438</v>
      </c>
      <c r="F333" s="15" t="s">
        <v>348</v>
      </c>
      <c r="G333" s="15" t="s">
        <v>62</v>
      </c>
      <c r="H333" s="15" t="s">
        <v>63</v>
      </c>
      <c r="I333" s="15" t="s">
        <v>439</v>
      </c>
    </row>
    <row r="334" customFormat="false" ht="23.25" hidden="false" customHeight="true" outlineLevel="0" collapsed="false">
      <c r="A334" s="14" t="n">
        <v>333</v>
      </c>
      <c r="B334" s="14" t="s">
        <v>436</v>
      </c>
      <c r="C334" s="14" t="s">
        <v>302</v>
      </c>
      <c r="D334" s="15" t="s">
        <v>437</v>
      </c>
      <c r="E334" s="15" t="s">
        <v>438</v>
      </c>
      <c r="F334" s="15" t="s">
        <v>457</v>
      </c>
      <c r="G334" s="15" t="s">
        <v>62</v>
      </c>
      <c r="H334" s="15" t="s">
        <v>63</v>
      </c>
      <c r="I334" s="15" t="s">
        <v>439</v>
      </c>
    </row>
    <row r="335" customFormat="false" ht="23.25" hidden="false" customHeight="true" outlineLevel="0" collapsed="false">
      <c r="A335" s="14" t="n">
        <v>334</v>
      </c>
      <c r="B335" s="14" t="s">
        <v>436</v>
      </c>
      <c r="C335" s="14" t="s">
        <v>302</v>
      </c>
      <c r="D335" s="15" t="s">
        <v>437</v>
      </c>
      <c r="E335" s="15" t="s">
        <v>438</v>
      </c>
      <c r="F335" s="15" t="s">
        <v>458</v>
      </c>
      <c r="G335" s="15" t="s">
        <v>62</v>
      </c>
      <c r="H335" s="15" t="s">
        <v>63</v>
      </c>
      <c r="I335" s="15" t="s">
        <v>439</v>
      </c>
    </row>
    <row r="336" customFormat="false" ht="23.25" hidden="false" customHeight="true" outlineLevel="0" collapsed="false">
      <c r="A336" s="14" t="n">
        <v>335</v>
      </c>
      <c r="B336" s="14" t="s">
        <v>436</v>
      </c>
      <c r="C336" s="14" t="s">
        <v>302</v>
      </c>
      <c r="D336" s="15" t="s">
        <v>437</v>
      </c>
      <c r="E336" s="15" t="s">
        <v>438</v>
      </c>
      <c r="F336" s="15" t="s">
        <v>459</v>
      </c>
      <c r="G336" s="15" t="s">
        <v>62</v>
      </c>
      <c r="H336" s="15" t="s">
        <v>63</v>
      </c>
      <c r="I336" s="15" t="s">
        <v>439</v>
      </c>
    </row>
    <row r="337" customFormat="false" ht="23.25" hidden="false" customHeight="true" outlineLevel="0" collapsed="false">
      <c r="A337" s="14" t="n">
        <v>336</v>
      </c>
      <c r="B337" s="14" t="s">
        <v>436</v>
      </c>
      <c r="C337" s="14" t="s">
        <v>302</v>
      </c>
      <c r="D337" s="15" t="s">
        <v>437</v>
      </c>
      <c r="E337" s="15" t="s">
        <v>438</v>
      </c>
      <c r="F337" s="15" t="s">
        <v>460</v>
      </c>
      <c r="G337" s="15" t="s">
        <v>62</v>
      </c>
      <c r="H337" s="15" t="s">
        <v>63</v>
      </c>
      <c r="I337" s="15" t="s">
        <v>439</v>
      </c>
    </row>
    <row r="338" customFormat="false" ht="23.25" hidden="false" customHeight="true" outlineLevel="0" collapsed="false">
      <c r="A338" s="14" t="n">
        <v>337</v>
      </c>
      <c r="B338" s="14" t="s">
        <v>436</v>
      </c>
      <c r="C338" s="14" t="s">
        <v>302</v>
      </c>
      <c r="D338" s="15" t="s">
        <v>437</v>
      </c>
      <c r="E338" s="15" t="s">
        <v>438</v>
      </c>
      <c r="F338" s="15" t="s">
        <v>461</v>
      </c>
      <c r="G338" s="15" t="s">
        <v>62</v>
      </c>
      <c r="H338" s="15" t="s">
        <v>63</v>
      </c>
      <c r="I338" s="15" t="s">
        <v>439</v>
      </c>
    </row>
    <row r="339" customFormat="false" ht="23.25" hidden="false" customHeight="true" outlineLevel="0" collapsed="false">
      <c r="A339" s="14" t="n">
        <v>338</v>
      </c>
      <c r="B339" s="14" t="s">
        <v>436</v>
      </c>
      <c r="C339" s="14" t="s">
        <v>302</v>
      </c>
      <c r="D339" s="15" t="s">
        <v>437</v>
      </c>
      <c r="E339" s="15" t="s">
        <v>438</v>
      </c>
      <c r="F339" s="15" t="s">
        <v>337</v>
      </c>
      <c r="G339" s="15" t="s">
        <v>62</v>
      </c>
      <c r="H339" s="15" t="s">
        <v>63</v>
      </c>
      <c r="I339" s="15" t="s">
        <v>439</v>
      </c>
    </row>
    <row r="340" customFormat="false" ht="23.25" hidden="false" customHeight="true" outlineLevel="0" collapsed="false">
      <c r="A340" s="14" t="n">
        <v>339</v>
      </c>
      <c r="B340" s="14" t="s">
        <v>436</v>
      </c>
      <c r="C340" s="14" t="s">
        <v>302</v>
      </c>
      <c r="D340" s="15" t="s">
        <v>437</v>
      </c>
      <c r="E340" s="15" t="s">
        <v>438</v>
      </c>
      <c r="F340" s="15" t="s">
        <v>462</v>
      </c>
      <c r="G340" s="15" t="s">
        <v>62</v>
      </c>
      <c r="H340" s="15" t="s">
        <v>63</v>
      </c>
      <c r="I340" s="15" t="s">
        <v>439</v>
      </c>
    </row>
    <row r="341" customFormat="false" ht="23.25" hidden="false" customHeight="true" outlineLevel="0" collapsed="false">
      <c r="A341" s="14" t="n">
        <v>340</v>
      </c>
      <c r="B341" s="14" t="s">
        <v>436</v>
      </c>
      <c r="C341" s="14" t="s">
        <v>302</v>
      </c>
      <c r="D341" s="15" t="s">
        <v>437</v>
      </c>
      <c r="E341" s="15" t="s">
        <v>438</v>
      </c>
      <c r="F341" s="15" t="s">
        <v>423</v>
      </c>
      <c r="G341" s="15" t="s">
        <v>62</v>
      </c>
      <c r="H341" s="15" t="s">
        <v>63</v>
      </c>
      <c r="I341" s="15" t="s">
        <v>439</v>
      </c>
    </row>
    <row r="342" customFormat="false" ht="23.25" hidden="false" customHeight="true" outlineLevel="0" collapsed="false">
      <c r="A342" s="14" t="n">
        <v>341</v>
      </c>
      <c r="B342" s="14" t="s">
        <v>436</v>
      </c>
      <c r="C342" s="14" t="s">
        <v>302</v>
      </c>
      <c r="D342" s="15" t="s">
        <v>437</v>
      </c>
      <c r="E342" s="15" t="s">
        <v>438</v>
      </c>
      <c r="F342" s="15" t="s">
        <v>39</v>
      </c>
      <c r="G342" s="15" t="s">
        <v>62</v>
      </c>
      <c r="H342" s="15" t="s">
        <v>63</v>
      </c>
      <c r="I342" s="15" t="s">
        <v>439</v>
      </c>
    </row>
    <row r="343" customFormat="false" ht="23.25" hidden="false" customHeight="true" outlineLevel="0" collapsed="false">
      <c r="A343" s="14" t="n">
        <v>342</v>
      </c>
      <c r="B343" s="14" t="s">
        <v>436</v>
      </c>
      <c r="C343" s="14" t="s">
        <v>302</v>
      </c>
      <c r="D343" s="15" t="s">
        <v>437</v>
      </c>
      <c r="E343" s="15" t="s">
        <v>438</v>
      </c>
      <c r="F343" s="15" t="s">
        <v>463</v>
      </c>
      <c r="G343" s="15" t="s">
        <v>62</v>
      </c>
      <c r="H343" s="15" t="s">
        <v>63</v>
      </c>
      <c r="I343" s="15" t="s">
        <v>439</v>
      </c>
    </row>
    <row r="344" customFormat="false" ht="23.25" hidden="false" customHeight="true" outlineLevel="0" collapsed="false">
      <c r="A344" s="14" t="n">
        <v>343</v>
      </c>
      <c r="B344" s="14" t="s">
        <v>436</v>
      </c>
      <c r="C344" s="14" t="s">
        <v>302</v>
      </c>
      <c r="D344" s="15" t="s">
        <v>437</v>
      </c>
      <c r="E344" s="15" t="s">
        <v>438</v>
      </c>
      <c r="F344" s="15" t="s">
        <v>464</v>
      </c>
      <c r="G344" s="15" t="s">
        <v>62</v>
      </c>
      <c r="H344" s="15" t="s">
        <v>63</v>
      </c>
      <c r="I344" s="15" t="s">
        <v>439</v>
      </c>
    </row>
    <row r="345" customFormat="false" ht="23.25" hidden="false" customHeight="true" outlineLevel="0" collapsed="false">
      <c r="A345" s="14" t="n">
        <v>344</v>
      </c>
      <c r="B345" s="14" t="s">
        <v>436</v>
      </c>
      <c r="C345" s="14" t="s">
        <v>302</v>
      </c>
      <c r="D345" s="15" t="s">
        <v>437</v>
      </c>
      <c r="E345" s="15" t="s">
        <v>438</v>
      </c>
      <c r="F345" s="15" t="s">
        <v>465</v>
      </c>
      <c r="G345" s="15" t="s">
        <v>62</v>
      </c>
      <c r="H345" s="15" t="s">
        <v>63</v>
      </c>
      <c r="I345" s="15" t="s">
        <v>439</v>
      </c>
    </row>
    <row r="346" customFormat="false" ht="23.25" hidden="false" customHeight="true" outlineLevel="0" collapsed="false">
      <c r="A346" s="14" t="n">
        <v>345</v>
      </c>
      <c r="B346" s="14" t="s">
        <v>436</v>
      </c>
      <c r="C346" s="14" t="s">
        <v>302</v>
      </c>
      <c r="D346" s="15" t="s">
        <v>437</v>
      </c>
      <c r="E346" s="15" t="s">
        <v>438</v>
      </c>
      <c r="F346" s="15" t="s">
        <v>466</v>
      </c>
      <c r="G346" s="15" t="s">
        <v>62</v>
      </c>
      <c r="H346" s="15" t="s">
        <v>63</v>
      </c>
      <c r="I346" s="15" t="s">
        <v>439</v>
      </c>
    </row>
    <row r="347" customFormat="false" ht="23.25" hidden="false" customHeight="true" outlineLevel="0" collapsed="false">
      <c r="A347" s="14" t="n">
        <v>346</v>
      </c>
      <c r="B347" s="14" t="s">
        <v>436</v>
      </c>
      <c r="C347" s="14" t="s">
        <v>302</v>
      </c>
      <c r="D347" s="15" t="s">
        <v>437</v>
      </c>
      <c r="E347" s="15" t="s">
        <v>438</v>
      </c>
      <c r="F347" s="15" t="s">
        <v>355</v>
      </c>
      <c r="G347" s="15" t="s">
        <v>62</v>
      </c>
      <c r="H347" s="15" t="s">
        <v>63</v>
      </c>
      <c r="I347" s="15" t="s">
        <v>439</v>
      </c>
    </row>
    <row r="348" customFormat="false" ht="23.25" hidden="false" customHeight="true" outlineLevel="0" collapsed="false">
      <c r="A348" s="14" t="n">
        <v>347</v>
      </c>
      <c r="B348" s="14" t="s">
        <v>436</v>
      </c>
      <c r="C348" s="14" t="s">
        <v>302</v>
      </c>
      <c r="D348" s="15" t="s">
        <v>437</v>
      </c>
      <c r="E348" s="15" t="s">
        <v>438</v>
      </c>
      <c r="F348" s="15" t="s">
        <v>467</v>
      </c>
      <c r="G348" s="15" t="s">
        <v>62</v>
      </c>
      <c r="H348" s="15" t="s">
        <v>63</v>
      </c>
      <c r="I348" s="15" t="s">
        <v>439</v>
      </c>
    </row>
    <row r="349" customFormat="false" ht="23.25" hidden="false" customHeight="true" outlineLevel="0" collapsed="false">
      <c r="A349" s="14" t="n">
        <v>348</v>
      </c>
      <c r="B349" s="14" t="s">
        <v>436</v>
      </c>
      <c r="C349" s="14" t="s">
        <v>302</v>
      </c>
      <c r="D349" s="15" t="s">
        <v>437</v>
      </c>
      <c r="E349" s="15" t="s">
        <v>438</v>
      </c>
      <c r="F349" s="15" t="s">
        <v>353</v>
      </c>
      <c r="G349" s="15" t="s">
        <v>62</v>
      </c>
      <c r="H349" s="15" t="s">
        <v>63</v>
      </c>
      <c r="I349" s="15" t="s">
        <v>439</v>
      </c>
    </row>
    <row r="350" customFormat="false" ht="23.25" hidden="false" customHeight="true" outlineLevel="0" collapsed="false">
      <c r="A350" s="14" t="n">
        <v>349</v>
      </c>
      <c r="B350" s="14" t="s">
        <v>436</v>
      </c>
      <c r="C350" s="14" t="s">
        <v>302</v>
      </c>
      <c r="D350" s="15" t="s">
        <v>437</v>
      </c>
      <c r="E350" s="15" t="s">
        <v>438</v>
      </c>
      <c r="F350" s="15" t="s">
        <v>420</v>
      </c>
      <c r="G350" s="15" t="s">
        <v>62</v>
      </c>
      <c r="H350" s="15" t="s">
        <v>63</v>
      </c>
      <c r="I350" s="15" t="s">
        <v>439</v>
      </c>
    </row>
    <row r="351" customFormat="false" ht="23.25" hidden="false" customHeight="true" outlineLevel="0" collapsed="false">
      <c r="A351" s="14" t="n">
        <v>350</v>
      </c>
      <c r="B351" s="14" t="s">
        <v>436</v>
      </c>
      <c r="C351" s="14" t="s">
        <v>302</v>
      </c>
      <c r="D351" s="15" t="s">
        <v>437</v>
      </c>
      <c r="E351" s="15" t="s">
        <v>438</v>
      </c>
      <c r="F351" s="15" t="s">
        <v>468</v>
      </c>
      <c r="G351" s="15" t="s">
        <v>62</v>
      </c>
      <c r="H351" s="15" t="s">
        <v>63</v>
      </c>
      <c r="I351" s="15" t="s">
        <v>439</v>
      </c>
    </row>
    <row r="352" customFormat="false" ht="23.25" hidden="false" customHeight="true" outlineLevel="0" collapsed="false">
      <c r="A352" s="14" t="n">
        <v>351</v>
      </c>
      <c r="B352" s="14" t="s">
        <v>436</v>
      </c>
      <c r="C352" s="14" t="s">
        <v>302</v>
      </c>
      <c r="D352" s="15" t="s">
        <v>437</v>
      </c>
      <c r="E352" s="15" t="s">
        <v>438</v>
      </c>
      <c r="F352" s="15" t="s">
        <v>469</v>
      </c>
      <c r="G352" s="15" t="s">
        <v>62</v>
      </c>
      <c r="H352" s="15" t="s">
        <v>63</v>
      </c>
      <c r="I352" s="15" t="s">
        <v>439</v>
      </c>
    </row>
    <row r="353" customFormat="false" ht="23.25" hidden="false" customHeight="true" outlineLevel="0" collapsed="false">
      <c r="A353" s="14" t="n">
        <v>352</v>
      </c>
      <c r="B353" s="14" t="s">
        <v>436</v>
      </c>
      <c r="C353" s="14" t="s">
        <v>302</v>
      </c>
      <c r="D353" s="15" t="s">
        <v>437</v>
      </c>
      <c r="E353" s="15" t="s">
        <v>438</v>
      </c>
      <c r="F353" s="15" t="s">
        <v>354</v>
      </c>
      <c r="G353" s="15" t="s">
        <v>62</v>
      </c>
      <c r="H353" s="15" t="s">
        <v>63</v>
      </c>
      <c r="I353" s="15" t="s">
        <v>439</v>
      </c>
    </row>
    <row r="354" customFormat="false" ht="23.25" hidden="false" customHeight="true" outlineLevel="0" collapsed="false">
      <c r="A354" s="14" t="n">
        <v>353</v>
      </c>
      <c r="B354" s="14" t="s">
        <v>436</v>
      </c>
      <c r="C354" s="14" t="s">
        <v>302</v>
      </c>
      <c r="D354" s="15" t="s">
        <v>437</v>
      </c>
      <c r="E354" s="15" t="s">
        <v>438</v>
      </c>
      <c r="F354" s="15" t="s">
        <v>383</v>
      </c>
      <c r="G354" s="15" t="s">
        <v>62</v>
      </c>
      <c r="H354" s="15" t="s">
        <v>63</v>
      </c>
      <c r="I354" s="15" t="s">
        <v>439</v>
      </c>
    </row>
    <row r="355" customFormat="false" ht="23.25" hidden="false" customHeight="true" outlineLevel="0" collapsed="false">
      <c r="A355" s="14" t="n">
        <v>354</v>
      </c>
      <c r="B355" s="14" t="s">
        <v>436</v>
      </c>
      <c r="C355" s="14" t="s">
        <v>302</v>
      </c>
      <c r="D355" s="15" t="s">
        <v>437</v>
      </c>
      <c r="E355" s="15" t="s">
        <v>438</v>
      </c>
      <c r="F355" s="15" t="s">
        <v>470</v>
      </c>
      <c r="G355" s="15" t="s">
        <v>62</v>
      </c>
      <c r="H355" s="15" t="s">
        <v>63</v>
      </c>
      <c r="I355" s="15" t="s">
        <v>439</v>
      </c>
    </row>
    <row r="356" customFormat="false" ht="23.25" hidden="false" customHeight="true" outlineLevel="0" collapsed="false">
      <c r="A356" s="14" t="n">
        <v>355</v>
      </c>
      <c r="B356" s="14" t="s">
        <v>436</v>
      </c>
      <c r="C356" s="14" t="s">
        <v>302</v>
      </c>
      <c r="D356" s="15" t="s">
        <v>437</v>
      </c>
      <c r="E356" s="15" t="s">
        <v>438</v>
      </c>
      <c r="F356" s="15" t="s">
        <v>28</v>
      </c>
      <c r="G356" s="15" t="s">
        <v>62</v>
      </c>
      <c r="H356" s="15" t="s">
        <v>63</v>
      </c>
      <c r="I356" s="15" t="s">
        <v>439</v>
      </c>
    </row>
    <row r="357" customFormat="false" ht="23.25" hidden="false" customHeight="true" outlineLevel="0" collapsed="false">
      <c r="A357" s="14" t="n">
        <v>356</v>
      </c>
      <c r="B357" s="14" t="s">
        <v>436</v>
      </c>
      <c r="C357" s="14" t="s">
        <v>302</v>
      </c>
      <c r="D357" s="15" t="s">
        <v>437</v>
      </c>
      <c r="E357" s="15" t="s">
        <v>438</v>
      </c>
      <c r="F357" s="15" t="s">
        <v>471</v>
      </c>
      <c r="G357" s="15" t="s">
        <v>62</v>
      </c>
      <c r="H357" s="15" t="s">
        <v>63</v>
      </c>
      <c r="I357" s="15" t="s">
        <v>439</v>
      </c>
    </row>
    <row r="358" customFormat="false" ht="23.25" hidden="false" customHeight="true" outlineLevel="0" collapsed="false">
      <c r="A358" s="14" t="n">
        <v>357</v>
      </c>
      <c r="B358" s="14" t="s">
        <v>436</v>
      </c>
      <c r="C358" s="14" t="s">
        <v>302</v>
      </c>
      <c r="D358" s="15" t="s">
        <v>437</v>
      </c>
      <c r="E358" s="15" t="s">
        <v>438</v>
      </c>
      <c r="F358" s="15" t="s">
        <v>36</v>
      </c>
      <c r="G358" s="15" t="s">
        <v>62</v>
      </c>
      <c r="H358" s="15" t="s">
        <v>63</v>
      </c>
      <c r="I358" s="15" t="s">
        <v>439</v>
      </c>
    </row>
    <row r="359" customFormat="false" ht="23.25" hidden="false" customHeight="true" outlineLevel="0" collapsed="false">
      <c r="A359" s="14" t="n">
        <v>358</v>
      </c>
      <c r="B359" s="14" t="s">
        <v>436</v>
      </c>
      <c r="C359" s="14" t="s">
        <v>302</v>
      </c>
      <c r="D359" s="15" t="s">
        <v>437</v>
      </c>
      <c r="E359" s="15" t="s">
        <v>438</v>
      </c>
      <c r="F359" s="15" t="s">
        <v>472</v>
      </c>
      <c r="G359" s="15" t="s">
        <v>62</v>
      </c>
      <c r="H359" s="15" t="s">
        <v>63</v>
      </c>
      <c r="I359" s="15" t="s">
        <v>439</v>
      </c>
    </row>
    <row r="360" customFormat="false" ht="23.25" hidden="false" customHeight="true" outlineLevel="0" collapsed="false">
      <c r="A360" s="14" t="n">
        <v>359</v>
      </c>
      <c r="B360" s="14" t="s">
        <v>436</v>
      </c>
      <c r="C360" s="14" t="s">
        <v>302</v>
      </c>
      <c r="D360" s="15" t="s">
        <v>437</v>
      </c>
      <c r="E360" s="15" t="s">
        <v>438</v>
      </c>
      <c r="F360" s="15" t="s">
        <v>473</v>
      </c>
      <c r="G360" s="15" t="s">
        <v>62</v>
      </c>
      <c r="H360" s="15" t="s">
        <v>63</v>
      </c>
      <c r="I360" s="15" t="s">
        <v>439</v>
      </c>
    </row>
    <row r="361" customFormat="false" ht="23.25" hidden="false" customHeight="true" outlineLevel="0" collapsed="false">
      <c r="A361" s="14" t="n">
        <v>360</v>
      </c>
      <c r="B361" s="14" t="s">
        <v>436</v>
      </c>
      <c r="C361" s="14" t="s">
        <v>302</v>
      </c>
      <c r="D361" s="15" t="s">
        <v>437</v>
      </c>
      <c r="E361" s="15" t="s">
        <v>438</v>
      </c>
      <c r="F361" s="15" t="s">
        <v>474</v>
      </c>
      <c r="G361" s="15" t="s">
        <v>62</v>
      </c>
      <c r="H361" s="15" t="s">
        <v>63</v>
      </c>
      <c r="I361" s="15" t="s">
        <v>439</v>
      </c>
    </row>
    <row r="362" customFormat="false" ht="23.25" hidden="false" customHeight="true" outlineLevel="0" collapsed="false">
      <c r="A362" s="14" t="n">
        <v>361</v>
      </c>
      <c r="B362" s="14" t="s">
        <v>436</v>
      </c>
      <c r="C362" s="14" t="s">
        <v>302</v>
      </c>
      <c r="D362" s="15" t="s">
        <v>437</v>
      </c>
      <c r="E362" s="15" t="s">
        <v>438</v>
      </c>
      <c r="F362" s="15" t="s">
        <v>475</v>
      </c>
      <c r="G362" s="15" t="s">
        <v>62</v>
      </c>
      <c r="H362" s="15" t="s">
        <v>63</v>
      </c>
      <c r="I362" s="15" t="s">
        <v>439</v>
      </c>
    </row>
    <row r="363" customFormat="false" ht="23.25" hidden="false" customHeight="true" outlineLevel="0" collapsed="false">
      <c r="A363" s="14" t="n">
        <v>362</v>
      </c>
      <c r="B363" s="14" t="s">
        <v>436</v>
      </c>
      <c r="C363" s="14" t="s">
        <v>302</v>
      </c>
      <c r="D363" s="15" t="s">
        <v>437</v>
      </c>
      <c r="E363" s="15" t="s">
        <v>438</v>
      </c>
      <c r="F363" s="15" t="s">
        <v>476</v>
      </c>
      <c r="G363" s="15" t="s">
        <v>62</v>
      </c>
      <c r="H363" s="15" t="s">
        <v>63</v>
      </c>
      <c r="I363" s="15" t="s">
        <v>439</v>
      </c>
    </row>
    <row r="364" customFormat="false" ht="23.25" hidden="false" customHeight="true" outlineLevel="0" collapsed="false">
      <c r="A364" s="14" t="n">
        <v>363</v>
      </c>
      <c r="B364" s="14" t="s">
        <v>436</v>
      </c>
      <c r="C364" s="14" t="s">
        <v>302</v>
      </c>
      <c r="D364" s="15" t="s">
        <v>437</v>
      </c>
      <c r="E364" s="15" t="s">
        <v>438</v>
      </c>
      <c r="F364" s="15" t="s">
        <v>477</v>
      </c>
      <c r="G364" s="15" t="s">
        <v>62</v>
      </c>
      <c r="H364" s="15" t="s">
        <v>63</v>
      </c>
      <c r="I364" s="15" t="s">
        <v>439</v>
      </c>
    </row>
    <row r="365" customFormat="false" ht="23.25" hidden="false" customHeight="true" outlineLevel="0" collapsed="false">
      <c r="A365" s="14" t="n">
        <v>364</v>
      </c>
      <c r="B365" s="14" t="s">
        <v>436</v>
      </c>
      <c r="C365" s="14" t="s">
        <v>302</v>
      </c>
      <c r="D365" s="15" t="s">
        <v>437</v>
      </c>
      <c r="E365" s="15" t="s">
        <v>438</v>
      </c>
      <c r="F365" s="15" t="s">
        <v>478</v>
      </c>
      <c r="G365" s="15" t="s">
        <v>62</v>
      </c>
      <c r="H365" s="15" t="s">
        <v>63</v>
      </c>
      <c r="I365" s="15" t="s">
        <v>439</v>
      </c>
    </row>
    <row r="366" customFormat="false" ht="23.25" hidden="false" customHeight="true" outlineLevel="0" collapsed="false">
      <c r="A366" s="14" t="n">
        <v>365</v>
      </c>
      <c r="B366" s="14" t="s">
        <v>436</v>
      </c>
      <c r="C366" s="14" t="s">
        <v>302</v>
      </c>
      <c r="D366" s="15" t="s">
        <v>437</v>
      </c>
      <c r="E366" s="15" t="s">
        <v>438</v>
      </c>
      <c r="F366" s="15" t="s">
        <v>479</v>
      </c>
      <c r="G366" s="15" t="s">
        <v>62</v>
      </c>
      <c r="H366" s="15" t="s">
        <v>63</v>
      </c>
      <c r="I366" s="15" t="s">
        <v>439</v>
      </c>
    </row>
    <row r="367" customFormat="false" ht="23.25" hidden="false" customHeight="true" outlineLevel="0" collapsed="false">
      <c r="A367" s="14" t="n">
        <v>366</v>
      </c>
      <c r="B367" s="14" t="s">
        <v>436</v>
      </c>
      <c r="C367" s="14" t="s">
        <v>302</v>
      </c>
      <c r="D367" s="15" t="s">
        <v>437</v>
      </c>
      <c r="E367" s="15" t="s">
        <v>438</v>
      </c>
      <c r="F367" s="15" t="s">
        <v>359</v>
      </c>
      <c r="G367" s="15" t="s">
        <v>62</v>
      </c>
      <c r="H367" s="15" t="s">
        <v>63</v>
      </c>
      <c r="I367" s="15" t="s">
        <v>439</v>
      </c>
    </row>
    <row r="368" customFormat="false" ht="23.25" hidden="false" customHeight="true" outlineLevel="0" collapsed="false">
      <c r="A368" s="14" t="n">
        <v>367</v>
      </c>
      <c r="B368" s="14" t="s">
        <v>436</v>
      </c>
      <c r="C368" s="14" t="s">
        <v>302</v>
      </c>
      <c r="D368" s="15" t="s">
        <v>437</v>
      </c>
      <c r="E368" s="15" t="s">
        <v>438</v>
      </c>
      <c r="F368" s="15" t="s">
        <v>480</v>
      </c>
      <c r="G368" s="15" t="s">
        <v>62</v>
      </c>
      <c r="H368" s="15" t="s">
        <v>63</v>
      </c>
      <c r="I368" s="15" t="s">
        <v>439</v>
      </c>
    </row>
    <row r="369" customFormat="false" ht="23.25" hidden="false" customHeight="true" outlineLevel="0" collapsed="false">
      <c r="A369" s="14" t="n">
        <v>368</v>
      </c>
      <c r="B369" s="14" t="s">
        <v>436</v>
      </c>
      <c r="C369" s="14" t="s">
        <v>302</v>
      </c>
      <c r="D369" s="15" t="s">
        <v>437</v>
      </c>
      <c r="E369" s="15" t="s">
        <v>438</v>
      </c>
      <c r="F369" s="15" t="s">
        <v>43</v>
      </c>
      <c r="G369" s="15" t="s">
        <v>62</v>
      </c>
      <c r="H369" s="15" t="s">
        <v>63</v>
      </c>
      <c r="I369" s="15" t="s">
        <v>439</v>
      </c>
    </row>
    <row r="370" customFormat="false" ht="23.25" hidden="false" customHeight="true" outlineLevel="0" collapsed="false">
      <c r="A370" s="14" t="n">
        <v>369</v>
      </c>
      <c r="B370" s="14" t="s">
        <v>436</v>
      </c>
      <c r="C370" s="14" t="s">
        <v>302</v>
      </c>
      <c r="D370" s="15" t="s">
        <v>437</v>
      </c>
      <c r="E370" s="15" t="s">
        <v>438</v>
      </c>
      <c r="F370" s="15" t="s">
        <v>361</v>
      </c>
      <c r="G370" s="15" t="s">
        <v>62</v>
      </c>
      <c r="H370" s="15" t="s">
        <v>63</v>
      </c>
      <c r="I370" s="15" t="s">
        <v>439</v>
      </c>
    </row>
    <row r="371" customFormat="false" ht="23.25" hidden="false" customHeight="true" outlineLevel="0" collapsed="false">
      <c r="A371" s="14" t="n">
        <v>370</v>
      </c>
      <c r="B371" s="14" t="s">
        <v>436</v>
      </c>
      <c r="C371" s="14" t="s">
        <v>302</v>
      </c>
      <c r="D371" s="15" t="s">
        <v>437</v>
      </c>
      <c r="E371" s="15" t="s">
        <v>438</v>
      </c>
      <c r="F371" s="15" t="s">
        <v>481</v>
      </c>
      <c r="G371" s="15" t="s">
        <v>62</v>
      </c>
      <c r="H371" s="15" t="s">
        <v>63</v>
      </c>
      <c r="I371" s="15" t="s">
        <v>439</v>
      </c>
    </row>
    <row r="372" customFormat="false" ht="23.25" hidden="false" customHeight="true" outlineLevel="0" collapsed="false">
      <c r="A372" s="14" t="n">
        <v>371</v>
      </c>
      <c r="B372" s="14" t="s">
        <v>436</v>
      </c>
      <c r="C372" s="14" t="s">
        <v>302</v>
      </c>
      <c r="D372" s="15" t="s">
        <v>437</v>
      </c>
      <c r="E372" s="15" t="s">
        <v>438</v>
      </c>
      <c r="F372" s="15" t="s">
        <v>482</v>
      </c>
      <c r="G372" s="15" t="s">
        <v>62</v>
      </c>
      <c r="H372" s="15" t="s">
        <v>63</v>
      </c>
      <c r="I372" s="15" t="s">
        <v>439</v>
      </c>
    </row>
    <row r="373" customFormat="false" ht="23.25" hidden="false" customHeight="true" outlineLevel="0" collapsed="false">
      <c r="A373" s="14" t="n">
        <v>372</v>
      </c>
      <c r="B373" s="14" t="s">
        <v>436</v>
      </c>
      <c r="C373" s="14" t="s">
        <v>302</v>
      </c>
      <c r="D373" s="15" t="s">
        <v>437</v>
      </c>
      <c r="E373" s="15" t="s">
        <v>438</v>
      </c>
      <c r="F373" s="15" t="s">
        <v>483</v>
      </c>
      <c r="G373" s="15" t="s">
        <v>62</v>
      </c>
      <c r="H373" s="15" t="s">
        <v>63</v>
      </c>
      <c r="I373" s="15" t="s">
        <v>439</v>
      </c>
    </row>
    <row r="374" customFormat="false" ht="23.25" hidden="false" customHeight="true" outlineLevel="0" collapsed="false">
      <c r="A374" s="14" t="n">
        <v>373</v>
      </c>
      <c r="B374" s="14" t="s">
        <v>436</v>
      </c>
      <c r="C374" s="14" t="s">
        <v>302</v>
      </c>
      <c r="D374" s="15" t="s">
        <v>437</v>
      </c>
      <c r="E374" s="15" t="s">
        <v>438</v>
      </c>
      <c r="F374" s="15" t="s">
        <v>484</v>
      </c>
      <c r="G374" s="15" t="s">
        <v>62</v>
      </c>
      <c r="H374" s="15" t="s">
        <v>63</v>
      </c>
      <c r="I374" s="15" t="s">
        <v>439</v>
      </c>
    </row>
    <row r="375" customFormat="false" ht="23.25" hidden="false" customHeight="true" outlineLevel="0" collapsed="false">
      <c r="A375" s="14" t="n">
        <v>374</v>
      </c>
      <c r="B375" s="14" t="s">
        <v>436</v>
      </c>
      <c r="C375" s="14" t="s">
        <v>302</v>
      </c>
      <c r="D375" s="15" t="s">
        <v>437</v>
      </c>
      <c r="E375" s="15" t="s">
        <v>438</v>
      </c>
      <c r="F375" s="15" t="s">
        <v>485</v>
      </c>
      <c r="G375" s="15" t="s">
        <v>62</v>
      </c>
      <c r="H375" s="15" t="s">
        <v>63</v>
      </c>
      <c r="I375" s="15" t="s">
        <v>439</v>
      </c>
    </row>
    <row r="376" customFormat="false" ht="23.25" hidden="false" customHeight="true" outlineLevel="0" collapsed="false">
      <c r="A376" s="14" t="n">
        <v>375</v>
      </c>
      <c r="B376" s="14" t="s">
        <v>436</v>
      </c>
      <c r="C376" s="14" t="s">
        <v>302</v>
      </c>
      <c r="D376" s="15" t="s">
        <v>437</v>
      </c>
      <c r="E376" s="15" t="s">
        <v>438</v>
      </c>
      <c r="F376" s="15" t="s">
        <v>486</v>
      </c>
      <c r="G376" s="15" t="s">
        <v>62</v>
      </c>
      <c r="H376" s="15" t="s">
        <v>63</v>
      </c>
      <c r="I376" s="15" t="s">
        <v>439</v>
      </c>
    </row>
    <row r="377" customFormat="false" ht="23.25" hidden="false" customHeight="true" outlineLevel="0" collapsed="false">
      <c r="A377" s="14" t="n">
        <v>376</v>
      </c>
      <c r="B377" s="14" t="s">
        <v>436</v>
      </c>
      <c r="C377" s="14" t="s">
        <v>302</v>
      </c>
      <c r="D377" s="15" t="s">
        <v>437</v>
      </c>
      <c r="E377" s="15" t="s">
        <v>438</v>
      </c>
      <c r="F377" s="15" t="s">
        <v>487</v>
      </c>
      <c r="G377" s="15" t="s">
        <v>62</v>
      </c>
      <c r="H377" s="15" t="s">
        <v>63</v>
      </c>
      <c r="I377" s="15" t="s">
        <v>439</v>
      </c>
    </row>
    <row r="378" customFormat="false" ht="23.25" hidden="false" customHeight="true" outlineLevel="0" collapsed="false">
      <c r="A378" s="14" t="n">
        <v>377</v>
      </c>
      <c r="B378" s="14" t="s">
        <v>488</v>
      </c>
      <c r="C378" s="14" t="s">
        <v>489</v>
      </c>
      <c r="D378" s="15" t="s">
        <v>490</v>
      </c>
      <c r="E378" s="15" t="s">
        <v>491</v>
      </c>
      <c r="F378" s="15" t="s">
        <v>228</v>
      </c>
      <c r="G378" s="15" t="s">
        <v>492</v>
      </c>
      <c r="H378" s="15" t="s">
        <v>493</v>
      </c>
      <c r="I378" s="15" t="s">
        <v>494</v>
      </c>
    </row>
    <row r="379" customFormat="false" ht="23.25" hidden="false" customHeight="true" outlineLevel="0" collapsed="false">
      <c r="A379" s="14" t="n">
        <v>378</v>
      </c>
      <c r="B379" s="14" t="s">
        <v>488</v>
      </c>
      <c r="C379" s="14" t="s">
        <v>489</v>
      </c>
      <c r="D379" s="15" t="s">
        <v>490</v>
      </c>
      <c r="E379" s="15" t="s">
        <v>491</v>
      </c>
      <c r="F379" s="15" t="s">
        <v>495</v>
      </c>
      <c r="G379" s="15" t="s">
        <v>496</v>
      </c>
      <c r="H379" s="15" t="s">
        <v>74</v>
      </c>
      <c r="I379" s="15" t="s">
        <v>494</v>
      </c>
    </row>
    <row r="380" customFormat="false" ht="23.25" hidden="false" customHeight="true" outlineLevel="0" collapsed="false">
      <c r="A380" s="14" t="n">
        <v>379</v>
      </c>
      <c r="B380" s="14" t="s">
        <v>488</v>
      </c>
      <c r="C380" s="14" t="s">
        <v>489</v>
      </c>
      <c r="D380" s="15" t="s">
        <v>490</v>
      </c>
      <c r="E380" s="15" t="s">
        <v>491</v>
      </c>
      <c r="F380" s="15" t="s">
        <v>497</v>
      </c>
      <c r="G380" s="15" t="s">
        <v>498</v>
      </c>
      <c r="H380" s="15" t="s">
        <v>63</v>
      </c>
      <c r="I380" s="15" t="s">
        <v>494</v>
      </c>
    </row>
    <row r="381" customFormat="false" ht="23.25" hidden="false" customHeight="true" outlineLevel="0" collapsed="false">
      <c r="A381" s="14" t="n">
        <v>380</v>
      </c>
      <c r="B381" s="14" t="s">
        <v>488</v>
      </c>
      <c r="C381" s="14" t="s">
        <v>489</v>
      </c>
      <c r="D381" s="15" t="s">
        <v>490</v>
      </c>
      <c r="E381" s="15" t="s">
        <v>491</v>
      </c>
      <c r="F381" s="15" t="s">
        <v>499</v>
      </c>
      <c r="G381" s="15" t="s">
        <v>498</v>
      </c>
      <c r="H381" s="15" t="s">
        <v>63</v>
      </c>
      <c r="I381" s="15" t="s">
        <v>494</v>
      </c>
    </row>
    <row r="382" customFormat="false" ht="23.25" hidden="false" customHeight="true" outlineLevel="0" collapsed="false">
      <c r="A382" s="14" t="n">
        <v>381</v>
      </c>
      <c r="B382" s="14" t="s">
        <v>488</v>
      </c>
      <c r="C382" s="14" t="s">
        <v>489</v>
      </c>
      <c r="D382" s="15" t="s">
        <v>490</v>
      </c>
      <c r="E382" s="15" t="s">
        <v>491</v>
      </c>
      <c r="F382" s="15" t="s">
        <v>500</v>
      </c>
      <c r="G382" s="15" t="s">
        <v>498</v>
      </c>
      <c r="H382" s="15" t="s">
        <v>63</v>
      </c>
      <c r="I382" s="15" t="s">
        <v>494</v>
      </c>
    </row>
    <row r="383" customFormat="false" ht="23.25" hidden="false" customHeight="true" outlineLevel="0" collapsed="false">
      <c r="A383" s="14" t="n">
        <v>382</v>
      </c>
      <c r="B383" s="14" t="s">
        <v>488</v>
      </c>
      <c r="C383" s="14" t="s">
        <v>489</v>
      </c>
      <c r="D383" s="15" t="s">
        <v>490</v>
      </c>
      <c r="E383" s="15" t="s">
        <v>491</v>
      </c>
      <c r="F383" s="15" t="s">
        <v>501</v>
      </c>
      <c r="G383" s="15" t="s">
        <v>498</v>
      </c>
      <c r="H383" s="15" t="s">
        <v>63</v>
      </c>
      <c r="I383" s="15" t="s">
        <v>494</v>
      </c>
    </row>
    <row r="384" customFormat="false" ht="23.25" hidden="false" customHeight="true" outlineLevel="0" collapsed="false">
      <c r="A384" s="14" t="n">
        <v>383</v>
      </c>
      <c r="B384" s="14" t="s">
        <v>488</v>
      </c>
      <c r="C384" s="14" t="s">
        <v>489</v>
      </c>
      <c r="D384" s="15" t="s">
        <v>490</v>
      </c>
      <c r="E384" s="15" t="s">
        <v>491</v>
      </c>
      <c r="F384" s="15" t="s">
        <v>502</v>
      </c>
      <c r="G384" s="15" t="s">
        <v>498</v>
      </c>
      <c r="H384" s="15" t="s">
        <v>63</v>
      </c>
      <c r="I384" s="15" t="s">
        <v>494</v>
      </c>
    </row>
    <row r="385" customFormat="false" ht="23.25" hidden="false" customHeight="true" outlineLevel="0" collapsed="false">
      <c r="A385" s="14" t="n">
        <v>384</v>
      </c>
      <c r="B385" s="14" t="s">
        <v>488</v>
      </c>
      <c r="C385" s="14" t="s">
        <v>489</v>
      </c>
      <c r="D385" s="15" t="s">
        <v>490</v>
      </c>
      <c r="E385" s="15" t="s">
        <v>491</v>
      </c>
      <c r="F385" s="15" t="s">
        <v>503</v>
      </c>
      <c r="G385" s="15" t="s">
        <v>504</v>
      </c>
      <c r="H385" s="15" t="s">
        <v>63</v>
      </c>
      <c r="I385" s="15" t="s">
        <v>494</v>
      </c>
    </row>
    <row r="386" customFormat="false" ht="23.25" hidden="false" customHeight="true" outlineLevel="0" collapsed="false">
      <c r="A386" s="14" t="n">
        <v>385</v>
      </c>
      <c r="B386" s="14" t="s">
        <v>488</v>
      </c>
      <c r="C386" s="14" t="s">
        <v>489</v>
      </c>
      <c r="D386" s="15" t="s">
        <v>490</v>
      </c>
      <c r="E386" s="15" t="s">
        <v>491</v>
      </c>
      <c r="F386" s="15" t="s">
        <v>505</v>
      </c>
      <c r="G386" s="15" t="s">
        <v>506</v>
      </c>
      <c r="H386" s="15" t="s">
        <v>63</v>
      </c>
      <c r="I386" s="15" t="s">
        <v>494</v>
      </c>
    </row>
    <row r="387" customFormat="false" ht="23.25" hidden="false" customHeight="true" outlineLevel="0" collapsed="false">
      <c r="A387" s="14" t="n">
        <v>386</v>
      </c>
      <c r="B387" s="14" t="s">
        <v>488</v>
      </c>
      <c r="C387" s="14" t="s">
        <v>489</v>
      </c>
      <c r="D387" s="15" t="s">
        <v>490</v>
      </c>
      <c r="E387" s="15" t="s">
        <v>491</v>
      </c>
      <c r="F387" s="15" t="s">
        <v>507</v>
      </c>
      <c r="G387" s="15" t="s">
        <v>508</v>
      </c>
      <c r="H387" s="15" t="s">
        <v>63</v>
      </c>
      <c r="I387" s="15" t="s">
        <v>494</v>
      </c>
    </row>
    <row r="388" customFormat="false" ht="23.25" hidden="false" customHeight="true" outlineLevel="0" collapsed="false">
      <c r="A388" s="14" t="n">
        <v>387</v>
      </c>
      <c r="B388" s="14" t="s">
        <v>488</v>
      </c>
      <c r="C388" s="14" t="s">
        <v>489</v>
      </c>
      <c r="D388" s="15" t="s">
        <v>490</v>
      </c>
      <c r="E388" s="15" t="s">
        <v>491</v>
      </c>
      <c r="F388" s="15" t="s">
        <v>232</v>
      </c>
      <c r="G388" s="15" t="s">
        <v>268</v>
      </c>
      <c r="H388" s="15" t="s">
        <v>63</v>
      </c>
      <c r="I388" s="15" t="s">
        <v>494</v>
      </c>
    </row>
    <row r="389" customFormat="false" ht="23.25" hidden="false" customHeight="true" outlineLevel="0" collapsed="false">
      <c r="A389" s="14" t="n">
        <v>388</v>
      </c>
      <c r="B389" s="14" t="s">
        <v>488</v>
      </c>
      <c r="C389" s="14" t="s">
        <v>489</v>
      </c>
      <c r="D389" s="15" t="s">
        <v>490</v>
      </c>
      <c r="E389" s="15" t="s">
        <v>491</v>
      </c>
      <c r="F389" s="15" t="s">
        <v>509</v>
      </c>
      <c r="G389" s="15" t="s">
        <v>498</v>
      </c>
      <c r="H389" s="15" t="s">
        <v>63</v>
      </c>
      <c r="I389" s="15" t="s">
        <v>494</v>
      </c>
    </row>
    <row r="390" customFormat="false" ht="23.25" hidden="false" customHeight="true" outlineLevel="0" collapsed="false">
      <c r="A390" s="14" t="n">
        <v>389</v>
      </c>
      <c r="B390" s="14" t="s">
        <v>488</v>
      </c>
      <c r="C390" s="14" t="s">
        <v>489</v>
      </c>
      <c r="D390" s="15" t="s">
        <v>490</v>
      </c>
      <c r="E390" s="15" t="s">
        <v>491</v>
      </c>
      <c r="F390" s="15" t="s">
        <v>510</v>
      </c>
      <c r="G390" s="15" t="s">
        <v>504</v>
      </c>
      <c r="H390" s="15" t="s">
        <v>63</v>
      </c>
      <c r="I390" s="15" t="s">
        <v>494</v>
      </c>
    </row>
    <row r="391" customFormat="false" ht="23.25" hidden="false" customHeight="true" outlineLevel="0" collapsed="false">
      <c r="A391" s="14" t="n">
        <v>390</v>
      </c>
      <c r="B391" s="14" t="s">
        <v>488</v>
      </c>
      <c r="C391" s="14" t="s">
        <v>489</v>
      </c>
      <c r="D391" s="15" t="s">
        <v>490</v>
      </c>
      <c r="E391" s="15" t="s">
        <v>491</v>
      </c>
      <c r="F391" s="15" t="s">
        <v>511</v>
      </c>
      <c r="G391" s="15" t="s">
        <v>512</v>
      </c>
      <c r="H391" s="15" t="s">
        <v>63</v>
      </c>
      <c r="I391" s="15" t="s">
        <v>494</v>
      </c>
    </row>
    <row r="392" customFormat="false" ht="23.25" hidden="false" customHeight="true" outlineLevel="0" collapsed="false">
      <c r="A392" s="14" t="n">
        <v>391</v>
      </c>
      <c r="B392" s="14" t="s">
        <v>488</v>
      </c>
      <c r="C392" s="14" t="s">
        <v>489</v>
      </c>
      <c r="D392" s="15" t="s">
        <v>490</v>
      </c>
      <c r="E392" s="15" t="s">
        <v>491</v>
      </c>
      <c r="F392" s="15" t="s">
        <v>513</v>
      </c>
      <c r="G392" s="15" t="s">
        <v>268</v>
      </c>
      <c r="H392" s="15" t="s">
        <v>63</v>
      </c>
      <c r="I392" s="15" t="s">
        <v>494</v>
      </c>
    </row>
    <row r="393" customFormat="false" ht="23.25" hidden="false" customHeight="true" outlineLevel="0" collapsed="false">
      <c r="A393" s="14" t="n">
        <v>392</v>
      </c>
      <c r="B393" s="14" t="s">
        <v>488</v>
      </c>
      <c r="C393" s="14" t="s">
        <v>489</v>
      </c>
      <c r="D393" s="15" t="s">
        <v>490</v>
      </c>
      <c r="E393" s="15" t="s">
        <v>491</v>
      </c>
      <c r="F393" s="15" t="s">
        <v>514</v>
      </c>
      <c r="G393" s="15" t="s">
        <v>73</v>
      </c>
      <c r="H393" s="15" t="s">
        <v>63</v>
      </c>
      <c r="I393" s="15" t="s">
        <v>494</v>
      </c>
    </row>
    <row r="394" customFormat="false" ht="23.25" hidden="false" customHeight="true" outlineLevel="0" collapsed="false">
      <c r="A394" s="14" t="n">
        <v>393</v>
      </c>
      <c r="B394" s="14" t="s">
        <v>488</v>
      </c>
      <c r="C394" s="14" t="s">
        <v>489</v>
      </c>
      <c r="D394" s="15" t="s">
        <v>490</v>
      </c>
      <c r="E394" s="15" t="s">
        <v>491</v>
      </c>
      <c r="F394" s="15" t="s">
        <v>515</v>
      </c>
      <c r="G394" s="15" t="s">
        <v>73</v>
      </c>
      <c r="H394" s="15" t="s">
        <v>63</v>
      </c>
      <c r="I394" s="15" t="s">
        <v>494</v>
      </c>
    </row>
    <row r="395" customFormat="false" ht="23.25" hidden="false" customHeight="true" outlineLevel="0" collapsed="false">
      <c r="A395" s="14" t="n">
        <v>394</v>
      </c>
      <c r="B395" s="14" t="s">
        <v>488</v>
      </c>
      <c r="C395" s="14" t="s">
        <v>489</v>
      </c>
      <c r="D395" s="15" t="s">
        <v>490</v>
      </c>
      <c r="E395" s="15" t="s">
        <v>491</v>
      </c>
      <c r="F395" s="15" t="s">
        <v>516</v>
      </c>
      <c r="G395" s="15" t="s">
        <v>73</v>
      </c>
      <c r="H395" s="15" t="s">
        <v>63</v>
      </c>
      <c r="I395" s="15" t="s">
        <v>494</v>
      </c>
    </row>
    <row r="396" customFormat="false" ht="23.25" hidden="false" customHeight="true" outlineLevel="0" collapsed="false">
      <c r="A396" s="14" t="n">
        <v>395</v>
      </c>
      <c r="B396" s="14" t="s">
        <v>488</v>
      </c>
      <c r="C396" s="14" t="s">
        <v>489</v>
      </c>
      <c r="D396" s="15" t="s">
        <v>490</v>
      </c>
      <c r="E396" s="15" t="s">
        <v>491</v>
      </c>
      <c r="F396" s="15" t="s">
        <v>517</v>
      </c>
      <c r="G396" s="15" t="s">
        <v>518</v>
      </c>
      <c r="H396" s="15" t="s">
        <v>63</v>
      </c>
      <c r="I396" s="15" t="s">
        <v>494</v>
      </c>
    </row>
    <row r="397" customFormat="false" ht="23.25" hidden="false" customHeight="true" outlineLevel="0" collapsed="false">
      <c r="A397" s="14" t="n">
        <v>396</v>
      </c>
      <c r="B397" s="14" t="s">
        <v>488</v>
      </c>
      <c r="C397" s="14" t="s">
        <v>489</v>
      </c>
      <c r="D397" s="15" t="s">
        <v>490</v>
      </c>
      <c r="E397" s="15" t="s">
        <v>491</v>
      </c>
      <c r="F397" s="15" t="s">
        <v>134</v>
      </c>
      <c r="G397" s="15" t="s">
        <v>519</v>
      </c>
      <c r="H397" s="15" t="s">
        <v>63</v>
      </c>
      <c r="I397" s="15" t="s">
        <v>494</v>
      </c>
    </row>
    <row r="398" customFormat="false" ht="23.25" hidden="false" customHeight="true" outlineLevel="0" collapsed="false">
      <c r="A398" s="14" t="n">
        <v>397</v>
      </c>
      <c r="B398" s="14" t="s">
        <v>488</v>
      </c>
      <c r="C398" s="14" t="s">
        <v>489</v>
      </c>
      <c r="D398" s="15" t="s">
        <v>490</v>
      </c>
      <c r="E398" s="15" t="s">
        <v>491</v>
      </c>
      <c r="F398" s="15" t="s">
        <v>520</v>
      </c>
      <c r="G398" s="15" t="s">
        <v>521</v>
      </c>
      <c r="H398" s="15" t="s">
        <v>63</v>
      </c>
      <c r="I398" s="15" t="s">
        <v>494</v>
      </c>
    </row>
    <row r="399" customFormat="false" ht="23.25" hidden="false" customHeight="true" outlineLevel="0" collapsed="false">
      <c r="A399" s="14" t="n">
        <v>398</v>
      </c>
      <c r="B399" s="14" t="s">
        <v>488</v>
      </c>
      <c r="C399" s="14" t="s">
        <v>489</v>
      </c>
      <c r="D399" s="15" t="s">
        <v>490</v>
      </c>
      <c r="E399" s="15" t="s">
        <v>491</v>
      </c>
      <c r="F399" s="15" t="s">
        <v>522</v>
      </c>
      <c r="G399" s="15" t="s">
        <v>523</v>
      </c>
      <c r="H399" s="15" t="s">
        <v>63</v>
      </c>
      <c r="I399" s="15" t="s">
        <v>494</v>
      </c>
    </row>
    <row r="400" customFormat="false" ht="23.25" hidden="false" customHeight="true" outlineLevel="0" collapsed="false">
      <c r="A400" s="14" t="n">
        <v>399</v>
      </c>
      <c r="B400" s="14" t="s">
        <v>488</v>
      </c>
      <c r="C400" s="14" t="s">
        <v>489</v>
      </c>
      <c r="D400" s="15" t="s">
        <v>490</v>
      </c>
      <c r="E400" s="15" t="s">
        <v>491</v>
      </c>
      <c r="F400" s="15" t="s">
        <v>524</v>
      </c>
      <c r="G400" s="15" t="s">
        <v>525</v>
      </c>
      <c r="H400" s="15" t="s">
        <v>63</v>
      </c>
      <c r="I400" s="15" t="s">
        <v>494</v>
      </c>
    </row>
    <row r="401" customFormat="false" ht="23.25" hidden="false" customHeight="true" outlineLevel="0" collapsed="false">
      <c r="A401" s="14" t="n">
        <v>400</v>
      </c>
      <c r="B401" s="14" t="s">
        <v>488</v>
      </c>
      <c r="C401" s="14" t="s">
        <v>489</v>
      </c>
      <c r="D401" s="15" t="s">
        <v>490</v>
      </c>
      <c r="E401" s="15" t="s">
        <v>491</v>
      </c>
      <c r="F401" s="15" t="s">
        <v>226</v>
      </c>
      <c r="G401" s="15" t="s">
        <v>521</v>
      </c>
      <c r="H401" s="15" t="s">
        <v>63</v>
      </c>
      <c r="I401" s="15" t="s">
        <v>494</v>
      </c>
    </row>
    <row r="402" customFormat="false" ht="23.25" hidden="false" customHeight="true" outlineLevel="0" collapsed="false">
      <c r="A402" s="14" t="n">
        <v>401</v>
      </c>
      <c r="B402" s="14" t="s">
        <v>488</v>
      </c>
      <c r="C402" s="14" t="s">
        <v>489</v>
      </c>
      <c r="D402" s="15" t="s">
        <v>490</v>
      </c>
      <c r="E402" s="15" t="s">
        <v>491</v>
      </c>
      <c r="F402" s="15" t="s">
        <v>36</v>
      </c>
      <c r="G402" s="15" t="s">
        <v>525</v>
      </c>
      <c r="H402" s="15" t="s">
        <v>63</v>
      </c>
      <c r="I402" s="15" t="s">
        <v>494</v>
      </c>
    </row>
    <row r="403" customFormat="false" ht="23.25" hidden="false" customHeight="true" outlineLevel="0" collapsed="false">
      <c r="A403" s="14" t="n">
        <v>402</v>
      </c>
      <c r="B403" s="14" t="s">
        <v>488</v>
      </c>
      <c r="C403" s="14" t="s">
        <v>489</v>
      </c>
      <c r="D403" s="15" t="s">
        <v>490</v>
      </c>
      <c r="E403" s="15" t="s">
        <v>491</v>
      </c>
      <c r="F403" s="15" t="s">
        <v>435</v>
      </c>
      <c r="G403" s="15" t="s">
        <v>311</v>
      </c>
      <c r="H403" s="15" t="s">
        <v>63</v>
      </c>
      <c r="I403" s="15" t="s">
        <v>494</v>
      </c>
    </row>
    <row r="404" customFormat="false" ht="23.25" hidden="false" customHeight="true" outlineLevel="0" collapsed="false">
      <c r="A404" s="14" t="n">
        <v>403</v>
      </c>
      <c r="B404" s="14" t="s">
        <v>488</v>
      </c>
      <c r="C404" s="14" t="s">
        <v>489</v>
      </c>
      <c r="D404" s="15" t="s">
        <v>490</v>
      </c>
      <c r="E404" s="15" t="s">
        <v>491</v>
      </c>
      <c r="F404" s="15" t="s">
        <v>526</v>
      </c>
      <c r="G404" s="15" t="s">
        <v>527</v>
      </c>
      <c r="H404" s="15" t="s">
        <v>63</v>
      </c>
      <c r="I404" s="15" t="s">
        <v>494</v>
      </c>
    </row>
    <row r="405" customFormat="false" ht="23.25" hidden="false" customHeight="true" outlineLevel="0" collapsed="false">
      <c r="A405" s="14" t="n">
        <v>404</v>
      </c>
      <c r="B405" s="14" t="s">
        <v>488</v>
      </c>
      <c r="C405" s="14" t="s">
        <v>489</v>
      </c>
      <c r="D405" s="15" t="s">
        <v>490</v>
      </c>
      <c r="E405" s="15" t="s">
        <v>491</v>
      </c>
      <c r="F405" s="15" t="s">
        <v>528</v>
      </c>
      <c r="G405" s="15" t="s">
        <v>529</v>
      </c>
      <c r="H405" s="15" t="s">
        <v>63</v>
      </c>
      <c r="I405" s="15" t="s">
        <v>494</v>
      </c>
    </row>
    <row r="406" customFormat="false" ht="23.25" hidden="false" customHeight="true" outlineLevel="0" collapsed="false">
      <c r="A406" s="14" t="n">
        <v>405</v>
      </c>
      <c r="B406" s="14" t="s">
        <v>488</v>
      </c>
      <c r="C406" s="14" t="s">
        <v>489</v>
      </c>
      <c r="D406" s="15" t="s">
        <v>490</v>
      </c>
      <c r="E406" s="15" t="s">
        <v>491</v>
      </c>
      <c r="F406" s="15" t="s">
        <v>530</v>
      </c>
      <c r="G406" s="15" t="s">
        <v>531</v>
      </c>
      <c r="H406" s="15" t="s">
        <v>63</v>
      </c>
      <c r="I406" s="15" t="s">
        <v>494</v>
      </c>
    </row>
    <row r="407" customFormat="false" ht="23.25" hidden="false" customHeight="true" outlineLevel="0" collapsed="false">
      <c r="A407" s="14" t="n">
        <v>406</v>
      </c>
      <c r="B407" s="14" t="s">
        <v>488</v>
      </c>
      <c r="C407" s="14" t="s">
        <v>489</v>
      </c>
      <c r="D407" s="15" t="s">
        <v>490</v>
      </c>
      <c r="E407" s="15" t="s">
        <v>491</v>
      </c>
      <c r="F407" s="15" t="s">
        <v>356</v>
      </c>
      <c r="G407" s="15" t="s">
        <v>532</v>
      </c>
      <c r="H407" s="15" t="s">
        <v>63</v>
      </c>
      <c r="I407" s="15" t="s">
        <v>494</v>
      </c>
    </row>
    <row r="408" customFormat="false" ht="23.25" hidden="false" customHeight="true" outlineLevel="0" collapsed="false">
      <c r="A408" s="14" t="n">
        <v>407</v>
      </c>
      <c r="B408" s="14" t="s">
        <v>488</v>
      </c>
      <c r="C408" s="14" t="s">
        <v>489</v>
      </c>
      <c r="D408" s="15" t="s">
        <v>490</v>
      </c>
      <c r="E408" s="15" t="s">
        <v>491</v>
      </c>
      <c r="F408" s="15" t="s">
        <v>533</v>
      </c>
      <c r="G408" s="15" t="s">
        <v>62</v>
      </c>
      <c r="H408" s="15" t="s">
        <v>63</v>
      </c>
      <c r="I408" s="15" t="s">
        <v>494</v>
      </c>
    </row>
    <row r="409" customFormat="false" ht="23.25" hidden="false" customHeight="true" outlineLevel="0" collapsed="false">
      <c r="A409" s="14" t="n">
        <v>408</v>
      </c>
      <c r="B409" s="14" t="s">
        <v>488</v>
      </c>
      <c r="C409" s="14" t="s">
        <v>489</v>
      </c>
      <c r="D409" s="15" t="s">
        <v>490</v>
      </c>
      <c r="E409" s="15" t="s">
        <v>491</v>
      </c>
      <c r="F409" s="15" t="s">
        <v>534</v>
      </c>
      <c r="G409" s="15" t="s">
        <v>62</v>
      </c>
      <c r="H409" s="15" t="s">
        <v>63</v>
      </c>
      <c r="I409" s="15" t="s">
        <v>494</v>
      </c>
    </row>
    <row r="410" customFormat="false" ht="23.25" hidden="false" customHeight="true" outlineLevel="0" collapsed="false">
      <c r="A410" s="14" t="n">
        <v>409</v>
      </c>
      <c r="B410" s="14" t="s">
        <v>488</v>
      </c>
      <c r="C410" s="14" t="s">
        <v>489</v>
      </c>
      <c r="D410" s="15" t="s">
        <v>490</v>
      </c>
      <c r="E410" s="15" t="s">
        <v>491</v>
      </c>
      <c r="F410" s="15" t="s">
        <v>535</v>
      </c>
      <c r="G410" s="15" t="s">
        <v>62</v>
      </c>
      <c r="H410" s="15" t="s">
        <v>63</v>
      </c>
      <c r="I410" s="15" t="s">
        <v>494</v>
      </c>
    </row>
    <row r="411" customFormat="false" ht="23.25" hidden="false" customHeight="true" outlineLevel="0" collapsed="false">
      <c r="A411" s="14" t="n">
        <v>410</v>
      </c>
      <c r="B411" s="14" t="s">
        <v>488</v>
      </c>
      <c r="C411" s="14" t="s">
        <v>489</v>
      </c>
      <c r="D411" s="15" t="s">
        <v>490</v>
      </c>
      <c r="E411" s="15" t="s">
        <v>491</v>
      </c>
      <c r="F411" s="15" t="s">
        <v>536</v>
      </c>
      <c r="G411" s="15" t="s">
        <v>62</v>
      </c>
      <c r="H411" s="15" t="s">
        <v>63</v>
      </c>
      <c r="I411" s="15" t="s">
        <v>494</v>
      </c>
    </row>
    <row r="412" customFormat="false" ht="23.25" hidden="false" customHeight="true" outlineLevel="0" collapsed="false">
      <c r="A412" s="14" t="n">
        <v>411</v>
      </c>
      <c r="B412" s="14" t="s">
        <v>488</v>
      </c>
      <c r="C412" s="14" t="s">
        <v>489</v>
      </c>
      <c r="D412" s="15" t="s">
        <v>490</v>
      </c>
      <c r="E412" s="15" t="s">
        <v>491</v>
      </c>
      <c r="F412" s="15" t="s">
        <v>537</v>
      </c>
      <c r="G412" s="15" t="s">
        <v>62</v>
      </c>
      <c r="H412" s="15" t="s">
        <v>63</v>
      </c>
      <c r="I412" s="15" t="s">
        <v>494</v>
      </c>
    </row>
    <row r="413" customFormat="false" ht="23.25" hidden="false" customHeight="true" outlineLevel="0" collapsed="false">
      <c r="A413" s="14" t="n">
        <v>412</v>
      </c>
      <c r="B413" s="14" t="s">
        <v>488</v>
      </c>
      <c r="C413" s="14" t="s">
        <v>489</v>
      </c>
      <c r="D413" s="15" t="s">
        <v>490</v>
      </c>
      <c r="E413" s="15" t="s">
        <v>491</v>
      </c>
      <c r="F413" s="15" t="s">
        <v>538</v>
      </c>
      <c r="G413" s="15" t="s">
        <v>62</v>
      </c>
      <c r="H413" s="15" t="s">
        <v>63</v>
      </c>
      <c r="I413" s="15" t="s">
        <v>494</v>
      </c>
    </row>
    <row r="414" customFormat="false" ht="23.25" hidden="false" customHeight="true" outlineLevel="0" collapsed="false">
      <c r="A414" s="14" t="n">
        <v>413</v>
      </c>
      <c r="B414" s="14" t="s">
        <v>488</v>
      </c>
      <c r="C414" s="14" t="s">
        <v>489</v>
      </c>
      <c r="D414" s="15" t="s">
        <v>490</v>
      </c>
      <c r="E414" s="15" t="s">
        <v>491</v>
      </c>
      <c r="F414" s="15" t="s">
        <v>24</v>
      </c>
      <c r="G414" s="15" t="s">
        <v>62</v>
      </c>
      <c r="H414" s="15" t="s">
        <v>63</v>
      </c>
      <c r="I414" s="15" t="s">
        <v>494</v>
      </c>
    </row>
    <row r="415" customFormat="false" ht="23.25" hidden="false" customHeight="true" outlineLevel="0" collapsed="false">
      <c r="A415" s="14" t="n">
        <v>414</v>
      </c>
      <c r="B415" s="14" t="s">
        <v>539</v>
      </c>
      <c r="C415" s="14" t="s">
        <v>540</v>
      </c>
      <c r="D415" s="15" t="s">
        <v>541</v>
      </c>
      <c r="E415" s="15" t="s">
        <v>542</v>
      </c>
      <c r="F415" s="15" t="s">
        <v>543</v>
      </c>
      <c r="G415" s="15" t="s">
        <v>62</v>
      </c>
      <c r="H415" s="15" t="s">
        <v>63</v>
      </c>
      <c r="I415" s="15" t="s">
        <v>544</v>
      </c>
    </row>
    <row r="416" customFormat="false" ht="23.25" hidden="false" customHeight="true" outlineLevel="0" collapsed="false">
      <c r="A416" s="14" t="n">
        <v>415</v>
      </c>
      <c r="B416" s="14" t="s">
        <v>539</v>
      </c>
      <c r="C416" s="14" t="s">
        <v>540</v>
      </c>
      <c r="D416" s="15" t="s">
        <v>541</v>
      </c>
      <c r="E416" s="15" t="s">
        <v>542</v>
      </c>
      <c r="F416" s="15" t="s">
        <v>545</v>
      </c>
      <c r="G416" s="15" t="s">
        <v>62</v>
      </c>
      <c r="H416" s="15" t="s">
        <v>63</v>
      </c>
      <c r="I416" s="15" t="s">
        <v>544</v>
      </c>
    </row>
    <row r="417" customFormat="false" ht="23.25" hidden="false" customHeight="true" outlineLevel="0" collapsed="false">
      <c r="A417" s="14" t="n">
        <v>416</v>
      </c>
      <c r="B417" s="14" t="s">
        <v>539</v>
      </c>
      <c r="C417" s="14" t="s">
        <v>540</v>
      </c>
      <c r="D417" s="15" t="s">
        <v>541</v>
      </c>
      <c r="E417" s="15" t="s">
        <v>542</v>
      </c>
      <c r="F417" s="15" t="s">
        <v>546</v>
      </c>
      <c r="G417" s="15" t="s">
        <v>62</v>
      </c>
      <c r="H417" s="15" t="s">
        <v>63</v>
      </c>
      <c r="I417" s="15" t="s">
        <v>544</v>
      </c>
    </row>
    <row r="418" customFormat="false" ht="23.25" hidden="false" customHeight="true" outlineLevel="0" collapsed="false">
      <c r="A418" s="14" t="n">
        <v>417</v>
      </c>
      <c r="B418" s="14" t="s">
        <v>547</v>
      </c>
      <c r="C418" s="14" t="s">
        <v>548</v>
      </c>
      <c r="D418" s="15" t="s">
        <v>549</v>
      </c>
      <c r="E418" s="15" t="s">
        <v>550</v>
      </c>
      <c r="F418" s="15" t="s">
        <v>551</v>
      </c>
      <c r="G418" s="15" t="s">
        <v>552</v>
      </c>
      <c r="H418" s="15" t="s">
        <v>553</v>
      </c>
      <c r="I418" s="15" t="s">
        <v>554</v>
      </c>
    </row>
    <row r="419" customFormat="false" ht="15" hidden="false" customHeight="true" outlineLevel="0" collapsed="false">
      <c r="A419" s="14" t="n">
        <v>418</v>
      </c>
      <c r="B419" s="14" t="s">
        <v>547</v>
      </c>
      <c r="C419" s="14" t="s">
        <v>548</v>
      </c>
      <c r="D419" s="15" t="s">
        <v>549</v>
      </c>
      <c r="E419" s="15" t="s">
        <v>550</v>
      </c>
      <c r="F419" s="15" t="s">
        <v>555</v>
      </c>
      <c r="G419" s="15" t="s">
        <v>556</v>
      </c>
      <c r="H419" s="15" t="s">
        <v>553</v>
      </c>
      <c r="I419" s="15" t="s">
        <v>554</v>
      </c>
    </row>
    <row r="420" customFormat="false" ht="15" hidden="false" customHeight="true" outlineLevel="0" collapsed="false">
      <c r="A420" s="14" t="n">
        <v>419</v>
      </c>
      <c r="B420" s="14" t="s">
        <v>547</v>
      </c>
      <c r="C420" s="14" t="s">
        <v>548</v>
      </c>
      <c r="D420" s="15" t="s">
        <v>549</v>
      </c>
      <c r="E420" s="15" t="s">
        <v>550</v>
      </c>
      <c r="F420" s="15" t="s">
        <v>557</v>
      </c>
      <c r="G420" s="15" t="s">
        <v>558</v>
      </c>
      <c r="H420" s="15" t="s">
        <v>559</v>
      </c>
      <c r="I420" s="15" t="s">
        <v>554</v>
      </c>
    </row>
    <row r="421" customFormat="false" ht="15" hidden="false" customHeight="true" outlineLevel="0" collapsed="false">
      <c r="A421" s="14" t="n">
        <v>420</v>
      </c>
      <c r="B421" s="14" t="s">
        <v>547</v>
      </c>
      <c r="C421" s="14" t="s">
        <v>548</v>
      </c>
      <c r="D421" s="15" t="s">
        <v>549</v>
      </c>
      <c r="E421" s="15" t="s">
        <v>550</v>
      </c>
      <c r="F421" s="15" t="s">
        <v>560</v>
      </c>
      <c r="G421" s="15" t="s">
        <v>561</v>
      </c>
      <c r="H421" s="15" t="s">
        <v>559</v>
      </c>
      <c r="I421" s="15" t="s">
        <v>554</v>
      </c>
    </row>
    <row r="422" customFormat="false" ht="15" hidden="false" customHeight="true" outlineLevel="0" collapsed="false">
      <c r="A422" s="14" t="n">
        <v>421</v>
      </c>
      <c r="B422" s="14" t="s">
        <v>547</v>
      </c>
      <c r="C422" s="14" t="s">
        <v>548</v>
      </c>
      <c r="D422" s="15" t="s">
        <v>549</v>
      </c>
      <c r="E422" s="15" t="s">
        <v>550</v>
      </c>
      <c r="F422" s="15" t="s">
        <v>562</v>
      </c>
      <c r="G422" s="15" t="s">
        <v>563</v>
      </c>
      <c r="H422" s="15" t="s">
        <v>559</v>
      </c>
      <c r="I422" s="15" t="s">
        <v>554</v>
      </c>
    </row>
    <row r="423" customFormat="false" ht="15" hidden="false" customHeight="true" outlineLevel="0" collapsed="false">
      <c r="A423" s="14" t="n">
        <v>422</v>
      </c>
      <c r="B423" s="14" t="s">
        <v>547</v>
      </c>
      <c r="C423" s="14" t="s">
        <v>548</v>
      </c>
      <c r="D423" s="15" t="s">
        <v>549</v>
      </c>
      <c r="E423" s="15" t="s">
        <v>550</v>
      </c>
      <c r="F423" s="15" t="s">
        <v>564</v>
      </c>
      <c r="G423" s="15" t="s">
        <v>565</v>
      </c>
      <c r="H423" s="15" t="s">
        <v>101</v>
      </c>
      <c r="I423" s="15" t="s">
        <v>554</v>
      </c>
    </row>
    <row r="424" customFormat="false" ht="15" hidden="false" customHeight="true" outlineLevel="0" collapsed="false">
      <c r="A424" s="14" t="n">
        <v>423</v>
      </c>
      <c r="B424" s="14" t="s">
        <v>547</v>
      </c>
      <c r="C424" s="14" t="s">
        <v>548</v>
      </c>
      <c r="D424" s="15" t="s">
        <v>549</v>
      </c>
      <c r="E424" s="15" t="s">
        <v>550</v>
      </c>
      <c r="F424" s="15" t="s">
        <v>566</v>
      </c>
      <c r="G424" s="15" t="s">
        <v>567</v>
      </c>
      <c r="H424" s="15" t="s">
        <v>101</v>
      </c>
      <c r="I424" s="15" t="s">
        <v>554</v>
      </c>
    </row>
    <row r="425" customFormat="false" ht="15" hidden="false" customHeight="true" outlineLevel="0" collapsed="false">
      <c r="A425" s="14" t="n">
        <v>424</v>
      </c>
      <c r="B425" s="14" t="s">
        <v>547</v>
      </c>
      <c r="C425" s="14" t="s">
        <v>548</v>
      </c>
      <c r="D425" s="15" t="s">
        <v>549</v>
      </c>
      <c r="E425" s="15" t="s">
        <v>550</v>
      </c>
      <c r="F425" s="15" t="s">
        <v>568</v>
      </c>
      <c r="G425" s="15" t="s">
        <v>565</v>
      </c>
      <c r="H425" s="15" t="s">
        <v>101</v>
      </c>
      <c r="I425" s="15" t="s">
        <v>554</v>
      </c>
    </row>
    <row r="426" customFormat="false" ht="15" hidden="false" customHeight="true" outlineLevel="0" collapsed="false">
      <c r="A426" s="14" t="n">
        <v>425</v>
      </c>
      <c r="B426" s="14" t="s">
        <v>547</v>
      </c>
      <c r="C426" s="14" t="s">
        <v>548</v>
      </c>
      <c r="D426" s="15" t="s">
        <v>549</v>
      </c>
      <c r="E426" s="15" t="s">
        <v>550</v>
      </c>
      <c r="F426" s="15" t="s">
        <v>569</v>
      </c>
      <c r="G426" s="15" t="s">
        <v>565</v>
      </c>
      <c r="H426" s="15" t="s">
        <v>559</v>
      </c>
      <c r="I426" s="15" t="s">
        <v>554</v>
      </c>
    </row>
    <row r="427" customFormat="false" ht="15" hidden="false" customHeight="true" outlineLevel="0" collapsed="false">
      <c r="A427" s="14" t="n">
        <v>426</v>
      </c>
      <c r="B427" s="14" t="s">
        <v>547</v>
      </c>
      <c r="C427" s="14" t="s">
        <v>548</v>
      </c>
      <c r="D427" s="15" t="s">
        <v>549</v>
      </c>
      <c r="E427" s="15" t="s">
        <v>550</v>
      </c>
      <c r="F427" s="15" t="s">
        <v>570</v>
      </c>
      <c r="G427" s="15" t="s">
        <v>571</v>
      </c>
      <c r="H427" s="15" t="s">
        <v>572</v>
      </c>
      <c r="I427" s="15" t="s">
        <v>554</v>
      </c>
    </row>
    <row r="428" customFormat="false" ht="15" hidden="false" customHeight="true" outlineLevel="0" collapsed="false">
      <c r="A428" s="14" t="n">
        <v>427</v>
      </c>
      <c r="B428" s="14" t="s">
        <v>547</v>
      </c>
      <c r="C428" s="14" t="s">
        <v>548</v>
      </c>
      <c r="D428" s="15" t="s">
        <v>549</v>
      </c>
      <c r="E428" s="15" t="s">
        <v>550</v>
      </c>
      <c r="F428" s="15" t="s">
        <v>573</v>
      </c>
      <c r="G428" s="15" t="s">
        <v>563</v>
      </c>
      <c r="H428" s="15" t="s">
        <v>101</v>
      </c>
      <c r="I428" s="15" t="s">
        <v>554</v>
      </c>
    </row>
    <row r="429" customFormat="false" ht="15" hidden="false" customHeight="true" outlineLevel="0" collapsed="false">
      <c r="A429" s="14" t="n">
        <v>428</v>
      </c>
      <c r="B429" s="14" t="s">
        <v>547</v>
      </c>
      <c r="C429" s="14" t="s">
        <v>548</v>
      </c>
      <c r="D429" s="15" t="s">
        <v>549</v>
      </c>
      <c r="E429" s="15" t="s">
        <v>550</v>
      </c>
      <c r="F429" s="15" t="s">
        <v>574</v>
      </c>
      <c r="G429" s="15" t="s">
        <v>575</v>
      </c>
      <c r="H429" s="15" t="s">
        <v>101</v>
      </c>
      <c r="I429" s="15" t="s">
        <v>554</v>
      </c>
    </row>
    <row r="430" customFormat="false" ht="15" hidden="false" customHeight="true" outlineLevel="0" collapsed="false">
      <c r="A430" s="14" t="n">
        <v>429</v>
      </c>
      <c r="B430" s="14" t="s">
        <v>547</v>
      </c>
      <c r="C430" s="14" t="s">
        <v>548</v>
      </c>
      <c r="D430" s="15" t="s">
        <v>549</v>
      </c>
      <c r="E430" s="15" t="s">
        <v>550</v>
      </c>
      <c r="F430" s="15" t="s">
        <v>576</v>
      </c>
      <c r="G430" s="15" t="s">
        <v>567</v>
      </c>
      <c r="H430" s="15" t="s">
        <v>577</v>
      </c>
      <c r="I430" s="15" t="s">
        <v>554</v>
      </c>
    </row>
    <row r="431" customFormat="false" ht="15" hidden="false" customHeight="true" outlineLevel="0" collapsed="false">
      <c r="A431" s="14" t="n">
        <v>430</v>
      </c>
      <c r="B431" s="14" t="s">
        <v>547</v>
      </c>
      <c r="C431" s="14" t="s">
        <v>548</v>
      </c>
      <c r="D431" s="15" t="s">
        <v>549</v>
      </c>
      <c r="E431" s="15" t="s">
        <v>550</v>
      </c>
      <c r="F431" s="15" t="s">
        <v>578</v>
      </c>
      <c r="G431" s="15" t="s">
        <v>561</v>
      </c>
      <c r="H431" s="15" t="s">
        <v>559</v>
      </c>
      <c r="I431" s="15" t="s">
        <v>554</v>
      </c>
    </row>
    <row r="432" customFormat="false" ht="23.25" hidden="false" customHeight="true" outlineLevel="0" collapsed="false">
      <c r="A432" s="14" t="n">
        <v>431</v>
      </c>
      <c r="B432" s="14" t="s">
        <v>579</v>
      </c>
      <c r="C432" s="14" t="s">
        <v>340</v>
      </c>
      <c r="D432" s="15" t="s">
        <v>580</v>
      </c>
      <c r="E432" s="15" t="s">
        <v>581</v>
      </c>
      <c r="F432" s="15" t="s">
        <v>497</v>
      </c>
      <c r="G432" s="15" t="s">
        <v>582</v>
      </c>
      <c r="H432" s="15" t="s">
        <v>583</v>
      </c>
      <c r="I432" s="15" t="s">
        <v>246</v>
      </c>
    </row>
    <row r="433" customFormat="false" ht="23.25" hidden="false" customHeight="true" outlineLevel="0" collapsed="false">
      <c r="A433" s="14" t="n">
        <v>432</v>
      </c>
      <c r="B433" s="14" t="s">
        <v>579</v>
      </c>
      <c r="C433" s="14" t="s">
        <v>340</v>
      </c>
      <c r="D433" s="15" t="s">
        <v>580</v>
      </c>
      <c r="E433" s="15" t="s">
        <v>581</v>
      </c>
      <c r="F433" s="15" t="s">
        <v>584</v>
      </c>
      <c r="G433" s="15" t="s">
        <v>62</v>
      </c>
      <c r="H433" s="15" t="s">
        <v>583</v>
      </c>
      <c r="I433" s="15" t="s">
        <v>246</v>
      </c>
    </row>
    <row r="434" customFormat="false" ht="23.25" hidden="false" customHeight="true" outlineLevel="0" collapsed="false">
      <c r="A434" s="14" t="n">
        <v>433</v>
      </c>
      <c r="B434" s="14" t="s">
        <v>579</v>
      </c>
      <c r="C434" s="14" t="s">
        <v>340</v>
      </c>
      <c r="D434" s="15" t="s">
        <v>580</v>
      </c>
      <c r="E434" s="15" t="s">
        <v>581</v>
      </c>
      <c r="F434" s="15" t="s">
        <v>585</v>
      </c>
      <c r="G434" s="15" t="s">
        <v>62</v>
      </c>
      <c r="H434" s="15" t="s">
        <v>586</v>
      </c>
      <c r="I434" s="15" t="s">
        <v>246</v>
      </c>
    </row>
    <row r="435" customFormat="false" ht="23.25" hidden="false" customHeight="true" outlineLevel="0" collapsed="false">
      <c r="A435" s="14" t="n">
        <v>434</v>
      </c>
      <c r="B435" s="14" t="s">
        <v>579</v>
      </c>
      <c r="C435" s="14" t="s">
        <v>340</v>
      </c>
      <c r="D435" s="15" t="s">
        <v>580</v>
      </c>
      <c r="E435" s="15" t="s">
        <v>581</v>
      </c>
      <c r="F435" s="15" t="s">
        <v>587</v>
      </c>
      <c r="G435" s="15" t="s">
        <v>62</v>
      </c>
      <c r="H435" s="15" t="s">
        <v>586</v>
      </c>
      <c r="I435" s="15" t="s">
        <v>246</v>
      </c>
    </row>
    <row r="436" customFormat="false" ht="23.25" hidden="false" customHeight="true" outlineLevel="0" collapsed="false">
      <c r="A436" s="14" t="n">
        <v>435</v>
      </c>
      <c r="B436" s="14" t="s">
        <v>579</v>
      </c>
      <c r="C436" s="14" t="s">
        <v>340</v>
      </c>
      <c r="D436" s="15" t="s">
        <v>580</v>
      </c>
      <c r="E436" s="15" t="s">
        <v>581</v>
      </c>
      <c r="F436" s="15" t="s">
        <v>588</v>
      </c>
      <c r="G436" s="15" t="s">
        <v>62</v>
      </c>
      <c r="H436" s="15" t="s">
        <v>586</v>
      </c>
      <c r="I436" s="15" t="s">
        <v>246</v>
      </c>
    </row>
    <row r="437" customFormat="false" ht="23.25" hidden="false" customHeight="true" outlineLevel="0" collapsed="false">
      <c r="A437" s="14" t="n">
        <v>436</v>
      </c>
      <c r="B437" s="14" t="s">
        <v>579</v>
      </c>
      <c r="C437" s="14" t="s">
        <v>340</v>
      </c>
      <c r="D437" s="15" t="s">
        <v>580</v>
      </c>
      <c r="E437" s="15" t="s">
        <v>581</v>
      </c>
      <c r="F437" s="15" t="s">
        <v>589</v>
      </c>
      <c r="G437" s="15" t="s">
        <v>62</v>
      </c>
      <c r="H437" s="15" t="s">
        <v>590</v>
      </c>
      <c r="I437" s="15" t="s">
        <v>246</v>
      </c>
    </row>
    <row r="438" customFormat="false" ht="23.25" hidden="false" customHeight="true" outlineLevel="0" collapsed="false">
      <c r="A438" s="14" t="n">
        <v>437</v>
      </c>
      <c r="B438" s="14" t="s">
        <v>579</v>
      </c>
      <c r="C438" s="14" t="s">
        <v>340</v>
      </c>
      <c r="D438" s="15" t="s">
        <v>580</v>
      </c>
      <c r="E438" s="15" t="s">
        <v>581</v>
      </c>
      <c r="F438" s="15" t="s">
        <v>591</v>
      </c>
      <c r="G438" s="15" t="s">
        <v>62</v>
      </c>
      <c r="H438" s="15" t="s">
        <v>583</v>
      </c>
      <c r="I438" s="15" t="s">
        <v>246</v>
      </c>
    </row>
    <row r="439" customFormat="false" ht="23.25" hidden="false" customHeight="true" outlineLevel="0" collapsed="false">
      <c r="A439" s="14" t="n">
        <v>438</v>
      </c>
      <c r="B439" s="14" t="s">
        <v>592</v>
      </c>
      <c r="C439" s="14" t="s">
        <v>593</v>
      </c>
      <c r="D439" s="15" t="s">
        <v>594</v>
      </c>
      <c r="E439" s="15" t="s">
        <v>595</v>
      </c>
      <c r="F439" s="15" t="s">
        <v>596</v>
      </c>
      <c r="G439" s="15" t="s">
        <v>597</v>
      </c>
      <c r="H439" s="15" t="s">
        <v>598</v>
      </c>
      <c r="I439" s="15" t="s">
        <v>599</v>
      </c>
    </row>
    <row r="440" customFormat="false" ht="23.25" hidden="false" customHeight="true" outlineLevel="0" collapsed="false">
      <c r="A440" s="14" t="n">
        <v>439</v>
      </c>
      <c r="B440" s="14" t="s">
        <v>592</v>
      </c>
      <c r="C440" s="14" t="s">
        <v>593</v>
      </c>
      <c r="D440" s="15" t="s">
        <v>594</v>
      </c>
      <c r="E440" s="15" t="s">
        <v>595</v>
      </c>
      <c r="F440" s="15" t="s">
        <v>600</v>
      </c>
      <c r="G440" s="15" t="s">
        <v>601</v>
      </c>
      <c r="H440" s="15" t="s">
        <v>63</v>
      </c>
      <c r="I440" s="15" t="s">
        <v>599</v>
      </c>
    </row>
    <row r="441" customFormat="false" ht="23.25" hidden="false" customHeight="true" outlineLevel="0" collapsed="false">
      <c r="A441" s="14" t="n">
        <v>440</v>
      </c>
      <c r="B441" s="14" t="s">
        <v>592</v>
      </c>
      <c r="C441" s="14" t="s">
        <v>593</v>
      </c>
      <c r="D441" s="15" t="s">
        <v>594</v>
      </c>
      <c r="E441" s="15" t="s">
        <v>595</v>
      </c>
      <c r="F441" s="15" t="s">
        <v>602</v>
      </c>
      <c r="G441" s="15" t="s">
        <v>603</v>
      </c>
      <c r="H441" s="15" t="s">
        <v>63</v>
      </c>
      <c r="I441" s="15" t="s">
        <v>599</v>
      </c>
    </row>
    <row r="442" customFormat="false" ht="23.25" hidden="false" customHeight="true" outlineLevel="0" collapsed="false">
      <c r="A442" s="14" t="n">
        <v>441</v>
      </c>
      <c r="B442" s="14" t="s">
        <v>592</v>
      </c>
      <c r="C442" s="14" t="s">
        <v>593</v>
      </c>
      <c r="D442" s="15" t="s">
        <v>594</v>
      </c>
      <c r="E442" s="15" t="s">
        <v>595</v>
      </c>
      <c r="F442" s="15" t="s">
        <v>604</v>
      </c>
      <c r="G442" s="15" t="s">
        <v>605</v>
      </c>
      <c r="H442" s="15" t="s">
        <v>63</v>
      </c>
      <c r="I442" s="15" t="s">
        <v>599</v>
      </c>
    </row>
    <row r="443" customFormat="false" ht="23.25" hidden="false" customHeight="true" outlineLevel="0" collapsed="false">
      <c r="A443" s="14" t="n">
        <v>442</v>
      </c>
      <c r="B443" s="14" t="s">
        <v>592</v>
      </c>
      <c r="C443" s="14" t="s">
        <v>593</v>
      </c>
      <c r="D443" s="15" t="s">
        <v>594</v>
      </c>
      <c r="E443" s="15" t="s">
        <v>595</v>
      </c>
      <c r="F443" s="15" t="s">
        <v>606</v>
      </c>
      <c r="G443" s="15" t="s">
        <v>62</v>
      </c>
      <c r="H443" s="15" t="s">
        <v>63</v>
      </c>
      <c r="I443" s="15" t="s">
        <v>599</v>
      </c>
    </row>
    <row r="444" customFormat="false" ht="23.25" hidden="false" customHeight="true" outlineLevel="0" collapsed="false">
      <c r="A444" s="14" t="n">
        <v>443</v>
      </c>
      <c r="B444" s="14" t="s">
        <v>607</v>
      </c>
      <c r="C444" s="14" t="s">
        <v>489</v>
      </c>
      <c r="D444" s="15" t="s">
        <v>608</v>
      </c>
      <c r="E444" s="15" t="s">
        <v>609</v>
      </c>
      <c r="F444" s="15" t="s">
        <v>134</v>
      </c>
      <c r="G444" s="15" t="s">
        <v>62</v>
      </c>
      <c r="H444" s="15" t="s">
        <v>63</v>
      </c>
      <c r="I444" s="15" t="s">
        <v>246</v>
      </c>
    </row>
    <row r="445" customFormat="false" ht="23.25" hidden="false" customHeight="true" outlineLevel="0" collapsed="false">
      <c r="A445" s="14" t="n">
        <v>444</v>
      </c>
      <c r="B445" s="14" t="s">
        <v>607</v>
      </c>
      <c r="C445" s="14" t="s">
        <v>489</v>
      </c>
      <c r="D445" s="15" t="s">
        <v>608</v>
      </c>
      <c r="E445" s="15" t="s">
        <v>609</v>
      </c>
      <c r="F445" s="15" t="s">
        <v>419</v>
      </c>
      <c r="G445" s="15" t="s">
        <v>62</v>
      </c>
      <c r="H445" s="15" t="s">
        <v>63</v>
      </c>
      <c r="I445" s="15" t="s">
        <v>246</v>
      </c>
    </row>
    <row r="446" customFormat="false" ht="23.25" hidden="false" customHeight="true" outlineLevel="0" collapsed="false">
      <c r="A446" s="14" t="n">
        <v>445</v>
      </c>
      <c r="B446" s="14" t="s">
        <v>607</v>
      </c>
      <c r="C446" s="14" t="s">
        <v>489</v>
      </c>
      <c r="D446" s="15" t="s">
        <v>608</v>
      </c>
      <c r="E446" s="15" t="s">
        <v>609</v>
      </c>
      <c r="F446" s="15" t="s">
        <v>32</v>
      </c>
      <c r="G446" s="15" t="s">
        <v>62</v>
      </c>
      <c r="H446" s="15" t="s">
        <v>63</v>
      </c>
      <c r="I446" s="15" t="s">
        <v>246</v>
      </c>
    </row>
    <row r="447" customFormat="false" ht="23.25" hidden="false" customHeight="true" outlineLevel="0" collapsed="false">
      <c r="A447" s="14" t="n">
        <v>446</v>
      </c>
      <c r="B447" s="14" t="s">
        <v>607</v>
      </c>
      <c r="C447" s="14" t="s">
        <v>489</v>
      </c>
      <c r="D447" s="15" t="s">
        <v>608</v>
      </c>
      <c r="E447" s="15" t="s">
        <v>609</v>
      </c>
      <c r="F447" s="15" t="s">
        <v>610</v>
      </c>
      <c r="G447" s="15" t="s">
        <v>62</v>
      </c>
      <c r="H447" s="15" t="s">
        <v>63</v>
      </c>
      <c r="I447" s="15" t="s">
        <v>246</v>
      </c>
    </row>
    <row r="448" customFormat="false" ht="23.25" hidden="false" customHeight="true" outlineLevel="0" collapsed="false">
      <c r="A448" s="14" t="n">
        <v>447</v>
      </c>
      <c r="B448" s="14" t="s">
        <v>607</v>
      </c>
      <c r="C448" s="14" t="s">
        <v>489</v>
      </c>
      <c r="D448" s="15" t="s">
        <v>608</v>
      </c>
      <c r="E448" s="15" t="s">
        <v>609</v>
      </c>
      <c r="F448" s="15" t="s">
        <v>611</v>
      </c>
      <c r="G448" s="15" t="s">
        <v>62</v>
      </c>
      <c r="H448" s="15" t="s">
        <v>63</v>
      </c>
      <c r="I448" s="15" t="s">
        <v>246</v>
      </c>
    </row>
    <row r="449" customFormat="false" ht="23.25" hidden="false" customHeight="true" outlineLevel="0" collapsed="false">
      <c r="A449" s="14" t="n">
        <v>448</v>
      </c>
      <c r="B449" s="14" t="s">
        <v>607</v>
      </c>
      <c r="C449" s="14" t="s">
        <v>489</v>
      </c>
      <c r="D449" s="15" t="s">
        <v>608</v>
      </c>
      <c r="E449" s="15" t="s">
        <v>609</v>
      </c>
      <c r="F449" s="15" t="s">
        <v>612</v>
      </c>
      <c r="G449" s="15" t="s">
        <v>62</v>
      </c>
      <c r="H449" s="15" t="s">
        <v>63</v>
      </c>
      <c r="I449" s="15" t="s">
        <v>246</v>
      </c>
    </row>
    <row r="450" customFormat="false" ht="23.25" hidden="false" customHeight="true" outlineLevel="0" collapsed="false">
      <c r="A450" s="14" t="n">
        <v>449</v>
      </c>
      <c r="B450" s="14" t="s">
        <v>607</v>
      </c>
      <c r="C450" s="14" t="s">
        <v>489</v>
      </c>
      <c r="D450" s="15" t="s">
        <v>608</v>
      </c>
      <c r="E450" s="15" t="s">
        <v>609</v>
      </c>
      <c r="F450" s="15" t="s">
        <v>613</v>
      </c>
      <c r="G450" s="15" t="s">
        <v>62</v>
      </c>
      <c r="H450" s="15" t="s">
        <v>63</v>
      </c>
      <c r="I450" s="15" t="s">
        <v>246</v>
      </c>
    </row>
    <row r="451" customFormat="false" ht="23.25" hidden="false" customHeight="true" outlineLevel="0" collapsed="false">
      <c r="A451" s="14" t="n">
        <v>450</v>
      </c>
      <c r="B451" s="14" t="s">
        <v>607</v>
      </c>
      <c r="C451" s="14" t="s">
        <v>489</v>
      </c>
      <c r="D451" s="15" t="s">
        <v>608</v>
      </c>
      <c r="E451" s="15" t="s">
        <v>609</v>
      </c>
      <c r="F451" s="15" t="s">
        <v>360</v>
      </c>
      <c r="G451" s="15" t="s">
        <v>62</v>
      </c>
      <c r="H451" s="15" t="s">
        <v>63</v>
      </c>
      <c r="I451" s="15" t="s">
        <v>246</v>
      </c>
    </row>
    <row r="452" customFormat="false" ht="23.25" hidden="false" customHeight="true" outlineLevel="0" collapsed="false">
      <c r="A452" s="14" t="n">
        <v>451</v>
      </c>
      <c r="B452" s="14" t="s">
        <v>607</v>
      </c>
      <c r="C452" s="14" t="s">
        <v>489</v>
      </c>
      <c r="D452" s="15" t="s">
        <v>608</v>
      </c>
      <c r="E452" s="15" t="s">
        <v>609</v>
      </c>
      <c r="F452" s="15" t="s">
        <v>43</v>
      </c>
      <c r="G452" s="15" t="s">
        <v>62</v>
      </c>
      <c r="H452" s="15" t="s">
        <v>63</v>
      </c>
      <c r="I452" s="15" t="s">
        <v>246</v>
      </c>
    </row>
    <row r="453" customFormat="false" ht="23.25" hidden="false" customHeight="true" outlineLevel="0" collapsed="false">
      <c r="A453" s="14" t="n">
        <v>452</v>
      </c>
      <c r="B453" s="14" t="s">
        <v>607</v>
      </c>
      <c r="C453" s="14" t="s">
        <v>489</v>
      </c>
      <c r="D453" s="15" t="s">
        <v>608</v>
      </c>
      <c r="E453" s="15" t="s">
        <v>609</v>
      </c>
      <c r="F453" s="15" t="s">
        <v>614</v>
      </c>
      <c r="G453" s="15" t="s">
        <v>62</v>
      </c>
      <c r="H453" s="15" t="s">
        <v>63</v>
      </c>
      <c r="I453" s="15" t="s">
        <v>246</v>
      </c>
    </row>
    <row r="454" customFormat="false" ht="23.25" hidden="false" customHeight="true" outlineLevel="0" collapsed="false">
      <c r="A454" s="14" t="n">
        <v>453</v>
      </c>
      <c r="B454" s="14" t="s">
        <v>607</v>
      </c>
      <c r="C454" s="14" t="s">
        <v>489</v>
      </c>
      <c r="D454" s="15" t="s">
        <v>608</v>
      </c>
      <c r="E454" s="15" t="s">
        <v>609</v>
      </c>
      <c r="F454" s="15" t="s">
        <v>615</v>
      </c>
      <c r="G454" s="15" t="s">
        <v>62</v>
      </c>
      <c r="H454" s="15" t="s">
        <v>63</v>
      </c>
      <c r="I454" s="15" t="s">
        <v>246</v>
      </c>
    </row>
    <row r="455" customFormat="false" ht="23.25" hidden="false" customHeight="true" outlineLevel="0" collapsed="false">
      <c r="A455" s="14" t="n">
        <v>454</v>
      </c>
      <c r="B455" s="14" t="s">
        <v>607</v>
      </c>
      <c r="C455" s="14" t="s">
        <v>489</v>
      </c>
      <c r="D455" s="15" t="s">
        <v>608</v>
      </c>
      <c r="E455" s="15" t="s">
        <v>609</v>
      </c>
      <c r="F455" s="15" t="s">
        <v>24</v>
      </c>
      <c r="G455" s="15" t="s">
        <v>62</v>
      </c>
      <c r="H455" s="15" t="s">
        <v>63</v>
      </c>
      <c r="I455" s="15" t="s">
        <v>246</v>
      </c>
    </row>
    <row r="456" customFormat="false" ht="23.25" hidden="false" customHeight="true" outlineLevel="0" collapsed="false">
      <c r="A456" s="14" t="n">
        <v>455</v>
      </c>
      <c r="B456" s="14" t="s">
        <v>607</v>
      </c>
      <c r="C456" s="14" t="s">
        <v>489</v>
      </c>
      <c r="D456" s="15" t="s">
        <v>608</v>
      </c>
      <c r="E456" s="15" t="s">
        <v>609</v>
      </c>
      <c r="F456" s="15" t="s">
        <v>616</v>
      </c>
      <c r="G456" s="15" t="s">
        <v>62</v>
      </c>
      <c r="H456" s="15" t="s">
        <v>63</v>
      </c>
      <c r="I456" s="15" t="s">
        <v>246</v>
      </c>
    </row>
    <row r="457" customFormat="false" ht="23.25" hidden="false" customHeight="true" outlineLevel="0" collapsed="false">
      <c r="A457" s="14" t="n">
        <v>456</v>
      </c>
      <c r="B457" s="14" t="s">
        <v>607</v>
      </c>
      <c r="C457" s="14" t="s">
        <v>489</v>
      </c>
      <c r="D457" s="15" t="s">
        <v>608</v>
      </c>
      <c r="E457" s="15" t="s">
        <v>609</v>
      </c>
      <c r="F457" s="15" t="s">
        <v>28</v>
      </c>
      <c r="G457" s="15" t="s">
        <v>62</v>
      </c>
      <c r="H457" s="15" t="s">
        <v>63</v>
      </c>
      <c r="I457" s="15" t="s">
        <v>246</v>
      </c>
    </row>
    <row r="458" customFormat="false" ht="23.25" hidden="false" customHeight="true" outlineLevel="0" collapsed="false">
      <c r="A458" s="14" t="n">
        <v>457</v>
      </c>
      <c r="B458" s="14" t="s">
        <v>607</v>
      </c>
      <c r="C458" s="14" t="s">
        <v>489</v>
      </c>
      <c r="D458" s="15" t="s">
        <v>608</v>
      </c>
      <c r="E458" s="15" t="s">
        <v>609</v>
      </c>
      <c r="F458" s="15" t="s">
        <v>617</v>
      </c>
      <c r="G458" s="15" t="s">
        <v>62</v>
      </c>
      <c r="H458" s="15" t="s">
        <v>63</v>
      </c>
      <c r="I458" s="15" t="s">
        <v>246</v>
      </c>
    </row>
    <row r="459" customFormat="false" ht="23.25" hidden="false" customHeight="true" outlineLevel="0" collapsed="false">
      <c r="A459" s="14" t="n">
        <v>458</v>
      </c>
      <c r="B459" s="14" t="s">
        <v>618</v>
      </c>
      <c r="C459" s="14" t="s">
        <v>302</v>
      </c>
      <c r="D459" s="15" t="s">
        <v>619</v>
      </c>
      <c r="E459" s="15" t="s">
        <v>620</v>
      </c>
      <c r="F459" s="15" t="s">
        <v>621</v>
      </c>
      <c r="G459" s="15" t="s">
        <v>62</v>
      </c>
      <c r="H459" s="15" t="s">
        <v>63</v>
      </c>
      <c r="I459" s="15" t="s">
        <v>622</v>
      </c>
    </row>
    <row r="460" customFormat="false" ht="23.25" hidden="false" customHeight="true" outlineLevel="0" collapsed="false">
      <c r="A460" s="14" t="n">
        <v>459</v>
      </c>
      <c r="B460" s="14" t="s">
        <v>618</v>
      </c>
      <c r="C460" s="14" t="s">
        <v>302</v>
      </c>
      <c r="D460" s="15" t="s">
        <v>619</v>
      </c>
      <c r="E460" s="15" t="s">
        <v>620</v>
      </c>
      <c r="F460" s="15" t="s">
        <v>623</v>
      </c>
      <c r="G460" s="15" t="s">
        <v>62</v>
      </c>
      <c r="H460" s="15" t="s">
        <v>63</v>
      </c>
      <c r="I460" s="15" t="s">
        <v>622</v>
      </c>
    </row>
    <row r="461" customFormat="false" ht="23.25" hidden="false" customHeight="true" outlineLevel="0" collapsed="false">
      <c r="A461" s="14" t="n">
        <v>460</v>
      </c>
      <c r="B461" s="14" t="s">
        <v>618</v>
      </c>
      <c r="C461" s="14" t="s">
        <v>302</v>
      </c>
      <c r="D461" s="15" t="s">
        <v>619</v>
      </c>
      <c r="E461" s="15" t="s">
        <v>620</v>
      </c>
      <c r="F461" s="15" t="s">
        <v>419</v>
      </c>
      <c r="G461" s="15" t="s">
        <v>62</v>
      </c>
      <c r="H461" s="15" t="s">
        <v>63</v>
      </c>
      <c r="I461" s="15" t="s">
        <v>622</v>
      </c>
    </row>
    <row r="462" customFormat="false" ht="23.25" hidden="false" customHeight="true" outlineLevel="0" collapsed="false">
      <c r="A462" s="14" t="n">
        <v>461</v>
      </c>
      <c r="B462" s="14" t="s">
        <v>618</v>
      </c>
      <c r="C462" s="14" t="s">
        <v>302</v>
      </c>
      <c r="D462" s="15" t="s">
        <v>619</v>
      </c>
      <c r="E462" s="15" t="s">
        <v>620</v>
      </c>
      <c r="F462" s="15" t="s">
        <v>346</v>
      </c>
      <c r="G462" s="15" t="s">
        <v>62</v>
      </c>
      <c r="H462" s="15" t="s">
        <v>63</v>
      </c>
      <c r="I462" s="15" t="s">
        <v>622</v>
      </c>
    </row>
    <row r="463" customFormat="false" ht="23.25" hidden="false" customHeight="true" outlineLevel="0" collapsed="false">
      <c r="A463" s="14" t="n">
        <v>462</v>
      </c>
      <c r="B463" s="14" t="s">
        <v>618</v>
      </c>
      <c r="C463" s="14" t="s">
        <v>302</v>
      </c>
      <c r="D463" s="15" t="s">
        <v>619</v>
      </c>
      <c r="E463" s="15" t="s">
        <v>620</v>
      </c>
      <c r="F463" s="15" t="s">
        <v>67</v>
      </c>
      <c r="G463" s="15" t="s">
        <v>62</v>
      </c>
      <c r="H463" s="15" t="s">
        <v>63</v>
      </c>
      <c r="I463" s="15" t="s">
        <v>622</v>
      </c>
    </row>
    <row r="464" customFormat="false" ht="23.25" hidden="false" customHeight="true" outlineLevel="0" collapsed="false">
      <c r="A464" s="14" t="n">
        <v>463</v>
      </c>
      <c r="B464" s="14" t="s">
        <v>618</v>
      </c>
      <c r="C464" s="14" t="s">
        <v>302</v>
      </c>
      <c r="D464" s="15" t="s">
        <v>619</v>
      </c>
      <c r="E464" s="15" t="s">
        <v>620</v>
      </c>
      <c r="F464" s="15" t="s">
        <v>624</v>
      </c>
      <c r="G464" s="15" t="s">
        <v>62</v>
      </c>
      <c r="H464" s="15" t="s">
        <v>63</v>
      </c>
      <c r="I464" s="15" t="s">
        <v>622</v>
      </c>
    </row>
    <row r="465" customFormat="false" ht="23.25" hidden="false" customHeight="true" outlineLevel="0" collapsed="false">
      <c r="A465" s="14" t="n">
        <v>464</v>
      </c>
      <c r="B465" s="14" t="s">
        <v>618</v>
      </c>
      <c r="C465" s="14" t="s">
        <v>302</v>
      </c>
      <c r="D465" s="15" t="s">
        <v>619</v>
      </c>
      <c r="E465" s="15" t="s">
        <v>620</v>
      </c>
      <c r="F465" s="15" t="s">
        <v>625</v>
      </c>
      <c r="G465" s="15" t="s">
        <v>62</v>
      </c>
      <c r="H465" s="15" t="s">
        <v>63</v>
      </c>
      <c r="I465" s="15" t="s">
        <v>622</v>
      </c>
    </row>
    <row r="466" customFormat="false" ht="23.25" hidden="false" customHeight="true" outlineLevel="0" collapsed="false">
      <c r="A466" s="14" t="n">
        <v>465</v>
      </c>
      <c r="B466" s="14" t="s">
        <v>618</v>
      </c>
      <c r="C466" s="14" t="s">
        <v>302</v>
      </c>
      <c r="D466" s="15" t="s">
        <v>619</v>
      </c>
      <c r="E466" s="15" t="s">
        <v>620</v>
      </c>
      <c r="F466" s="15" t="s">
        <v>626</v>
      </c>
      <c r="G466" s="15" t="s">
        <v>62</v>
      </c>
      <c r="H466" s="15" t="s">
        <v>63</v>
      </c>
      <c r="I466" s="15" t="s">
        <v>622</v>
      </c>
    </row>
    <row r="467" customFormat="false" ht="23.25" hidden="false" customHeight="true" outlineLevel="0" collapsed="false">
      <c r="A467" s="14" t="n">
        <v>466</v>
      </c>
      <c r="B467" s="14" t="s">
        <v>618</v>
      </c>
      <c r="C467" s="14" t="s">
        <v>302</v>
      </c>
      <c r="D467" s="15" t="s">
        <v>619</v>
      </c>
      <c r="E467" s="15" t="s">
        <v>620</v>
      </c>
      <c r="F467" s="15" t="s">
        <v>627</v>
      </c>
      <c r="G467" s="15" t="s">
        <v>62</v>
      </c>
      <c r="H467" s="15" t="s">
        <v>63</v>
      </c>
      <c r="I467" s="15" t="s">
        <v>622</v>
      </c>
    </row>
    <row r="468" customFormat="false" ht="23.25" hidden="false" customHeight="true" outlineLevel="0" collapsed="false">
      <c r="A468" s="14" t="n">
        <v>467</v>
      </c>
      <c r="B468" s="14" t="s">
        <v>628</v>
      </c>
      <c r="C468" s="14" t="s">
        <v>302</v>
      </c>
      <c r="D468" s="15" t="s">
        <v>629</v>
      </c>
      <c r="E468" s="15" t="s">
        <v>630</v>
      </c>
      <c r="F468" s="15" t="s">
        <v>134</v>
      </c>
      <c r="G468" s="15" t="s">
        <v>62</v>
      </c>
      <c r="H468" s="15" t="s">
        <v>63</v>
      </c>
      <c r="I468" s="15" t="s">
        <v>246</v>
      </c>
    </row>
    <row r="469" customFormat="false" ht="23.25" hidden="false" customHeight="true" outlineLevel="0" collapsed="false">
      <c r="A469" s="14" t="n">
        <v>468</v>
      </c>
      <c r="B469" s="14" t="s">
        <v>628</v>
      </c>
      <c r="C469" s="14" t="s">
        <v>302</v>
      </c>
      <c r="D469" s="15" t="s">
        <v>629</v>
      </c>
      <c r="E469" s="15" t="s">
        <v>630</v>
      </c>
      <c r="F469" s="15" t="s">
        <v>137</v>
      </c>
      <c r="G469" s="15" t="s">
        <v>62</v>
      </c>
      <c r="H469" s="15" t="s">
        <v>63</v>
      </c>
      <c r="I469" s="15" t="s">
        <v>246</v>
      </c>
    </row>
    <row r="470" customFormat="false" ht="23.25" hidden="false" customHeight="true" outlineLevel="0" collapsed="false">
      <c r="A470" s="14" t="n">
        <v>469</v>
      </c>
      <c r="B470" s="14" t="s">
        <v>628</v>
      </c>
      <c r="C470" s="14" t="s">
        <v>302</v>
      </c>
      <c r="D470" s="15" t="s">
        <v>629</v>
      </c>
      <c r="E470" s="15" t="s">
        <v>630</v>
      </c>
      <c r="F470" s="15" t="s">
        <v>139</v>
      </c>
      <c r="G470" s="15" t="s">
        <v>62</v>
      </c>
      <c r="H470" s="15" t="s">
        <v>63</v>
      </c>
      <c r="I470" s="15" t="s">
        <v>246</v>
      </c>
    </row>
    <row r="471" customFormat="false" ht="23.25" hidden="false" customHeight="true" outlineLevel="0" collapsed="false">
      <c r="A471" s="14" t="n">
        <v>470</v>
      </c>
      <c r="B471" s="14" t="s">
        <v>628</v>
      </c>
      <c r="C471" s="14" t="s">
        <v>302</v>
      </c>
      <c r="D471" s="15" t="s">
        <v>629</v>
      </c>
      <c r="E471" s="15" t="s">
        <v>630</v>
      </c>
      <c r="F471" s="15" t="s">
        <v>225</v>
      </c>
      <c r="G471" s="15" t="s">
        <v>62</v>
      </c>
      <c r="H471" s="15" t="s">
        <v>63</v>
      </c>
      <c r="I471" s="15" t="s">
        <v>246</v>
      </c>
    </row>
    <row r="472" customFormat="false" ht="23.25" hidden="false" customHeight="true" outlineLevel="0" collapsed="false">
      <c r="A472" s="14" t="n">
        <v>471</v>
      </c>
      <c r="B472" s="14" t="s">
        <v>628</v>
      </c>
      <c r="C472" s="14" t="s">
        <v>302</v>
      </c>
      <c r="D472" s="15" t="s">
        <v>629</v>
      </c>
      <c r="E472" s="15" t="s">
        <v>630</v>
      </c>
      <c r="F472" s="15" t="s">
        <v>631</v>
      </c>
      <c r="G472" s="15" t="s">
        <v>62</v>
      </c>
      <c r="H472" s="15" t="s">
        <v>63</v>
      </c>
      <c r="I472" s="15" t="s">
        <v>246</v>
      </c>
    </row>
    <row r="473" customFormat="false" ht="23.25" hidden="false" customHeight="true" outlineLevel="0" collapsed="false">
      <c r="A473" s="14" t="n">
        <v>472</v>
      </c>
      <c r="B473" s="14" t="s">
        <v>628</v>
      </c>
      <c r="C473" s="14" t="s">
        <v>302</v>
      </c>
      <c r="D473" s="15" t="s">
        <v>629</v>
      </c>
      <c r="E473" s="15" t="s">
        <v>630</v>
      </c>
      <c r="F473" s="15" t="s">
        <v>632</v>
      </c>
      <c r="G473" s="15" t="s">
        <v>62</v>
      </c>
      <c r="H473" s="15" t="s">
        <v>63</v>
      </c>
      <c r="I473" s="15" t="s">
        <v>246</v>
      </c>
    </row>
    <row r="474" customFormat="false" ht="23.25" hidden="false" customHeight="true" outlineLevel="0" collapsed="false">
      <c r="A474" s="14" t="n">
        <v>473</v>
      </c>
      <c r="B474" s="14" t="s">
        <v>628</v>
      </c>
      <c r="C474" s="14" t="s">
        <v>302</v>
      </c>
      <c r="D474" s="15" t="s">
        <v>629</v>
      </c>
      <c r="E474" s="15" t="s">
        <v>630</v>
      </c>
      <c r="F474" s="15" t="s">
        <v>633</v>
      </c>
      <c r="G474" s="15" t="s">
        <v>62</v>
      </c>
      <c r="H474" s="15" t="s">
        <v>63</v>
      </c>
      <c r="I474" s="15" t="s">
        <v>246</v>
      </c>
    </row>
    <row r="475" customFormat="false" ht="23.25" hidden="false" customHeight="true" outlineLevel="0" collapsed="false">
      <c r="A475" s="14" t="n">
        <v>474</v>
      </c>
      <c r="B475" s="14" t="s">
        <v>628</v>
      </c>
      <c r="C475" s="14" t="s">
        <v>302</v>
      </c>
      <c r="D475" s="15" t="s">
        <v>629</v>
      </c>
      <c r="E475" s="15" t="s">
        <v>630</v>
      </c>
      <c r="F475" s="15" t="s">
        <v>634</v>
      </c>
      <c r="G475" s="15" t="s">
        <v>62</v>
      </c>
      <c r="H475" s="15" t="s">
        <v>63</v>
      </c>
      <c r="I475" s="15" t="s">
        <v>246</v>
      </c>
    </row>
    <row r="476" customFormat="false" ht="23.25" hidden="false" customHeight="true" outlineLevel="0" collapsed="false">
      <c r="A476" s="14" t="n">
        <v>475</v>
      </c>
      <c r="B476" s="14" t="s">
        <v>628</v>
      </c>
      <c r="C476" s="14" t="s">
        <v>302</v>
      </c>
      <c r="D476" s="15" t="s">
        <v>629</v>
      </c>
      <c r="E476" s="15" t="s">
        <v>630</v>
      </c>
      <c r="F476" s="15" t="s">
        <v>36</v>
      </c>
      <c r="G476" s="15" t="s">
        <v>62</v>
      </c>
      <c r="H476" s="15" t="s">
        <v>63</v>
      </c>
      <c r="I476" s="15" t="s">
        <v>246</v>
      </c>
    </row>
    <row r="477" customFormat="false" ht="23.25" hidden="false" customHeight="true" outlineLevel="0" collapsed="false">
      <c r="A477" s="14" t="n">
        <v>476</v>
      </c>
      <c r="B477" s="14" t="s">
        <v>628</v>
      </c>
      <c r="C477" s="14" t="s">
        <v>302</v>
      </c>
      <c r="D477" s="15" t="s">
        <v>629</v>
      </c>
      <c r="E477" s="15" t="s">
        <v>630</v>
      </c>
      <c r="F477" s="15" t="s">
        <v>454</v>
      </c>
      <c r="G477" s="15" t="s">
        <v>62</v>
      </c>
      <c r="H477" s="15" t="s">
        <v>63</v>
      </c>
      <c r="I477" s="15" t="s">
        <v>246</v>
      </c>
    </row>
    <row r="478" customFormat="false" ht="23.25" hidden="false" customHeight="true" outlineLevel="0" collapsed="false">
      <c r="A478" s="14" t="n">
        <v>477</v>
      </c>
      <c r="B478" s="14" t="s">
        <v>628</v>
      </c>
      <c r="C478" s="14" t="s">
        <v>302</v>
      </c>
      <c r="D478" s="15" t="s">
        <v>629</v>
      </c>
      <c r="E478" s="15" t="s">
        <v>630</v>
      </c>
      <c r="F478" s="15" t="s">
        <v>635</v>
      </c>
      <c r="G478" s="15" t="s">
        <v>62</v>
      </c>
      <c r="H478" s="15" t="s">
        <v>63</v>
      </c>
      <c r="I478" s="15" t="s">
        <v>246</v>
      </c>
    </row>
    <row r="479" customFormat="false" ht="23.25" hidden="false" customHeight="true" outlineLevel="0" collapsed="false">
      <c r="A479" s="14" t="n">
        <v>478</v>
      </c>
      <c r="B479" s="14" t="s">
        <v>628</v>
      </c>
      <c r="C479" s="14" t="s">
        <v>302</v>
      </c>
      <c r="D479" s="15" t="s">
        <v>629</v>
      </c>
      <c r="E479" s="15" t="s">
        <v>630</v>
      </c>
      <c r="F479" s="15" t="s">
        <v>636</v>
      </c>
      <c r="G479" s="15" t="s">
        <v>62</v>
      </c>
      <c r="H479" s="15" t="s">
        <v>63</v>
      </c>
      <c r="I479" s="15" t="s">
        <v>246</v>
      </c>
    </row>
    <row r="480" customFormat="false" ht="23.25" hidden="false" customHeight="true" outlineLevel="0" collapsed="false">
      <c r="A480" s="14" t="n">
        <v>479</v>
      </c>
      <c r="B480" s="14" t="s">
        <v>628</v>
      </c>
      <c r="C480" s="14" t="s">
        <v>302</v>
      </c>
      <c r="D480" s="15" t="s">
        <v>629</v>
      </c>
      <c r="E480" s="15" t="s">
        <v>630</v>
      </c>
      <c r="F480" s="15" t="s">
        <v>637</v>
      </c>
      <c r="G480" s="15" t="s">
        <v>62</v>
      </c>
      <c r="H480" s="15" t="s">
        <v>63</v>
      </c>
      <c r="I480" s="15" t="s">
        <v>246</v>
      </c>
    </row>
    <row r="481" customFormat="false" ht="23.25" hidden="false" customHeight="true" outlineLevel="0" collapsed="false">
      <c r="A481" s="14" t="n">
        <v>480</v>
      </c>
      <c r="B481" s="14" t="s">
        <v>628</v>
      </c>
      <c r="C481" s="14" t="s">
        <v>302</v>
      </c>
      <c r="D481" s="15" t="s">
        <v>629</v>
      </c>
      <c r="E481" s="15" t="s">
        <v>630</v>
      </c>
      <c r="F481" s="15" t="s">
        <v>638</v>
      </c>
      <c r="G481" s="15" t="s">
        <v>62</v>
      </c>
      <c r="H481" s="15" t="s">
        <v>63</v>
      </c>
      <c r="I481" s="15" t="s">
        <v>246</v>
      </c>
    </row>
    <row r="482" customFormat="false" ht="23.25" hidden="false" customHeight="true" outlineLevel="0" collapsed="false">
      <c r="A482" s="14" t="n">
        <v>481</v>
      </c>
      <c r="B482" s="14" t="s">
        <v>628</v>
      </c>
      <c r="C482" s="14" t="s">
        <v>302</v>
      </c>
      <c r="D482" s="15" t="s">
        <v>629</v>
      </c>
      <c r="E482" s="15" t="s">
        <v>630</v>
      </c>
      <c r="F482" s="15" t="s">
        <v>639</v>
      </c>
      <c r="G482" s="15" t="s">
        <v>62</v>
      </c>
      <c r="H482" s="15" t="s">
        <v>63</v>
      </c>
      <c r="I482" s="15" t="s">
        <v>246</v>
      </c>
    </row>
    <row r="483" customFormat="false" ht="23.25" hidden="false" customHeight="true" outlineLevel="0" collapsed="false">
      <c r="A483" s="14" t="n">
        <v>482</v>
      </c>
      <c r="B483" s="14" t="s">
        <v>628</v>
      </c>
      <c r="C483" s="14" t="s">
        <v>302</v>
      </c>
      <c r="D483" s="15" t="s">
        <v>629</v>
      </c>
      <c r="E483" s="15" t="s">
        <v>630</v>
      </c>
      <c r="F483" s="15" t="s">
        <v>24</v>
      </c>
      <c r="G483" s="15" t="s">
        <v>62</v>
      </c>
      <c r="H483" s="15" t="s">
        <v>63</v>
      </c>
      <c r="I483" s="15" t="s">
        <v>246</v>
      </c>
    </row>
    <row r="484" customFormat="false" ht="23.25" hidden="false" customHeight="true" outlineLevel="0" collapsed="false">
      <c r="A484" s="14" t="n">
        <v>483</v>
      </c>
      <c r="B484" s="14" t="s">
        <v>628</v>
      </c>
      <c r="C484" s="14" t="s">
        <v>302</v>
      </c>
      <c r="D484" s="15" t="s">
        <v>629</v>
      </c>
      <c r="E484" s="15" t="s">
        <v>630</v>
      </c>
      <c r="F484" s="15" t="s">
        <v>32</v>
      </c>
      <c r="G484" s="15" t="s">
        <v>62</v>
      </c>
      <c r="H484" s="15" t="s">
        <v>63</v>
      </c>
      <c r="I484" s="15" t="s">
        <v>246</v>
      </c>
    </row>
    <row r="485" customFormat="false" ht="23.25" hidden="false" customHeight="true" outlineLevel="0" collapsed="false">
      <c r="A485" s="14" t="n">
        <v>484</v>
      </c>
      <c r="B485" s="14" t="s">
        <v>628</v>
      </c>
      <c r="C485" s="14" t="s">
        <v>302</v>
      </c>
      <c r="D485" s="15" t="s">
        <v>629</v>
      </c>
      <c r="E485" s="15" t="s">
        <v>630</v>
      </c>
      <c r="F485" s="15" t="s">
        <v>640</v>
      </c>
      <c r="G485" s="15" t="s">
        <v>62</v>
      </c>
      <c r="H485" s="15" t="s">
        <v>63</v>
      </c>
      <c r="I485" s="15" t="s">
        <v>246</v>
      </c>
    </row>
    <row r="486" customFormat="false" ht="23.25" hidden="false" customHeight="true" outlineLevel="0" collapsed="false">
      <c r="A486" s="14" t="n">
        <v>485</v>
      </c>
      <c r="B486" s="14" t="s">
        <v>628</v>
      </c>
      <c r="C486" s="14" t="s">
        <v>302</v>
      </c>
      <c r="D486" s="15" t="s">
        <v>629</v>
      </c>
      <c r="E486" s="15" t="s">
        <v>630</v>
      </c>
      <c r="F486" s="15" t="s">
        <v>641</v>
      </c>
      <c r="G486" s="15" t="s">
        <v>62</v>
      </c>
      <c r="H486" s="15" t="s">
        <v>63</v>
      </c>
      <c r="I486" s="15" t="s">
        <v>246</v>
      </c>
    </row>
    <row r="487" customFormat="false" ht="23.25" hidden="false" customHeight="true" outlineLevel="0" collapsed="false">
      <c r="A487" s="14" t="n">
        <v>486</v>
      </c>
      <c r="B487" s="14" t="s">
        <v>628</v>
      </c>
      <c r="C487" s="14" t="s">
        <v>302</v>
      </c>
      <c r="D487" s="15" t="s">
        <v>629</v>
      </c>
      <c r="E487" s="15" t="s">
        <v>630</v>
      </c>
      <c r="F487" s="15" t="s">
        <v>642</v>
      </c>
      <c r="G487" s="15" t="s">
        <v>62</v>
      </c>
      <c r="H487" s="15" t="s">
        <v>63</v>
      </c>
      <c r="I487" s="15" t="s">
        <v>246</v>
      </c>
    </row>
    <row r="488" customFormat="false" ht="23.25" hidden="false" customHeight="true" outlineLevel="0" collapsed="false">
      <c r="A488" s="14" t="n">
        <v>487</v>
      </c>
      <c r="B488" s="14" t="s">
        <v>628</v>
      </c>
      <c r="C488" s="14" t="s">
        <v>302</v>
      </c>
      <c r="D488" s="15" t="s">
        <v>629</v>
      </c>
      <c r="E488" s="15" t="s">
        <v>630</v>
      </c>
      <c r="F488" s="15" t="s">
        <v>610</v>
      </c>
      <c r="G488" s="15" t="s">
        <v>62</v>
      </c>
      <c r="H488" s="15" t="s">
        <v>63</v>
      </c>
      <c r="I488" s="15" t="s">
        <v>246</v>
      </c>
    </row>
    <row r="489" customFormat="false" ht="23.25" hidden="false" customHeight="true" outlineLevel="0" collapsed="false">
      <c r="A489" s="14" t="n">
        <v>488</v>
      </c>
      <c r="B489" s="14" t="s">
        <v>628</v>
      </c>
      <c r="C489" s="14" t="s">
        <v>302</v>
      </c>
      <c r="D489" s="15" t="s">
        <v>629</v>
      </c>
      <c r="E489" s="15" t="s">
        <v>630</v>
      </c>
      <c r="F489" s="15" t="s">
        <v>232</v>
      </c>
      <c r="G489" s="15" t="s">
        <v>62</v>
      </c>
      <c r="H489" s="15" t="s">
        <v>63</v>
      </c>
      <c r="I489" s="15" t="s">
        <v>246</v>
      </c>
    </row>
    <row r="490" customFormat="false" ht="23.25" hidden="false" customHeight="true" outlineLevel="0" collapsed="false">
      <c r="A490" s="14" t="n">
        <v>489</v>
      </c>
      <c r="B490" s="14" t="s">
        <v>628</v>
      </c>
      <c r="C490" s="14" t="s">
        <v>302</v>
      </c>
      <c r="D490" s="15" t="s">
        <v>629</v>
      </c>
      <c r="E490" s="15" t="s">
        <v>630</v>
      </c>
      <c r="F490" s="15" t="s">
        <v>643</v>
      </c>
      <c r="G490" s="15" t="s">
        <v>62</v>
      </c>
      <c r="H490" s="15" t="s">
        <v>63</v>
      </c>
      <c r="I490" s="15" t="s">
        <v>246</v>
      </c>
    </row>
    <row r="491" customFormat="false" ht="23.25" hidden="false" customHeight="true" outlineLevel="0" collapsed="false">
      <c r="A491" s="14" t="n">
        <v>490</v>
      </c>
      <c r="B491" s="14" t="s">
        <v>628</v>
      </c>
      <c r="C491" s="14" t="s">
        <v>302</v>
      </c>
      <c r="D491" s="15" t="s">
        <v>629</v>
      </c>
      <c r="E491" s="15" t="s">
        <v>630</v>
      </c>
      <c r="F491" s="15" t="s">
        <v>644</v>
      </c>
      <c r="G491" s="15" t="s">
        <v>62</v>
      </c>
      <c r="H491" s="15" t="s">
        <v>63</v>
      </c>
      <c r="I491" s="15" t="s">
        <v>246</v>
      </c>
    </row>
    <row r="492" customFormat="false" ht="23.25" hidden="false" customHeight="true" outlineLevel="0" collapsed="false">
      <c r="A492" s="14" t="n">
        <v>491</v>
      </c>
      <c r="B492" s="14" t="s">
        <v>628</v>
      </c>
      <c r="C492" s="14" t="s">
        <v>302</v>
      </c>
      <c r="D492" s="15" t="s">
        <v>629</v>
      </c>
      <c r="E492" s="15" t="s">
        <v>630</v>
      </c>
      <c r="F492" s="15" t="s">
        <v>39</v>
      </c>
      <c r="G492" s="15" t="s">
        <v>62</v>
      </c>
      <c r="H492" s="15" t="s">
        <v>63</v>
      </c>
      <c r="I492" s="15" t="s">
        <v>246</v>
      </c>
    </row>
    <row r="493" customFormat="false" ht="23.25" hidden="false" customHeight="true" outlineLevel="0" collapsed="false">
      <c r="A493" s="14" t="n">
        <v>492</v>
      </c>
      <c r="B493" s="14" t="s">
        <v>628</v>
      </c>
      <c r="C493" s="14" t="s">
        <v>302</v>
      </c>
      <c r="D493" s="15" t="s">
        <v>629</v>
      </c>
      <c r="E493" s="15" t="s">
        <v>630</v>
      </c>
      <c r="F493" s="15" t="s">
        <v>43</v>
      </c>
      <c r="G493" s="15" t="s">
        <v>62</v>
      </c>
      <c r="H493" s="15" t="s">
        <v>63</v>
      </c>
      <c r="I493" s="15" t="s">
        <v>246</v>
      </c>
    </row>
    <row r="494" customFormat="false" ht="23.25" hidden="false" customHeight="true" outlineLevel="0" collapsed="false">
      <c r="A494" s="14" t="n">
        <v>493</v>
      </c>
      <c r="B494" s="14" t="s">
        <v>628</v>
      </c>
      <c r="C494" s="14" t="s">
        <v>302</v>
      </c>
      <c r="D494" s="15" t="s">
        <v>629</v>
      </c>
      <c r="E494" s="15" t="s">
        <v>630</v>
      </c>
      <c r="F494" s="15" t="s">
        <v>645</v>
      </c>
      <c r="G494" s="15" t="s">
        <v>62</v>
      </c>
      <c r="H494" s="15" t="s">
        <v>63</v>
      </c>
      <c r="I494" s="15" t="s">
        <v>246</v>
      </c>
    </row>
    <row r="495" customFormat="false" ht="23.25" hidden="false" customHeight="true" outlineLevel="0" collapsed="false">
      <c r="A495" s="14" t="n">
        <v>494</v>
      </c>
      <c r="B495" s="14" t="s">
        <v>628</v>
      </c>
      <c r="C495" s="14" t="s">
        <v>302</v>
      </c>
      <c r="D495" s="15" t="s">
        <v>629</v>
      </c>
      <c r="E495" s="15" t="s">
        <v>630</v>
      </c>
      <c r="F495" s="15" t="s">
        <v>143</v>
      </c>
      <c r="G495" s="15" t="s">
        <v>62</v>
      </c>
      <c r="H495" s="15" t="s">
        <v>63</v>
      </c>
      <c r="I495" s="15" t="s">
        <v>246</v>
      </c>
    </row>
    <row r="496" customFormat="false" ht="23.25" hidden="false" customHeight="true" outlineLevel="0" collapsed="false">
      <c r="A496" s="14" t="n">
        <v>495</v>
      </c>
      <c r="B496" s="14" t="s">
        <v>628</v>
      </c>
      <c r="C496" s="14" t="s">
        <v>302</v>
      </c>
      <c r="D496" s="15" t="s">
        <v>629</v>
      </c>
      <c r="E496" s="15" t="s">
        <v>630</v>
      </c>
      <c r="F496" s="15" t="s">
        <v>646</v>
      </c>
      <c r="G496" s="15" t="s">
        <v>62</v>
      </c>
      <c r="H496" s="15" t="s">
        <v>63</v>
      </c>
      <c r="I496" s="15" t="s">
        <v>246</v>
      </c>
    </row>
    <row r="497" customFormat="false" ht="23.25" hidden="false" customHeight="true" outlineLevel="0" collapsed="false">
      <c r="A497" s="14" t="n">
        <v>496</v>
      </c>
      <c r="B497" s="14" t="s">
        <v>628</v>
      </c>
      <c r="C497" s="14" t="s">
        <v>302</v>
      </c>
      <c r="D497" s="15" t="s">
        <v>629</v>
      </c>
      <c r="E497" s="15" t="s">
        <v>630</v>
      </c>
      <c r="F497" s="15" t="s">
        <v>647</v>
      </c>
      <c r="G497" s="15" t="s">
        <v>62</v>
      </c>
      <c r="H497" s="15" t="s">
        <v>63</v>
      </c>
      <c r="I497" s="15" t="s">
        <v>246</v>
      </c>
    </row>
    <row r="498" customFormat="false" ht="23.25" hidden="false" customHeight="true" outlineLevel="0" collapsed="false">
      <c r="A498" s="14" t="n">
        <v>497</v>
      </c>
      <c r="B498" s="14" t="s">
        <v>628</v>
      </c>
      <c r="C498" s="14" t="s">
        <v>302</v>
      </c>
      <c r="D498" s="15" t="s">
        <v>629</v>
      </c>
      <c r="E498" s="15" t="s">
        <v>630</v>
      </c>
      <c r="F498" s="15" t="s">
        <v>486</v>
      </c>
      <c r="G498" s="15" t="s">
        <v>62</v>
      </c>
      <c r="H498" s="15" t="s">
        <v>63</v>
      </c>
      <c r="I498" s="15" t="s">
        <v>246</v>
      </c>
    </row>
    <row r="499" customFormat="false" ht="23.25" hidden="false" customHeight="true" outlineLevel="0" collapsed="false">
      <c r="A499" s="14" t="n">
        <v>498</v>
      </c>
      <c r="B499" s="14" t="s">
        <v>628</v>
      </c>
      <c r="C499" s="14" t="s">
        <v>302</v>
      </c>
      <c r="D499" s="15" t="s">
        <v>629</v>
      </c>
      <c r="E499" s="15" t="s">
        <v>630</v>
      </c>
      <c r="F499" s="15" t="s">
        <v>648</v>
      </c>
      <c r="G499" s="15" t="s">
        <v>62</v>
      </c>
      <c r="H499" s="15" t="s">
        <v>63</v>
      </c>
      <c r="I499" s="15" t="s">
        <v>246</v>
      </c>
    </row>
    <row r="500" customFormat="false" ht="23.25" hidden="false" customHeight="true" outlineLevel="0" collapsed="false">
      <c r="A500" s="14" t="n">
        <v>499</v>
      </c>
      <c r="B500" s="14" t="s">
        <v>649</v>
      </c>
      <c r="C500" s="14" t="s">
        <v>650</v>
      </c>
      <c r="D500" s="15" t="s">
        <v>651</v>
      </c>
      <c r="E500" s="15" t="s">
        <v>652</v>
      </c>
      <c r="F500" s="15" t="s">
        <v>28</v>
      </c>
      <c r="G500" s="15" t="s">
        <v>653</v>
      </c>
      <c r="H500" s="15" t="s">
        <v>63</v>
      </c>
      <c r="I500" s="15" t="s">
        <v>654</v>
      </c>
    </row>
    <row r="501" customFormat="false" ht="23.25" hidden="false" customHeight="true" outlineLevel="0" collapsed="false">
      <c r="A501" s="14" t="n">
        <v>500</v>
      </c>
      <c r="B501" s="14" t="s">
        <v>649</v>
      </c>
      <c r="C501" s="14" t="s">
        <v>650</v>
      </c>
      <c r="D501" s="15" t="s">
        <v>651</v>
      </c>
      <c r="E501" s="15" t="s">
        <v>652</v>
      </c>
      <c r="F501" s="15" t="s">
        <v>655</v>
      </c>
      <c r="G501" s="15" t="s">
        <v>656</v>
      </c>
      <c r="H501" s="15" t="s">
        <v>63</v>
      </c>
      <c r="I501" s="15" t="s">
        <v>654</v>
      </c>
    </row>
    <row r="502" customFormat="false" ht="23.25" hidden="false" customHeight="true" outlineLevel="0" collapsed="false">
      <c r="A502" s="14" t="n">
        <v>501</v>
      </c>
      <c r="B502" s="14" t="s">
        <v>649</v>
      </c>
      <c r="C502" s="14" t="s">
        <v>650</v>
      </c>
      <c r="D502" s="15" t="s">
        <v>651</v>
      </c>
      <c r="E502" s="15" t="s">
        <v>652</v>
      </c>
      <c r="F502" s="15" t="s">
        <v>657</v>
      </c>
      <c r="G502" s="15" t="s">
        <v>658</v>
      </c>
      <c r="H502" s="15" t="s">
        <v>63</v>
      </c>
      <c r="I502" s="15" t="s">
        <v>654</v>
      </c>
    </row>
    <row r="503" customFormat="false" ht="23.25" hidden="false" customHeight="true" outlineLevel="0" collapsed="false">
      <c r="A503" s="14" t="n">
        <v>502</v>
      </c>
      <c r="B503" s="14" t="s">
        <v>649</v>
      </c>
      <c r="C503" s="14" t="s">
        <v>650</v>
      </c>
      <c r="D503" s="15" t="s">
        <v>651</v>
      </c>
      <c r="E503" s="15" t="s">
        <v>652</v>
      </c>
      <c r="F503" s="15" t="s">
        <v>659</v>
      </c>
      <c r="G503" s="15" t="s">
        <v>660</v>
      </c>
      <c r="H503" s="15" t="s">
        <v>63</v>
      </c>
      <c r="I503" s="15" t="s">
        <v>654</v>
      </c>
    </row>
    <row r="504" customFormat="false" ht="23.25" hidden="false" customHeight="true" outlineLevel="0" collapsed="false">
      <c r="A504" s="14" t="n">
        <v>503</v>
      </c>
      <c r="B504" s="14" t="s">
        <v>649</v>
      </c>
      <c r="C504" s="14" t="s">
        <v>650</v>
      </c>
      <c r="D504" s="15" t="s">
        <v>651</v>
      </c>
      <c r="E504" s="15" t="s">
        <v>652</v>
      </c>
      <c r="F504" s="15" t="s">
        <v>661</v>
      </c>
      <c r="G504" s="15" t="s">
        <v>662</v>
      </c>
      <c r="H504" s="15" t="s">
        <v>63</v>
      </c>
      <c r="I504" s="15" t="s">
        <v>654</v>
      </c>
    </row>
    <row r="505" customFormat="false" ht="23.25" hidden="false" customHeight="true" outlineLevel="0" collapsed="false">
      <c r="A505" s="14" t="n">
        <v>504</v>
      </c>
      <c r="B505" s="14" t="s">
        <v>649</v>
      </c>
      <c r="C505" s="14" t="s">
        <v>650</v>
      </c>
      <c r="D505" s="15" t="s">
        <v>651</v>
      </c>
      <c r="E505" s="15" t="s">
        <v>652</v>
      </c>
      <c r="F505" s="15" t="s">
        <v>663</v>
      </c>
      <c r="G505" s="15" t="s">
        <v>664</v>
      </c>
      <c r="H505" s="15" t="s">
        <v>63</v>
      </c>
      <c r="I505" s="15" t="s">
        <v>654</v>
      </c>
    </row>
    <row r="506" customFormat="false" ht="23.25" hidden="false" customHeight="true" outlineLevel="0" collapsed="false">
      <c r="A506" s="14" t="n">
        <v>505</v>
      </c>
      <c r="B506" s="14" t="s">
        <v>649</v>
      </c>
      <c r="C506" s="14" t="s">
        <v>650</v>
      </c>
      <c r="D506" s="15" t="s">
        <v>651</v>
      </c>
      <c r="E506" s="15" t="s">
        <v>652</v>
      </c>
      <c r="F506" s="15" t="s">
        <v>665</v>
      </c>
      <c r="G506" s="15" t="s">
        <v>666</v>
      </c>
      <c r="H506" s="15" t="s">
        <v>63</v>
      </c>
      <c r="I506" s="15" t="s">
        <v>654</v>
      </c>
    </row>
    <row r="507" customFormat="false" ht="23.25" hidden="false" customHeight="true" outlineLevel="0" collapsed="false">
      <c r="A507" s="14" t="n">
        <v>506</v>
      </c>
      <c r="B507" s="14" t="s">
        <v>649</v>
      </c>
      <c r="C507" s="14" t="s">
        <v>650</v>
      </c>
      <c r="D507" s="15" t="s">
        <v>651</v>
      </c>
      <c r="E507" s="15" t="s">
        <v>652</v>
      </c>
      <c r="F507" s="15" t="s">
        <v>667</v>
      </c>
      <c r="G507" s="15" t="s">
        <v>668</v>
      </c>
      <c r="H507" s="15" t="s">
        <v>63</v>
      </c>
      <c r="I507" s="15" t="s">
        <v>654</v>
      </c>
    </row>
    <row r="508" customFormat="false" ht="23.25" hidden="false" customHeight="true" outlineLevel="0" collapsed="false">
      <c r="A508" s="14" t="n">
        <v>507</v>
      </c>
      <c r="B508" s="14" t="s">
        <v>649</v>
      </c>
      <c r="C508" s="14" t="s">
        <v>650</v>
      </c>
      <c r="D508" s="15" t="s">
        <v>651</v>
      </c>
      <c r="E508" s="15" t="s">
        <v>652</v>
      </c>
      <c r="F508" s="15" t="s">
        <v>669</v>
      </c>
      <c r="G508" s="15" t="s">
        <v>670</v>
      </c>
      <c r="H508" s="15" t="s">
        <v>63</v>
      </c>
      <c r="I508" s="15" t="s">
        <v>654</v>
      </c>
    </row>
    <row r="509" customFormat="false" ht="23.25" hidden="false" customHeight="true" outlineLevel="0" collapsed="false">
      <c r="A509" s="14" t="n">
        <v>508</v>
      </c>
      <c r="B509" s="14" t="s">
        <v>649</v>
      </c>
      <c r="C509" s="14" t="s">
        <v>650</v>
      </c>
      <c r="D509" s="15" t="s">
        <v>651</v>
      </c>
      <c r="E509" s="15" t="s">
        <v>652</v>
      </c>
      <c r="F509" s="15" t="s">
        <v>671</v>
      </c>
      <c r="G509" s="15" t="s">
        <v>62</v>
      </c>
      <c r="H509" s="15" t="s">
        <v>63</v>
      </c>
      <c r="I509" s="15" t="s">
        <v>654</v>
      </c>
    </row>
    <row r="510" customFormat="false" ht="23.25" hidden="false" customHeight="true" outlineLevel="0" collapsed="false">
      <c r="A510" s="14" t="n">
        <v>509</v>
      </c>
      <c r="B510" s="14" t="s">
        <v>649</v>
      </c>
      <c r="C510" s="14" t="s">
        <v>650</v>
      </c>
      <c r="D510" s="15" t="s">
        <v>651</v>
      </c>
      <c r="E510" s="15" t="s">
        <v>652</v>
      </c>
      <c r="F510" s="15" t="s">
        <v>672</v>
      </c>
      <c r="G510" s="15" t="s">
        <v>62</v>
      </c>
      <c r="H510" s="15" t="s">
        <v>63</v>
      </c>
      <c r="I510" s="15" t="s">
        <v>654</v>
      </c>
    </row>
    <row r="511" customFormat="false" ht="23.25" hidden="false" customHeight="true" outlineLevel="0" collapsed="false">
      <c r="A511" s="14" t="n">
        <v>510</v>
      </c>
      <c r="B511" s="14" t="s">
        <v>649</v>
      </c>
      <c r="C511" s="14" t="s">
        <v>650</v>
      </c>
      <c r="D511" s="15" t="s">
        <v>651</v>
      </c>
      <c r="E511" s="15" t="s">
        <v>652</v>
      </c>
      <c r="F511" s="15" t="s">
        <v>673</v>
      </c>
      <c r="G511" s="15" t="s">
        <v>62</v>
      </c>
      <c r="H511" s="15" t="s">
        <v>63</v>
      </c>
      <c r="I511" s="15" t="s">
        <v>654</v>
      </c>
    </row>
    <row r="512" customFormat="false" ht="23.25" hidden="false" customHeight="true" outlineLevel="0" collapsed="false">
      <c r="A512" s="14" t="n">
        <v>511</v>
      </c>
      <c r="B512" s="14" t="s">
        <v>649</v>
      </c>
      <c r="C512" s="14" t="s">
        <v>650</v>
      </c>
      <c r="D512" s="15" t="s">
        <v>651</v>
      </c>
      <c r="E512" s="15" t="s">
        <v>652</v>
      </c>
      <c r="F512" s="15" t="s">
        <v>674</v>
      </c>
      <c r="G512" s="15" t="s">
        <v>62</v>
      </c>
      <c r="H512" s="15" t="s">
        <v>63</v>
      </c>
      <c r="I512" s="15" t="s">
        <v>654</v>
      </c>
    </row>
    <row r="513" customFormat="false" ht="23.25" hidden="false" customHeight="true" outlineLevel="0" collapsed="false">
      <c r="A513" s="14" t="n">
        <v>512</v>
      </c>
      <c r="B513" s="14" t="s">
        <v>649</v>
      </c>
      <c r="C513" s="14" t="s">
        <v>650</v>
      </c>
      <c r="D513" s="15" t="s">
        <v>651</v>
      </c>
      <c r="E513" s="15" t="s">
        <v>652</v>
      </c>
      <c r="F513" s="15" t="s">
        <v>675</v>
      </c>
      <c r="G513" s="15" t="s">
        <v>62</v>
      </c>
      <c r="H513" s="15" t="s">
        <v>63</v>
      </c>
      <c r="I513" s="15" t="s">
        <v>654</v>
      </c>
    </row>
    <row r="514" customFormat="false" ht="23.25" hidden="false" customHeight="true" outlineLevel="0" collapsed="false">
      <c r="A514" s="14" t="n">
        <v>513</v>
      </c>
      <c r="B514" s="14" t="s">
        <v>649</v>
      </c>
      <c r="C514" s="14" t="s">
        <v>650</v>
      </c>
      <c r="D514" s="15" t="s">
        <v>651</v>
      </c>
      <c r="E514" s="15" t="s">
        <v>652</v>
      </c>
      <c r="F514" s="15" t="s">
        <v>676</v>
      </c>
      <c r="G514" s="15" t="s">
        <v>62</v>
      </c>
      <c r="H514" s="15" t="s">
        <v>63</v>
      </c>
      <c r="I514" s="15" t="s">
        <v>654</v>
      </c>
    </row>
    <row r="515" customFormat="false" ht="23.25" hidden="false" customHeight="true" outlineLevel="0" collapsed="false">
      <c r="A515" s="14" t="n">
        <v>514</v>
      </c>
      <c r="B515" s="14" t="s">
        <v>649</v>
      </c>
      <c r="C515" s="14" t="s">
        <v>650</v>
      </c>
      <c r="D515" s="15" t="s">
        <v>651</v>
      </c>
      <c r="E515" s="15" t="s">
        <v>652</v>
      </c>
      <c r="F515" s="15" t="s">
        <v>677</v>
      </c>
      <c r="G515" s="15" t="s">
        <v>62</v>
      </c>
      <c r="H515" s="15" t="s">
        <v>63</v>
      </c>
      <c r="I515" s="15" t="s">
        <v>654</v>
      </c>
    </row>
    <row r="516" customFormat="false" ht="23.25" hidden="false" customHeight="true" outlineLevel="0" collapsed="false">
      <c r="A516" s="14" t="n">
        <v>515</v>
      </c>
      <c r="B516" s="14" t="s">
        <v>649</v>
      </c>
      <c r="C516" s="14" t="s">
        <v>650</v>
      </c>
      <c r="D516" s="15" t="s">
        <v>651</v>
      </c>
      <c r="E516" s="15" t="s">
        <v>652</v>
      </c>
      <c r="F516" s="15" t="s">
        <v>678</v>
      </c>
      <c r="G516" s="15" t="s">
        <v>62</v>
      </c>
      <c r="H516" s="15" t="s">
        <v>63</v>
      </c>
      <c r="I516" s="15" t="s">
        <v>654</v>
      </c>
    </row>
    <row r="517" customFormat="false" ht="23.25" hidden="false" customHeight="true" outlineLevel="0" collapsed="false">
      <c r="A517" s="14" t="n">
        <v>516</v>
      </c>
      <c r="B517" s="14" t="s">
        <v>649</v>
      </c>
      <c r="C517" s="14" t="s">
        <v>650</v>
      </c>
      <c r="D517" s="15" t="s">
        <v>651</v>
      </c>
      <c r="E517" s="15" t="s">
        <v>652</v>
      </c>
      <c r="F517" s="15" t="s">
        <v>679</v>
      </c>
      <c r="G517" s="15" t="s">
        <v>62</v>
      </c>
      <c r="H517" s="15" t="s">
        <v>63</v>
      </c>
      <c r="I517" s="15" t="s">
        <v>654</v>
      </c>
    </row>
    <row r="518" customFormat="false" ht="23.25" hidden="false" customHeight="true" outlineLevel="0" collapsed="false">
      <c r="A518" s="14" t="n">
        <v>517</v>
      </c>
      <c r="B518" s="14" t="s">
        <v>680</v>
      </c>
      <c r="C518" s="14" t="s">
        <v>302</v>
      </c>
      <c r="D518" s="15" t="s">
        <v>681</v>
      </c>
      <c r="E518" s="15" t="s">
        <v>682</v>
      </c>
      <c r="F518" s="15" t="s">
        <v>683</v>
      </c>
      <c r="G518" s="15" t="s">
        <v>684</v>
      </c>
      <c r="H518" s="15" t="s">
        <v>685</v>
      </c>
      <c r="I518" s="15" t="s">
        <v>246</v>
      </c>
    </row>
    <row r="519" customFormat="false" ht="23.25" hidden="false" customHeight="true" outlineLevel="0" collapsed="false">
      <c r="A519" s="14" t="n">
        <v>518</v>
      </c>
      <c r="B519" s="14" t="s">
        <v>680</v>
      </c>
      <c r="C519" s="14" t="s">
        <v>302</v>
      </c>
      <c r="D519" s="15" t="s">
        <v>681</v>
      </c>
      <c r="E519" s="15" t="s">
        <v>682</v>
      </c>
      <c r="F519" s="15" t="s">
        <v>224</v>
      </c>
      <c r="G519" s="15" t="s">
        <v>62</v>
      </c>
      <c r="H519" s="15" t="s">
        <v>63</v>
      </c>
      <c r="I519" s="15" t="s">
        <v>246</v>
      </c>
    </row>
    <row r="520" customFormat="false" ht="23.25" hidden="false" customHeight="true" outlineLevel="0" collapsed="false">
      <c r="A520" s="14" t="n">
        <v>519</v>
      </c>
      <c r="B520" s="14" t="s">
        <v>680</v>
      </c>
      <c r="C520" s="14" t="s">
        <v>302</v>
      </c>
      <c r="D520" s="15" t="s">
        <v>681</v>
      </c>
      <c r="E520" s="15" t="s">
        <v>682</v>
      </c>
      <c r="F520" s="15" t="s">
        <v>458</v>
      </c>
      <c r="G520" s="15" t="s">
        <v>62</v>
      </c>
      <c r="H520" s="15" t="s">
        <v>63</v>
      </c>
      <c r="I520" s="15" t="s">
        <v>246</v>
      </c>
    </row>
    <row r="521" customFormat="false" ht="23.25" hidden="false" customHeight="true" outlineLevel="0" collapsed="false">
      <c r="A521" s="14" t="n">
        <v>520</v>
      </c>
      <c r="B521" s="14" t="s">
        <v>680</v>
      </c>
      <c r="C521" s="14" t="s">
        <v>302</v>
      </c>
      <c r="D521" s="15" t="s">
        <v>681</v>
      </c>
      <c r="E521" s="15" t="s">
        <v>682</v>
      </c>
      <c r="F521" s="15" t="s">
        <v>460</v>
      </c>
      <c r="G521" s="15" t="s">
        <v>62</v>
      </c>
      <c r="H521" s="15" t="s">
        <v>63</v>
      </c>
      <c r="I521" s="15" t="s">
        <v>246</v>
      </c>
    </row>
    <row r="522" customFormat="false" ht="23.25" hidden="false" customHeight="true" outlineLevel="0" collapsed="false">
      <c r="A522" s="14" t="n">
        <v>521</v>
      </c>
      <c r="B522" s="14" t="s">
        <v>680</v>
      </c>
      <c r="C522" s="14" t="s">
        <v>302</v>
      </c>
      <c r="D522" s="15" t="s">
        <v>681</v>
      </c>
      <c r="E522" s="15" t="s">
        <v>682</v>
      </c>
      <c r="F522" s="15" t="s">
        <v>419</v>
      </c>
      <c r="G522" s="15" t="s">
        <v>62</v>
      </c>
      <c r="H522" s="15" t="s">
        <v>63</v>
      </c>
      <c r="I522" s="15" t="s">
        <v>246</v>
      </c>
    </row>
    <row r="523" customFormat="false" ht="23.25" hidden="false" customHeight="true" outlineLevel="0" collapsed="false">
      <c r="A523" s="14" t="n">
        <v>522</v>
      </c>
      <c r="B523" s="14" t="s">
        <v>680</v>
      </c>
      <c r="C523" s="14" t="s">
        <v>302</v>
      </c>
      <c r="D523" s="15" t="s">
        <v>681</v>
      </c>
      <c r="E523" s="15" t="s">
        <v>682</v>
      </c>
      <c r="F523" s="15" t="s">
        <v>67</v>
      </c>
      <c r="G523" s="15" t="s">
        <v>62</v>
      </c>
      <c r="H523" s="15" t="s">
        <v>63</v>
      </c>
      <c r="I523" s="15" t="s">
        <v>246</v>
      </c>
    </row>
    <row r="524" customFormat="false" ht="23.25" hidden="false" customHeight="true" outlineLevel="0" collapsed="false">
      <c r="A524" s="14" t="n">
        <v>523</v>
      </c>
      <c r="B524" s="14" t="s">
        <v>680</v>
      </c>
      <c r="C524" s="14" t="s">
        <v>302</v>
      </c>
      <c r="D524" s="15" t="s">
        <v>681</v>
      </c>
      <c r="E524" s="15" t="s">
        <v>682</v>
      </c>
      <c r="F524" s="15" t="s">
        <v>686</v>
      </c>
      <c r="G524" s="15" t="s">
        <v>62</v>
      </c>
      <c r="H524" s="15" t="s">
        <v>63</v>
      </c>
      <c r="I524" s="15" t="s">
        <v>246</v>
      </c>
    </row>
    <row r="525" customFormat="false" ht="23.25" hidden="false" customHeight="true" outlineLevel="0" collapsed="false">
      <c r="A525" s="14" t="n">
        <v>524</v>
      </c>
      <c r="B525" s="14" t="s">
        <v>680</v>
      </c>
      <c r="C525" s="14" t="s">
        <v>302</v>
      </c>
      <c r="D525" s="15" t="s">
        <v>681</v>
      </c>
      <c r="E525" s="15" t="s">
        <v>682</v>
      </c>
      <c r="F525" s="15" t="s">
        <v>687</v>
      </c>
      <c r="G525" s="15" t="s">
        <v>62</v>
      </c>
      <c r="H525" s="15" t="s">
        <v>63</v>
      </c>
      <c r="I525" s="15" t="s">
        <v>246</v>
      </c>
    </row>
    <row r="526" customFormat="false" ht="23.25" hidden="false" customHeight="true" outlineLevel="0" collapsed="false">
      <c r="A526" s="14" t="n">
        <v>525</v>
      </c>
      <c r="B526" s="14" t="s">
        <v>680</v>
      </c>
      <c r="C526" s="14" t="s">
        <v>302</v>
      </c>
      <c r="D526" s="15" t="s">
        <v>681</v>
      </c>
      <c r="E526" s="15" t="s">
        <v>682</v>
      </c>
      <c r="F526" s="15" t="s">
        <v>688</v>
      </c>
      <c r="G526" s="15" t="s">
        <v>62</v>
      </c>
      <c r="H526" s="15" t="s">
        <v>63</v>
      </c>
      <c r="I526" s="15" t="s">
        <v>246</v>
      </c>
    </row>
    <row r="527" customFormat="false" ht="23.25" hidden="false" customHeight="true" outlineLevel="0" collapsed="false">
      <c r="A527" s="14" t="n">
        <v>526</v>
      </c>
      <c r="B527" s="14" t="s">
        <v>680</v>
      </c>
      <c r="C527" s="14" t="s">
        <v>302</v>
      </c>
      <c r="D527" s="15" t="s">
        <v>681</v>
      </c>
      <c r="E527" s="15" t="s">
        <v>682</v>
      </c>
      <c r="F527" s="15" t="s">
        <v>637</v>
      </c>
      <c r="G527" s="15" t="s">
        <v>62</v>
      </c>
      <c r="H527" s="15" t="s">
        <v>63</v>
      </c>
      <c r="I527" s="15" t="s">
        <v>246</v>
      </c>
    </row>
    <row r="528" customFormat="false" ht="23.25" hidden="false" customHeight="true" outlineLevel="0" collapsed="false">
      <c r="A528" s="14" t="n">
        <v>527</v>
      </c>
      <c r="B528" s="14" t="s">
        <v>680</v>
      </c>
      <c r="C528" s="14" t="s">
        <v>302</v>
      </c>
      <c r="D528" s="15" t="s">
        <v>681</v>
      </c>
      <c r="E528" s="15" t="s">
        <v>682</v>
      </c>
      <c r="F528" s="15" t="s">
        <v>671</v>
      </c>
      <c r="G528" s="15" t="s">
        <v>62</v>
      </c>
      <c r="H528" s="15" t="s">
        <v>63</v>
      </c>
      <c r="I528" s="15" t="s">
        <v>246</v>
      </c>
    </row>
    <row r="529" customFormat="false" ht="23.25" hidden="false" customHeight="true" outlineLevel="0" collapsed="false">
      <c r="A529" s="14" t="n">
        <v>528</v>
      </c>
      <c r="B529" s="14" t="s">
        <v>680</v>
      </c>
      <c r="C529" s="14" t="s">
        <v>302</v>
      </c>
      <c r="D529" s="15" t="s">
        <v>681</v>
      </c>
      <c r="E529" s="15" t="s">
        <v>682</v>
      </c>
      <c r="F529" s="15" t="s">
        <v>689</v>
      </c>
      <c r="G529" s="15" t="s">
        <v>62</v>
      </c>
      <c r="H529" s="15" t="s">
        <v>63</v>
      </c>
      <c r="I529" s="15" t="s">
        <v>246</v>
      </c>
    </row>
    <row r="530" customFormat="false" ht="23.25" hidden="false" customHeight="true" outlineLevel="0" collapsed="false">
      <c r="A530" s="14" t="n">
        <v>529</v>
      </c>
      <c r="B530" s="14" t="s">
        <v>680</v>
      </c>
      <c r="C530" s="14" t="s">
        <v>302</v>
      </c>
      <c r="D530" s="15" t="s">
        <v>681</v>
      </c>
      <c r="E530" s="15" t="s">
        <v>682</v>
      </c>
      <c r="F530" s="15" t="s">
        <v>690</v>
      </c>
      <c r="G530" s="15" t="s">
        <v>62</v>
      </c>
      <c r="H530" s="15" t="s">
        <v>63</v>
      </c>
      <c r="I530" s="15" t="s">
        <v>246</v>
      </c>
    </row>
    <row r="531" customFormat="false" ht="23.25" hidden="false" customHeight="true" outlineLevel="0" collapsed="false">
      <c r="A531" s="14" t="n">
        <v>530</v>
      </c>
      <c r="B531" s="14" t="s">
        <v>680</v>
      </c>
      <c r="C531" s="14" t="s">
        <v>302</v>
      </c>
      <c r="D531" s="15" t="s">
        <v>681</v>
      </c>
      <c r="E531" s="15" t="s">
        <v>682</v>
      </c>
      <c r="F531" s="15" t="s">
        <v>535</v>
      </c>
      <c r="G531" s="15" t="s">
        <v>62</v>
      </c>
      <c r="H531" s="15" t="s">
        <v>63</v>
      </c>
      <c r="I531" s="15" t="s">
        <v>246</v>
      </c>
    </row>
    <row r="532" customFormat="false" ht="23.25" hidden="false" customHeight="true" outlineLevel="0" collapsed="false">
      <c r="A532" s="14" t="n">
        <v>531</v>
      </c>
      <c r="B532" s="14" t="s">
        <v>680</v>
      </c>
      <c r="C532" s="14" t="s">
        <v>302</v>
      </c>
      <c r="D532" s="15" t="s">
        <v>681</v>
      </c>
      <c r="E532" s="15" t="s">
        <v>682</v>
      </c>
      <c r="F532" s="15" t="s">
        <v>691</v>
      </c>
      <c r="G532" s="15" t="s">
        <v>62</v>
      </c>
      <c r="H532" s="15" t="s">
        <v>63</v>
      </c>
      <c r="I532" s="15" t="s">
        <v>246</v>
      </c>
    </row>
    <row r="533" customFormat="false" ht="23.25" hidden="false" customHeight="true" outlineLevel="0" collapsed="false">
      <c r="A533" s="14" t="n">
        <v>532</v>
      </c>
      <c r="B533" s="14" t="s">
        <v>680</v>
      </c>
      <c r="C533" s="14" t="s">
        <v>302</v>
      </c>
      <c r="D533" s="15" t="s">
        <v>681</v>
      </c>
      <c r="E533" s="15" t="s">
        <v>682</v>
      </c>
      <c r="F533" s="15" t="s">
        <v>692</v>
      </c>
      <c r="G533" s="15" t="s">
        <v>62</v>
      </c>
      <c r="H533" s="15" t="s">
        <v>63</v>
      </c>
      <c r="I533" s="15" t="s">
        <v>246</v>
      </c>
    </row>
    <row r="534" customFormat="false" ht="23.25" hidden="false" customHeight="true" outlineLevel="0" collapsed="false">
      <c r="A534" s="14" t="n">
        <v>533</v>
      </c>
      <c r="B534" s="14" t="s">
        <v>680</v>
      </c>
      <c r="C534" s="14" t="s">
        <v>302</v>
      </c>
      <c r="D534" s="15" t="s">
        <v>681</v>
      </c>
      <c r="E534" s="15" t="s">
        <v>682</v>
      </c>
      <c r="F534" s="15" t="s">
        <v>32</v>
      </c>
      <c r="G534" s="15" t="s">
        <v>62</v>
      </c>
      <c r="H534" s="15" t="s">
        <v>63</v>
      </c>
      <c r="I534" s="15" t="s">
        <v>246</v>
      </c>
    </row>
    <row r="535" customFormat="false" ht="23.25" hidden="false" customHeight="true" outlineLevel="0" collapsed="false">
      <c r="A535" s="14" t="n">
        <v>534</v>
      </c>
      <c r="B535" s="14" t="s">
        <v>693</v>
      </c>
      <c r="C535" s="14" t="s">
        <v>302</v>
      </c>
      <c r="D535" s="15" t="s">
        <v>694</v>
      </c>
      <c r="E535" s="15" t="s">
        <v>695</v>
      </c>
      <c r="F535" s="15" t="s">
        <v>696</v>
      </c>
      <c r="G535" s="15" t="s">
        <v>697</v>
      </c>
      <c r="H535" s="15" t="s">
        <v>63</v>
      </c>
      <c r="I535" s="15" t="s">
        <v>698</v>
      </c>
    </row>
    <row r="536" customFormat="false" ht="23.25" hidden="false" customHeight="true" outlineLevel="0" collapsed="false">
      <c r="A536" s="14" t="n">
        <v>535</v>
      </c>
      <c r="B536" s="14" t="s">
        <v>693</v>
      </c>
      <c r="C536" s="14" t="s">
        <v>302</v>
      </c>
      <c r="D536" s="15" t="s">
        <v>694</v>
      </c>
      <c r="E536" s="15" t="s">
        <v>695</v>
      </c>
      <c r="F536" s="15" t="s">
        <v>699</v>
      </c>
      <c r="G536" s="15" t="s">
        <v>697</v>
      </c>
      <c r="H536" s="15" t="s">
        <v>63</v>
      </c>
      <c r="I536" s="15" t="s">
        <v>698</v>
      </c>
    </row>
    <row r="537" customFormat="false" ht="23.25" hidden="false" customHeight="true" outlineLevel="0" collapsed="false">
      <c r="A537" s="14" t="n">
        <v>536</v>
      </c>
      <c r="B537" s="14" t="s">
        <v>693</v>
      </c>
      <c r="C537" s="14" t="s">
        <v>302</v>
      </c>
      <c r="D537" s="15" t="s">
        <v>694</v>
      </c>
      <c r="E537" s="15" t="s">
        <v>695</v>
      </c>
      <c r="F537" s="15" t="s">
        <v>134</v>
      </c>
      <c r="G537" s="15" t="s">
        <v>697</v>
      </c>
      <c r="H537" s="15" t="s">
        <v>63</v>
      </c>
      <c r="I537" s="15" t="s">
        <v>698</v>
      </c>
    </row>
    <row r="538" customFormat="false" ht="23.25" hidden="false" customHeight="true" outlineLevel="0" collapsed="false">
      <c r="A538" s="14" t="n">
        <v>537</v>
      </c>
      <c r="B538" s="14" t="s">
        <v>693</v>
      </c>
      <c r="C538" s="14" t="s">
        <v>302</v>
      </c>
      <c r="D538" s="15" t="s">
        <v>694</v>
      </c>
      <c r="E538" s="15" t="s">
        <v>695</v>
      </c>
      <c r="F538" s="15" t="s">
        <v>137</v>
      </c>
      <c r="G538" s="15" t="s">
        <v>697</v>
      </c>
      <c r="H538" s="15" t="s">
        <v>63</v>
      </c>
      <c r="I538" s="15" t="s">
        <v>698</v>
      </c>
    </row>
    <row r="539" customFormat="false" ht="23.25" hidden="false" customHeight="true" outlineLevel="0" collapsed="false">
      <c r="A539" s="14" t="n">
        <v>538</v>
      </c>
      <c r="B539" s="14" t="s">
        <v>693</v>
      </c>
      <c r="C539" s="14" t="s">
        <v>302</v>
      </c>
      <c r="D539" s="15" t="s">
        <v>694</v>
      </c>
      <c r="E539" s="15" t="s">
        <v>695</v>
      </c>
      <c r="F539" s="15" t="s">
        <v>307</v>
      </c>
      <c r="G539" s="15" t="s">
        <v>697</v>
      </c>
      <c r="H539" s="15" t="s">
        <v>63</v>
      </c>
      <c r="I539" s="15" t="s">
        <v>698</v>
      </c>
    </row>
    <row r="540" customFormat="false" ht="23.25" hidden="false" customHeight="true" outlineLevel="0" collapsed="false">
      <c r="A540" s="14" t="n">
        <v>539</v>
      </c>
      <c r="B540" s="14" t="s">
        <v>693</v>
      </c>
      <c r="C540" s="14" t="s">
        <v>302</v>
      </c>
      <c r="D540" s="15" t="s">
        <v>694</v>
      </c>
      <c r="E540" s="15" t="s">
        <v>695</v>
      </c>
      <c r="F540" s="15" t="s">
        <v>67</v>
      </c>
      <c r="G540" s="15" t="s">
        <v>697</v>
      </c>
      <c r="H540" s="15" t="s">
        <v>63</v>
      </c>
      <c r="I540" s="15" t="s">
        <v>698</v>
      </c>
    </row>
    <row r="541" customFormat="false" ht="23.25" hidden="false" customHeight="true" outlineLevel="0" collapsed="false">
      <c r="A541" s="14" t="n">
        <v>540</v>
      </c>
      <c r="B541" s="14" t="s">
        <v>693</v>
      </c>
      <c r="C541" s="14" t="s">
        <v>302</v>
      </c>
      <c r="D541" s="15" t="s">
        <v>694</v>
      </c>
      <c r="E541" s="15" t="s">
        <v>695</v>
      </c>
      <c r="F541" s="15" t="s">
        <v>700</v>
      </c>
      <c r="G541" s="15" t="s">
        <v>697</v>
      </c>
      <c r="H541" s="15" t="s">
        <v>63</v>
      </c>
      <c r="I541" s="15" t="s">
        <v>698</v>
      </c>
    </row>
    <row r="542" customFormat="false" ht="23.25" hidden="false" customHeight="true" outlineLevel="0" collapsed="false">
      <c r="A542" s="14" t="n">
        <v>541</v>
      </c>
      <c r="B542" s="14" t="s">
        <v>693</v>
      </c>
      <c r="C542" s="14" t="s">
        <v>302</v>
      </c>
      <c r="D542" s="15" t="s">
        <v>694</v>
      </c>
      <c r="E542" s="15" t="s">
        <v>695</v>
      </c>
      <c r="F542" s="15" t="s">
        <v>701</v>
      </c>
      <c r="G542" s="15" t="s">
        <v>697</v>
      </c>
      <c r="H542" s="15" t="s">
        <v>63</v>
      </c>
      <c r="I542" s="15" t="s">
        <v>698</v>
      </c>
    </row>
    <row r="543" customFormat="false" ht="23.25" hidden="false" customHeight="true" outlineLevel="0" collapsed="false">
      <c r="A543" s="14" t="n">
        <v>542</v>
      </c>
      <c r="B543" s="14" t="s">
        <v>693</v>
      </c>
      <c r="C543" s="14" t="s">
        <v>302</v>
      </c>
      <c r="D543" s="15" t="s">
        <v>694</v>
      </c>
      <c r="E543" s="15" t="s">
        <v>695</v>
      </c>
      <c r="F543" s="15" t="s">
        <v>702</v>
      </c>
      <c r="G543" s="15" t="s">
        <v>697</v>
      </c>
      <c r="H543" s="15" t="s">
        <v>63</v>
      </c>
      <c r="I543" s="15" t="s">
        <v>698</v>
      </c>
    </row>
    <row r="544" customFormat="false" ht="23.25" hidden="false" customHeight="true" outlineLevel="0" collapsed="false">
      <c r="A544" s="14" t="n">
        <v>543</v>
      </c>
      <c r="B544" s="14" t="s">
        <v>693</v>
      </c>
      <c r="C544" s="14" t="s">
        <v>302</v>
      </c>
      <c r="D544" s="15" t="s">
        <v>694</v>
      </c>
      <c r="E544" s="15" t="s">
        <v>695</v>
      </c>
      <c r="F544" s="15" t="s">
        <v>703</v>
      </c>
      <c r="G544" s="15" t="s">
        <v>697</v>
      </c>
      <c r="H544" s="15" t="s">
        <v>63</v>
      </c>
      <c r="I544" s="15" t="s">
        <v>698</v>
      </c>
    </row>
    <row r="545" customFormat="false" ht="23.25" hidden="false" customHeight="true" outlineLevel="0" collapsed="false">
      <c r="A545" s="14" t="n">
        <v>544</v>
      </c>
      <c r="B545" s="14" t="s">
        <v>693</v>
      </c>
      <c r="C545" s="14" t="s">
        <v>302</v>
      </c>
      <c r="D545" s="15" t="s">
        <v>694</v>
      </c>
      <c r="E545" s="15" t="s">
        <v>695</v>
      </c>
      <c r="F545" s="15" t="s">
        <v>475</v>
      </c>
      <c r="G545" s="15" t="s">
        <v>697</v>
      </c>
      <c r="H545" s="15" t="s">
        <v>63</v>
      </c>
      <c r="I545" s="15" t="s">
        <v>698</v>
      </c>
    </row>
    <row r="546" customFormat="false" ht="23.25" hidden="false" customHeight="true" outlineLevel="0" collapsed="false">
      <c r="A546" s="14" t="n">
        <v>545</v>
      </c>
      <c r="B546" s="14" t="s">
        <v>693</v>
      </c>
      <c r="C546" s="14" t="s">
        <v>302</v>
      </c>
      <c r="D546" s="15" t="s">
        <v>694</v>
      </c>
      <c r="E546" s="15" t="s">
        <v>695</v>
      </c>
      <c r="F546" s="15" t="s">
        <v>36</v>
      </c>
      <c r="G546" s="15" t="s">
        <v>697</v>
      </c>
      <c r="H546" s="15" t="s">
        <v>63</v>
      </c>
      <c r="I546" s="15" t="s">
        <v>698</v>
      </c>
    </row>
    <row r="547" customFormat="false" ht="23.25" hidden="false" customHeight="true" outlineLevel="0" collapsed="false">
      <c r="A547" s="14" t="n">
        <v>546</v>
      </c>
      <c r="B547" s="14" t="s">
        <v>693</v>
      </c>
      <c r="C547" s="14" t="s">
        <v>302</v>
      </c>
      <c r="D547" s="15" t="s">
        <v>694</v>
      </c>
      <c r="E547" s="15" t="s">
        <v>695</v>
      </c>
      <c r="F547" s="15" t="s">
        <v>704</v>
      </c>
      <c r="G547" s="15" t="s">
        <v>697</v>
      </c>
      <c r="H547" s="15" t="s">
        <v>63</v>
      </c>
      <c r="I547" s="15" t="s">
        <v>698</v>
      </c>
    </row>
    <row r="548" customFormat="false" ht="23.25" hidden="false" customHeight="true" outlineLevel="0" collapsed="false">
      <c r="A548" s="14" t="n">
        <v>547</v>
      </c>
      <c r="B548" s="14" t="s">
        <v>693</v>
      </c>
      <c r="C548" s="14" t="s">
        <v>302</v>
      </c>
      <c r="D548" s="15" t="s">
        <v>694</v>
      </c>
      <c r="E548" s="15" t="s">
        <v>695</v>
      </c>
      <c r="F548" s="15" t="s">
        <v>705</v>
      </c>
      <c r="G548" s="15" t="s">
        <v>697</v>
      </c>
      <c r="H548" s="15" t="s">
        <v>63</v>
      </c>
      <c r="I548" s="15" t="s">
        <v>698</v>
      </c>
    </row>
    <row r="549" customFormat="false" ht="23.25" hidden="false" customHeight="true" outlineLevel="0" collapsed="false">
      <c r="A549" s="14" t="n">
        <v>548</v>
      </c>
      <c r="B549" s="14" t="s">
        <v>693</v>
      </c>
      <c r="C549" s="14" t="s">
        <v>302</v>
      </c>
      <c r="D549" s="15" t="s">
        <v>694</v>
      </c>
      <c r="E549" s="15" t="s">
        <v>695</v>
      </c>
      <c r="F549" s="15" t="s">
        <v>144</v>
      </c>
      <c r="G549" s="15" t="s">
        <v>697</v>
      </c>
      <c r="H549" s="15" t="s">
        <v>63</v>
      </c>
      <c r="I549" s="15" t="s">
        <v>698</v>
      </c>
    </row>
    <row r="550" customFormat="false" ht="23.25" hidden="false" customHeight="true" outlineLevel="0" collapsed="false">
      <c r="A550" s="14" t="n">
        <v>549</v>
      </c>
      <c r="B550" s="14" t="s">
        <v>693</v>
      </c>
      <c r="C550" s="14" t="s">
        <v>302</v>
      </c>
      <c r="D550" s="15" t="s">
        <v>694</v>
      </c>
      <c r="E550" s="15" t="s">
        <v>695</v>
      </c>
      <c r="F550" s="15" t="s">
        <v>28</v>
      </c>
      <c r="G550" s="15" t="s">
        <v>697</v>
      </c>
      <c r="H550" s="15" t="s">
        <v>63</v>
      </c>
      <c r="I550" s="15" t="s">
        <v>698</v>
      </c>
    </row>
    <row r="551" customFormat="false" ht="23.25" hidden="false" customHeight="true" outlineLevel="0" collapsed="false">
      <c r="A551" s="14" t="n">
        <v>550</v>
      </c>
      <c r="B551" s="14" t="s">
        <v>693</v>
      </c>
      <c r="C551" s="14" t="s">
        <v>302</v>
      </c>
      <c r="D551" s="15" t="s">
        <v>694</v>
      </c>
      <c r="E551" s="15" t="s">
        <v>695</v>
      </c>
      <c r="F551" s="15" t="s">
        <v>706</v>
      </c>
      <c r="G551" s="15" t="s">
        <v>697</v>
      </c>
      <c r="H551" s="15" t="s">
        <v>63</v>
      </c>
      <c r="I551" s="15" t="s">
        <v>698</v>
      </c>
    </row>
    <row r="552" customFormat="false" ht="23.25" hidden="false" customHeight="true" outlineLevel="0" collapsed="false">
      <c r="A552" s="14" t="n">
        <v>551</v>
      </c>
      <c r="B552" s="14" t="s">
        <v>693</v>
      </c>
      <c r="C552" s="14" t="s">
        <v>302</v>
      </c>
      <c r="D552" s="15" t="s">
        <v>694</v>
      </c>
      <c r="E552" s="15" t="s">
        <v>695</v>
      </c>
      <c r="F552" s="15" t="s">
        <v>32</v>
      </c>
      <c r="G552" s="15" t="s">
        <v>697</v>
      </c>
      <c r="H552" s="15" t="s">
        <v>63</v>
      </c>
      <c r="I552" s="15" t="s">
        <v>698</v>
      </c>
    </row>
    <row r="553" customFormat="false" ht="23.25" hidden="false" customHeight="true" outlineLevel="0" collapsed="false">
      <c r="A553" s="14" t="n">
        <v>552</v>
      </c>
      <c r="B553" s="14" t="s">
        <v>693</v>
      </c>
      <c r="C553" s="14" t="s">
        <v>302</v>
      </c>
      <c r="D553" s="15" t="s">
        <v>694</v>
      </c>
      <c r="E553" s="15" t="s">
        <v>695</v>
      </c>
      <c r="F553" s="15" t="s">
        <v>424</v>
      </c>
      <c r="G553" s="15" t="s">
        <v>697</v>
      </c>
      <c r="H553" s="15" t="s">
        <v>63</v>
      </c>
      <c r="I553" s="15" t="s">
        <v>698</v>
      </c>
    </row>
    <row r="554" customFormat="false" ht="23.25" hidden="false" customHeight="true" outlineLevel="0" collapsed="false">
      <c r="A554" s="14" t="n">
        <v>553</v>
      </c>
      <c r="B554" s="14" t="s">
        <v>693</v>
      </c>
      <c r="C554" s="14" t="s">
        <v>302</v>
      </c>
      <c r="D554" s="15" t="s">
        <v>694</v>
      </c>
      <c r="E554" s="15" t="s">
        <v>695</v>
      </c>
      <c r="F554" s="15" t="s">
        <v>707</v>
      </c>
      <c r="G554" s="15" t="s">
        <v>697</v>
      </c>
      <c r="H554" s="15" t="s">
        <v>63</v>
      </c>
      <c r="I554" s="15" t="s">
        <v>698</v>
      </c>
    </row>
    <row r="555" customFormat="false" ht="23.25" hidden="false" customHeight="true" outlineLevel="0" collapsed="false">
      <c r="A555" s="14" t="n">
        <v>554</v>
      </c>
      <c r="B555" s="14" t="s">
        <v>693</v>
      </c>
      <c r="C555" s="14" t="s">
        <v>302</v>
      </c>
      <c r="D555" s="15" t="s">
        <v>694</v>
      </c>
      <c r="E555" s="15" t="s">
        <v>695</v>
      </c>
      <c r="F555" s="15" t="s">
        <v>708</v>
      </c>
      <c r="G555" s="15" t="s">
        <v>697</v>
      </c>
      <c r="H555" s="15" t="s">
        <v>63</v>
      </c>
      <c r="I555" s="15" t="s">
        <v>698</v>
      </c>
    </row>
    <row r="556" customFormat="false" ht="23.25" hidden="false" customHeight="true" outlineLevel="0" collapsed="false">
      <c r="A556" s="14" t="n">
        <v>555</v>
      </c>
      <c r="B556" s="14" t="s">
        <v>693</v>
      </c>
      <c r="C556" s="14" t="s">
        <v>302</v>
      </c>
      <c r="D556" s="15" t="s">
        <v>694</v>
      </c>
      <c r="E556" s="15" t="s">
        <v>695</v>
      </c>
      <c r="F556" s="15" t="s">
        <v>709</v>
      </c>
      <c r="G556" s="15" t="s">
        <v>697</v>
      </c>
      <c r="H556" s="15" t="s">
        <v>63</v>
      </c>
      <c r="I556" s="15" t="s">
        <v>698</v>
      </c>
    </row>
    <row r="557" customFormat="false" ht="23.25" hidden="false" customHeight="true" outlineLevel="0" collapsed="false">
      <c r="A557" s="14" t="n">
        <v>556</v>
      </c>
      <c r="B557" s="14" t="s">
        <v>693</v>
      </c>
      <c r="C557" s="14" t="s">
        <v>302</v>
      </c>
      <c r="D557" s="15" t="s">
        <v>694</v>
      </c>
      <c r="E557" s="15" t="s">
        <v>695</v>
      </c>
      <c r="F557" s="15" t="s">
        <v>710</v>
      </c>
      <c r="G557" s="15" t="s">
        <v>697</v>
      </c>
      <c r="H557" s="15" t="s">
        <v>63</v>
      </c>
      <c r="I557" s="15" t="s">
        <v>698</v>
      </c>
    </row>
    <row r="558" customFormat="false" ht="23.25" hidden="false" customHeight="true" outlineLevel="0" collapsed="false">
      <c r="A558" s="14" t="n">
        <v>557</v>
      </c>
      <c r="B558" s="14" t="s">
        <v>711</v>
      </c>
      <c r="C558" s="14" t="s">
        <v>712</v>
      </c>
      <c r="D558" s="15" t="s">
        <v>713</v>
      </c>
      <c r="E558" s="15" t="s">
        <v>714</v>
      </c>
      <c r="F558" s="15" t="s">
        <v>715</v>
      </c>
      <c r="G558" s="15" t="s">
        <v>716</v>
      </c>
      <c r="H558" s="15" t="s">
        <v>63</v>
      </c>
      <c r="I558" s="15" t="s">
        <v>717</v>
      </c>
    </row>
    <row r="559" customFormat="false" ht="23.25" hidden="false" customHeight="true" outlineLevel="0" collapsed="false">
      <c r="A559" s="14" t="n">
        <v>558</v>
      </c>
      <c r="B559" s="14" t="s">
        <v>711</v>
      </c>
      <c r="C559" s="14" t="s">
        <v>712</v>
      </c>
      <c r="D559" s="15" t="s">
        <v>713</v>
      </c>
      <c r="E559" s="15" t="s">
        <v>714</v>
      </c>
      <c r="F559" s="15" t="s">
        <v>718</v>
      </c>
      <c r="G559" s="15" t="s">
        <v>323</v>
      </c>
      <c r="H559" s="15" t="s">
        <v>63</v>
      </c>
      <c r="I559" s="15" t="s">
        <v>717</v>
      </c>
    </row>
    <row r="560" customFormat="false" ht="23.25" hidden="false" customHeight="true" outlineLevel="0" collapsed="false">
      <c r="A560" s="14" t="n">
        <v>559</v>
      </c>
      <c r="B560" s="14" t="s">
        <v>711</v>
      </c>
      <c r="C560" s="14" t="s">
        <v>712</v>
      </c>
      <c r="D560" s="15" t="s">
        <v>713</v>
      </c>
      <c r="E560" s="15" t="s">
        <v>714</v>
      </c>
      <c r="F560" s="15" t="s">
        <v>719</v>
      </c>
      <c r="G560" s="15" t="s">
        <v>720</v>
      </c>
      <c r="H560" s="15" t="s">
        <v>63</v>
      </c>
      <c r="I560" s="15" t="s">
        <v>717</v>
      </c>
    </row>
    <row r="561" customFormat="false" ht="23.25" hidden="false" customHeight="true" outlineLevel="0" collapsed="false">
      <c r="A561" s="14" t="n">
        <v>560</v>
      </c>
      <c r="B561" s="14" t="s">
        <v>711</v>
      </c>
      <c r="C561" s="14" t="s">
        <v>712</v>
      </c>
      <c r="D561" s="15" t="s">
        <v>713</v>
      </c>
      <c r="E561" s="15" t="s">
        <v>714</v>
      </c>
      <c r="F561" s="15" t="s">
        <v>721</v>
      </c>
      <c r="G561" s="15" t="s">
        <v>722</v>
      </c>
      <c r="H561" s="15" t="s">
        <v>723</v>
      </c>
      <c r="I561" s="15" t="s">
        <v>717</v>
      </c>
    </row>
    <row r="562" customFormat="false" ht="23.25" hidden="false" customHeight="true" outlineLevel="0" collapsed="false">
      <c r="A562" s="14" t="n">
        <v>561</v>
      </c>
      <c r="B562" s="14" t="s">
        <v>711</v>
      </c>
      <c r="C562" s="14" t="s">
        <v>712</v>
      </c>
      <c r="D562" s="15" t="s">
        <v>713</v>
      </c>
      <c r="E562" s="15" t="s">
        <v>714</v>
      </c>
      <c r="F562" s="15" t="s">
        <v>724</v>
      </c>
      <c r="G562" s="15" t="s">
        <v>62</v>
      </c>
      <c r="H562" s="15" t="s">
        <v>725</v>
      </c>
      <c r="I562" s="15" t="s">
        <v>717</v>
      </c>
    </row>
    <row r="563" customFormat="false" ht="23.25" hidden="false" customHeight="true" outlineLevel="0" collapsed="false">
      <c r="A563" s="14" t="n">
        <v>562</v>
      </c>
      <c r="B563" s="14" t="s">
        <v>711</v>
      </c>
      <c r="C563" s="14" t="s">
        <v>712</v>
      </c>
      <c r="D563" s="15" t="s">
        <v>713</v>
      </c>
      <c r="E563" s="15" t="s">
        <v>714</v>
      </c>
      <c r="F563" s="15" t="s">
        <v>726</v>
      </c>
      <c r="G563" s="15" t="s">
        <v>727</v>
      </c>
      <c r="H563" s="15" t="s">
        <v>63</v>
      </c>
      <c r="I563" s="15" t="s">
        <v>717</v>
      </c>
    </row>
    <row r="564" customFormat="false" ht="23.25" hidden="false" customHeight="true" outlineLevel="0" collapsed="false">
      <c r="A564" s="14" t="n">
        <v>563</v>
      </c>
      <c r="B564" s="14" t="s">
        <v>711</v>
      </c>
      <c r="C564" s="14" t="s">
        <v>712</v>
      </c>
      <c r="D564" s="15" t="s">
        <v>713</v>
      </c>
      <c r="E564" s="15" t="s">
        <v>714</v>
      </c>
      <c r="F564" s="15" t="s">
        <v>728</v>
      </c>
      <c r="G564" s="15" t="s">
        <v>729</v>
      </c>
      <c r="H564" s="15" t="s">
        <v>63</v>
      </c>
      <c r="I564" s="15" t="s">
        <v>717</v>
      </c>
    </row>
    <row r="565" customFormat="false" ht="23.25" hidden="false" customHeight="true" outlineLevel="0" collapsed="false">
      <c r="A565" s="14" t="n">
        <v>564</v>
      </c>
      <c r="B565" s="14" t="s">
        <v>711</v>
      </c>
      <c r="C565" s="14" t="s">
        <v>712</v>
      </c>
      <c r="D565" s="15" t="s">
        <v>713</v>
      </c>
      <c r="E565" s="15" t="s">
        <v>714</v>
      </c>
      <c r="F565" s="15" t="s">
        <v>730</v>
      </c>
      <c r="G565" s="15" t="s">
        <v>731</v>
      </c>
      <c r="H565" s="15" t="s">
        <v>63</v>
      </c>
      <c r="I565" s="15" t="s">
        <v>717</v>
      </c>
    </row>
    <row r="566" customFormat="false" ht="23.25" hidden="false" customHeight="true" outlineLevel="0" collapsed="false">
      <c r="A566" s="14" t="n">
        <v>565</v>
      </c>
      <c r="B566" s="14" t="s">
        <v>711</v>
      </c>
      <c r="C566" s="14" t="s">
        <v>712</v>
      </c>
      <c r="D566" s="15" t="s">
        <v>713</v>
      </c>
      <c r="E566" s="15" t="s">
        <v>714</v>
      </c>
      <c r="F566" s="15" t="s">
        <v>732</v>
      </c>
      <c r="G566" s="15" t="s">
        <v>733</v>
      </c>
      <c r="H566" s="15" t="s">
        <v>63</v>
      </c>
      <c r="I566" s="15" t="s">
        <v>717</v>
      </c>
    </row>
    <row r="567" customFormat="false" ht="23.25" hidden="false" customHeight="true" outlineLevel="0" collapsed="false">
      <c r="A567" s="14" t="n">
        <v>566</v>
      </c>
      <c r="B567" s="14" t="s">
        <v>711</v>
      </c>
      <c r="C567" s="14" t="s">
        <v>712</v>
      </c>
      <c r="D567" s="15" t="s">
        <v>713</v>
      </c>
      <c r="E567" s="15" t="s">
        <v>714</v>
      </c>
      <c r="F567" s="15" t="s">
        <v>734</v>
      </c>
      <c r="G567" s="15" t="s">
        <v>735</v>
      </c>
      <c r="H567" s="15" t="s">
        <v>63</v>
      </c>
      <c r="I567" s="15" t="s">
        <v>717</v>
      </c>
    </row>
    <row r="568" customFormat="false" ht="23.25" hidden="false" customHeight="true" outlineLevel="0" collapsed="false">
      <c r="A568" s="14" t="n">
        <v>567</v>
      </c>
      <c r="B568" s="14" t="s">
        <v>711</v>
      </c>
      <c r="C568" s="14" t="s">
        <v>712</v>
      </c>
      <c r="D568" s="15" t="s">
        <v>713</v>
      </c>
      <c r="E568" s="15" t="s">
        <v>714</v>
      </c>
      <c r="F568" s="15" t="s">
        <v>736</v>
      </c>
      <c r="G568" s="15" t="s">
        <v>62</v>
      </c>
      <c r="H568" s="15" t="s">
        <v>63</v>
      </c>
      <c r="I568" s="15" t="s">
        <v>717</v>
      </c>
    </row>
    <row r="569" customFormat="false" ht="23.25" hidden="false" customHeight="true" outlineLevel="0" collapsed="false">
      <c r="A569" s="14" t="n">
        <v>568</v>
      </c>
      <c r="B569" s="14" t="s">
        <v>711</v>
      </c>
      <c r="C569" s="14" t="s">
        <v>712</v>
      </c>
      <c r="D569" s="15" t="s">
        <v>713</v>
      </c>
      <c r="E569" s="15" t="s">
        <v>714</v>
      </c>
      <c r="F569" s="15" t="s">
        <v>737</v>
      </c>
      <c r="G569" s="15" t="s">
        <v>62</v>
      </c>
      <c r="H569" s="15" t="s">
        <v>63</v>
      </c>
      <c r="I569" s="15" t="s">
        <v>717</v>
      </c>
    </row>
    <row r="570" customFormat="false" ht="23.25" hidden="false" customHeight="true" outlineLevel="0" collapsed="false">
      <c r="A570" s="14" t="n">
        <v>569</v>
      </c>
      <c r="B570" s="14" t="s">
        <v>711</v>
      </c>
      <c r="C570" s="14" t="s">
        <v>712</v>
      </c>
      <c r="D570" s="15" t="s">
        <v>713</v>
      </c>
      <c r="E570" s="15" t="s">
        <v>714</v>
      </c>
      <c r="F570" s="15" t="s">
        <v>738</v>
      </c>
      <c r="G570" s="15" t="s">
        <v>62</v>
      </c>
      <c r="H570" s="15" t="s">
        <v>63</v>
      </c>
      <c r="I570" s="15" t="s">
        <v>717</v>
      </c>
    </row>
    <row r="571" customFormat="false" ht="23.25" hidden="false" customHeight="true" outlineLevel="0" collapsed="false">
      <c r="A571" s="14" t="n">
        <v>570</v>
      </c>
      <c r="B571" s="14" t="s">
        <v>711</v>
      </c>
      <c r="C571" s="14" t="s">
        <v>712</v>
      </c>
      <c r="D571" s="15" t="s">
        <v>713</v>
      </c>
      <c r="E571" s="15" t="s">
        <v>714</v>
      </c>
      <c r="F571" s="15" t="s">
        <v>739</v>
      </c>
      <c r="G571" s="15" t="s">
        <v>62</v>
      </c>
      <c r="H571" s="15" t="s">
        <v>63</v>
      </c>
      <c r="I571" s="15" t="s">
        <v>717</v>
      </c>
    </row>
    <row r="572" customFormat="false" ht="23.25" hidden="false" customHeight="true" outlineLevel="0" collapsed="false">
      <c r="A572" s="14" t="n">
        <v>571</v>
      </c>
      <c r="B572" s="14" t="s">
        <v>711</v>
      </c>
      <c r="C572" s="14" t="s">
        <v>712</v>
      </c>
      <c r="D572" s="15" t="s">
        <v>713</v>
      </c>
      <c r="E572" s="15" t="s">
        <v>714</v>
      </c>
      <c r="F572" s="15" t="s">
        <v>740</v>
      </c>
      <c r="G572" s="15" t="s">
        <v>62</v>
      </c>
      <c r="H572" s="15" t="s">
        <v>63</v>
      </c>
      <c r="I572" s="15" t="s">
        <v>717</v>
      </c>
    </row>
    <row r="573" customFormat="false" ht="23.25" hidden="false" customHeight="true" outlineLevel="0" collapsed="false">
      <c r="A573" s="14" t="n">
        <v>572</v>
      </c>
      <c r="B573" s="14" t="s">
        <v>711</v>
      </c>
      <c r="C573" s="14" t="s">
        <v>712</v>
      </c>
      <c r="D573" s="15" t="s">
        <v>713</v>
      </c>
      <c r="E573" s="15" t="s">
        <v>714</v>
      </c>
      <c r="F573" s="15" t="s">
        <v>741</v>
      </c>
      <c r="G573" s="15" t="s">
        <v>62</v>
      </c>
      <c r="H573" s="15" t="s">
        <v>63</v>
      </c>
      <c r="I573" s="15" t="s">
        <v>717</v>
      </c>
    </row>
    <row r="574" customFormat="false" ht="23.25" hidden="false" customHeight="true" outlineLevel="0" collapsed="false">
      <c r="A574" s="14" t="n">
        <v>573</v>
      </c>
      <c r="B574" s="14" t="s">
        <v>711</v>
      </c>
      <c r="C574" s="14" t="s">
        <v>712</v>
      </c>
      <c r="D574" s="15" t="s">
        <v>713</v>
      </c>
      <c r="E574" s="15" t="s">
        <v>714</v>
      </c>
      <c r="F574" s="15" t="s">
        <v>742</v>
      </c>
      <c r="G574" s="15" t="s">
        <v>62</v>
      </c>
      <c r="H574" s="15" t="s">
        <v>63</v>
      </c>
      <c r="I574" s="15" t="s">
        <v>717</v>
      </c>
    </row>
    <row r="575" customFormat="false" ht="23.25" hidden="false" customHeight="true" outlineLevel="0" collapsed="false">
      <c r="A575" s="14" t="n">
        <v>574</v>
      </c>
      <c r="B575" s="14" t="s">
        <v>711</v>
      </c>
      <c r="C575" s="14" t="s">
        <v>712</v>
      </c>
      <c r="D575" s="15" t="s">
        <v>713</v>
      </c>
      <c r="E575" s="15" t="s">
        <v>714</v>
      </c>
      <c r="F575" s="15" t="s">
        <v>743</v>
      </c>
      <c r="G575" s="15" t="s">
        <v>62</v>
      </c>
      <c r="H575" s="15" t="s">
        <v>63</v>
      </c>
      <c r="I575" s="15" t="s">
        <v>717</v>
      </c>
    </row>
    <row r="576" customFormat="false" ht="23.25" hidden="false" customHeight="true" outlineLevel="0" collapsed="false">
      <c r="A576" s="14" t="n">
        <v>575</v>
      </c>
      <c r="B576" s="14" t="s">
        <v>711</v>
      </c>
      <c r="C576" s="14" t="s">
        <v>712</v>
      </c>
      <c r="D576" s="15" t="s">
        <v>713</v>
      </c>
      <c r="E576" s="15" t="s">
        <v>714</v>
      </c>
      <c r="F576" s="15" t="s">
        <v>744</v>
      </c>
      <c r="G576" s="15" t="s">
        <v>62</v>
      </c>
      <c r="H576" s="15" t="s">
        <v>63</v>
      </c>
      <c r="I576" s="15" t="s">
        <v>717</v>
      </c>
    </row>
    <row r="577" customFormat="false" ht="23.25" hidden="false" customHeight="true" outlineLevel="0" collapsed="false">
      <c r="A577" s="14" t="n">
        <v>576</v>
      </c>
      <c r="B577" s="14" t="s">
        <v>711</v>
      </c>
      <c r="C577" s="14" t="s">
        <v>712</v>
      </c>
      <c r="D577" s="15" t="s">
        <v>713</v>
      </c>
      <c r="E577" s="15" t="s">
        <v>714</v>
      </c>
      <c r="F577" s="15" t="s">
        <v>450</v>
      </c>
      <c r="G577" s="15" t="s">
        <v>62</v>
      </c>
      <c r="H577" s="15" t="s">
        <v>63</v>
      </c>
      <c r="I577" s="15" t="s">
        <v>717</v>
      </c>
    </row>
    <row r="578" customFormat="false" ht="23.25" hidden="false" customHeight="true" outlineLevel="0" collapsed="false">
      <c r="A578" s="14" t="n">
        <v>577</v>
      </c>
      <c r="B578" s="14" t="s">
        <v>711</v>
      </c>
      <c r="C578" s="14" t="s">
        <v>712</v>
      </c>
      <c r="D578" s="15" t="s">
        <v>713</v>
      </c>
      <c r="E578" s="15" t="s">
        <v>714</v>
      </c>
      <c r="F578" s="15" t="s">
        <v>745</v>
      </c>
      <c r="G578" s="15" t="s">
        <v>62</v>
      </c>
      <c r="H578" s="15" t="s">
        <v>63</v>
      </c>
      <c r="I578" s="15" t="s">
        <v>717</v>
      </c>
    </row>
    <row r="579" customFormat="false" ht="23.25" hidden="false" customHeight="true" outlineLevel="0" collapsed="false">
      <c r="A579" s="14" t="n">
        <v>578</v>
      </c>
      <c r="B579" s="14" t="s">
        <v>711</v>
      </c>
      <c r="C579" s="14" t="s">
        <v>712</v>
      </c>
      <c r="D579" s="15" t="s">
        <v>713</v>
      </c>
      <c r="E579" s="15" t="s">
        <v>714</v>
      </c>
      <c r="F579" s="15" t="s">
        <v>746</v>
      </c>
      <c r="G579" s="15" t="s">
        <v>62</v>
      </c>
      <c r="H579" s="15" t="s">
        <v>63</v>
      </c>
      <c r="I579" s="15" t="s">
        <v>717</v>
      </c>
    </row>
    <row r="580" customFormat="false" ht="23.25" hidden="false" customHeight="true" outlineLevel="0" collapsed="false">
      <c r="A580" s="14" t="n">
        <v>579</v>
      </c>
      <c r="B580" s="14" t="s">
        <v>711</v>
      </c>
      <c r="C580" s="14" t="s">
        <v>712</v>
      </c>
      <c r="D580" s="15" t="s">
        <v>713</v>
      </c>
      <c r="E580" s="15" t="s">
        <v>714</v>
      </c>
      <c r="F580" s="15" t="s">
        <v>435</v>
      </c>
      <c r="G580" s="15" t="s">
        <v>62</v>
      </c>
      <c r="H580" s="15" t="s">
        <v>63</v>
      </c>
      <c r="I580" s="15" t="s">
        <v>717</v>
      </c>
    </row>
    <row r="581" customFormat="false" ht="23.25" hidden="false" customHeight="true" outlineLevel="0" collapsed="false">
      <c r="A581" s="14" t="n">
        <v>580</v>
      </c>
      <c r="B581" s="14" t="s">
        <v>711</v>
      </c>
      <c r="C581" s="14" t="s">
        <v>712</v>
      </c>
      <c r="D581" s="15" t="s">
        <v>713</v>
      </c>
      <c r="E581" s="15" t="s">
        <v>714</v>
      </c>
      <c r="F581" s="15" t="s">
        <v>747</v>
      </c>
      <c r="G581" s="15" t="s">
        <v>62</v>
      </c>
      <c r="H581" s="15" t="s">
        <v>63</v>
      </c>
      <c r="I581" s="15" t="s">
        <v>717</v>
      </c>
    </row>
    <row r="582" customFormat="false" ht="23.25" hidden="false" customHeight="true" outlineLevel="0" collapsed="false">
      <c r="A582" s="14" t="n">
        <v>581</v>
      </c>
      <c r="B582" s="14" t="s">
        <v>711</v>
      </c>
      <c r="C582" s="14" t="s">
        <v>712</v>
      </c>
      <c r="D582" s="15" t="s">
        <v>713</v>
      </c>
      <c r="E582" s="15" t="s">
        <v>714</v>
      </c>
      <c r="F582" s="15" t="s">
        <v>383</v>
      </c>
      <c r="G582" s="15" t="s">
        <v>62</v>
      </c>
      <c r="H582" s="15" t="s">
        <v>63</v>
      </c>
      <c r="I582" s="15" t="s">
        <v>717</v>
      </c>
    </row>
    <row r="583" customFormat="false" ht="23.25" hidden="false" customHeight="true" outlineLevel="0" collapsed="false">
      <c r="A583" s="14" t="n">
        <v>582</v>
      </c>
      <c r="B583" s="14" t="s">
        <v>711</v>
      </c>
      <c r="C583" s="14" t="s">
        <v>712</v>
      </c>
      <c r="D583" s="15" t="s">
        <v>713</v>
      </c>
      <c r="E583" s="15" t="s">
        <v>714</v>
      </c>
      <c r="F583" s="15" t="s">
        <v>748</v>
      </c>
      <c r="G583" s="15" t="s">
        <v>62</v>
      </c>
      <c r="H583" s="15" t="s">
        <v>63</v>
      </c>
      <c r="I583" s="15" t="s">
        <v>717</v>
      </c>
    </row>
    <row r="584" customFormat="false" ht="23.25" hidden="false" customHeight="true" outlineLevel="0" collapsed="false">
      <c r="A584" s="14" t="n">
        <v>583</v>
      </c>
      <c r="B584" s="14" t="s">
        <v>711</v>
      </c>
      <c r="C584" s="14" t="s">
        <v>712</v>
      </c>
      <c r="D584" s="15" t="s">
        <v>713</v>
      </c>
      <c r="E584" s="15" t="s">
        <v>714</v>
      </c>
      <c r="F584" s="15" t="s">
        <v>749</v>
      </c>
      <c r="G584" s="15" t="s">
        <v>62</v>
      </c>
      <c r="H584" s="15" t="s">
        <v>63</v>
      </c>
      <c r="I584" s="15" t="s">
        <v>717</v>
      </c>
    </row>
    <row r="585" customFormat="false" ht="23.25" hidden="false" customHeight="true" outlineLevel="0" collapsed="false">
      <c r="A585" s="14" t="n">
        <v>584</v>
      </c>
      <c r="B585" s="14" t="s">
        <v>711</v>
      </c>
      <c r="C585" s="14" t="s">
        <v>712</v>
      </c>
      <c r="D585" s="15" t="s">
        <v>713</v>
      </c>
      <c r="E585" s="15" t="s">
        <v>714</v>
      </c>
      <c r="F585" s="15" t="s">
        <v>750</v>
      </c>
      <c r="G585" s="15" t="s">
        <v>62</v>
      </c>
      <c r="H585" s="15" t="s">
        <v>63</v>
      </c>
      <c r="I585" s="15" t="s">
        <v>717</v>
      </c>
    </row>
    <row r="586" customFormat="false" ht="23.25" hidden="false" customHeight="true" outlineLevel="0" collapsed="false">
      <c r="A586" s="14" t="n">
        <v>585</v>
      </c>
      <c r="B586" s="14" t="s">
        <v>711</v>
      </c>
      <c r="C586" s="14" t="s">
        <v>712</v>
      </c>
      <c r="D586" s="15" t="s">
        <v>713</v>
      </c>
      <c r="E586" s="15" t="s">
        <v>714</v>
      </c>
      <c r="F586" s="15" t="s">
        <v>751</v>
      </c>
      <c r="G586" s="15" t="s">
        <v>62</v>
      </c>
      <c r="H586" s="15" t="s">
        <v>63</v>
      </c>
      <c r="I586" s="15" t="s">
        <v>717</v>
      </c>
    </row>
    <row r="587" customFormat="false" ht="23.25" hidden="false" customHeight="true" outlineLevel="0" collapsed="false">
      <c r="A587" s="14" t="n">
        <v>586</v>
      </c>
      <c r="B587" s="14" t="s">
        <v>711</v>
      </c>
      <c r="C587" s="14" t="s">
        <v>712</v>
      </c>
      <c r="D587" s="15" t="s">
        <v>713</v>
      </c>
      <c r="E587" s="15" t="s">
        <v>714</v>
      </c>
      <c r="F587" s="15" t="s">
        <v>752</v>
      </c>
      <c r="G587" s="15" t="s">
        <v>62</v>
      </c>
      <c r="H587" s="15" t="s">
        <v>63</v>
      </c>
      <c r="I587" s="15" t="s">
        <v>717</v>
      </c>
    </row>
    <row r="588" customFormat="false" ht="23.25" hidden="false" customHeight="true" outlineLevel="0" collapsed="false">
      <c r="A588" s="14" t="n">
        <v>587</v>
      </c>
      <c r="B588" s="14" t="s">
        <v>711</v>
      </c>
      <c r="C588" s="14" t="s">
        <v>712</v>
      </c>
      <c r="D588" s="15" t="s">
        <v>713</v>
      </c>
      <c r="E588" s="15" t="s">
        <v>714</v>
      </c>
      <c r="F588" s="15" t="s">
        <v>753</v>
      </c>
      <c r="G588" s="15" t="s">
        <v>62</v>
      </c>
      <c r="H588" s="15" t="s">
        <v>63</v>
      </c>
      <c r="I588" s="15" t="s">
        <v>717</v>
      </c>
    </row>
    <row r="589" customFormat="false" ht="23.25" hidden="false" customHeight="true" outlineLevel="0" collapsed="false">
      <c r="A589" s="14" t="n">
        <v>588</v>
      </c>
      <c r="B589" s="14" t="s">
        <v>754</v>
      </c>
      <c r="C589" s="14" t="s">
        <v>755</v>
      </c>
      <c r="D589" s="15" t="s">
        <v>756</v>
      </c>
      <c r="E589" s="15" t="s">
        <v>757</v>
      </c>
      <c r="F589" s="15" t="s">
        <v>758</v>
      </c>
      <c r="G589" s="15" t="s">
        <v>759</v>
      </c>
      <c r="H589" s="15" t="s">
        <v>63</v>
      </c>
      <c r="I589" s="15" t="s">
        <v>246</v>
      </c>
    </row>
    <row r="590" customFormat="false" ht="23.25" hidden="false" customHeight="true" outlineLevel="0" collapsed="false">
      <c r="A590" s="14" t="n">
        <v>589</v>
      </c>
      <c r="B590" s="14" t="s">
        <v>754</v>
      </c>
      <c r="C590" s="14" t="s">
        <v>755</v>
      </c>
      <c r="D590" s="15" t="s">
        <v>756</v>
      </c>
      <c r="E590" s="15" t="s">
        <v>757</v>
      </c>
      <c r="F590" s="15" t="s">
        <v>760</v>
      </c>
      <c r="G590" s="15" t="s">
        <v>761</v>
      </c>
      <c r="H590" s="15" t="s">
        <v>63</v>
      </c>
      <c r="I590" s="15" t="s">
        <v>246</v>
      </c>
    </row>
    <row r="591" customFormat="false" ht="23.25" hidden="false" customHeight="true" outlineLevel="0" collapsed="false">
      <c r="A591" s="14" t="n">
        <v>590</v>
      </c>
      <c r="B591" s="14" t="s">
        <v>754</v>
      </c>
      <c r="C591" s="14" t="s">
        <v>755</v>
      </c>
      <c r="D591" s="15" t="s">
        <v>756</v>
      </c>
      <c r="E591" s="15" t="s">
        <v>757</v>
      </c>
      <c r="F591" s="15" t="s">
        <v>762</v>
      </c>
      <c r="G591" s="15" t="s">
        <v>763</v>
      </c>
      <c r="H591" s="15" t="s">
        <v>63</v>
      </c>
      <c r="I591" s="15" t="s">
        <v>246</v>
      </c>
    </row>
    <row r="592" customFormat="false" ht="23.25" hidden="false" customHeight="true" outlineLevel="0" collapsed="false">
      <c r="A592" s="14" t="n">
        <v>591</v>
      </c>
      <c r="B592" s="14" t="s">
        <v>754</v>
      </c>
      <c r="C592" s="14" t="s">
        <v>755</v>
      </c>
      <c r="D592" s="15" t="s">
        <v>756</v>
      </c>
      <c r="E592" s="15" t="s">
        <v>757</v>
      </c>
      <c r="F592" s="15" t="s">
        <v>764</v>
      </c>
      <c r="G592" s="15" t="s">
        <v>765</v>
      </c>
      <c r="H592" s="15" t="s">
        <v>63</v>
      </c>
      <c r="I592" s="15" t="s">
        <v>246</v>
      </c>
    </row>
    <row r="593" customFormat="false" ht="23.25" hidden="false" customHeight="true" outlineLevel="0" collapsed="false">
      <c r="A593" s="14" t="n">
        <v>592</v>
      </c>
      <c r="B593" s="14" t="s">
        <v>754</v>
      </c>
      <c r="C593" s="14" t="s">
        <v>755</v>
      </c>
      <c r="D593" s="15" t="s">
        <v>756</v>
      </c>
      <c r="E593" s="15" t="s">
        <v>757</v>
      </c>
      <c r="F593" s="15" t="s">
        <v>766</v>
      </c>
      <c r="G593" s="15" t="s">
        <v>62</v>
      </c>
      <c r="H593" s="15" t="s">
        <v>63</v>
      </c>
      <c r="I593" s="15" t="s">
        <v>246</v>
      </c>
    </row>
    <row r="594" customFormat="false" ht="23.25" hidden="false" customHeight="true" outlineLevel="0" collapsed="false">
      <c r="A594" s="14" t="n">
        <v>593</v>
      </c>
      <c r="B594" s="14" t="s">
        <v>754</v>
      </c>
      <c r="C594" s="14" t="s">
        <v>755</v>
      </c>
      <c r="D594" s="15" t="s">
        <v>756</v>
      </c>
      <c r="E594" s="15" t="s">
        <v>757</v>
      </c>
      <c r="F594" s="15" t="s">
        <v>672</v>
      </c>
      <c r="G594" s="15" t="s">
        <v>62</v>
      </c>
      <c r="H594" s="15" t="s">
        <v>63</v>
      </c>
      <c r="I594" s="15" t="s">
        <v>246</v>
      </c>
    </row>
    <row r="595" customFormat="false" ht="23.25" hidden="false" customHeight="true" outlineLevel="0" collapsed="false">
      <c r="A595" s="14" t="n">
        <v>594</v>
      </c>
      <c r="B595" s="14" t="s">
        <v>754</v>
      </c>
      <c r="C595" s="14" t="s">
        <v>755</v>
      </c>
      <c r="D595" s="15" t="s">
        <v>756</v>
      </c>
      <c r="E595" s="15" t="s">
        <v>757</v>
      </c>
      <c r="F595" s="15" t="s">
        <v>767</v>
      </c>
      <c r="G595" s="15" t="s">
        <v>62</v>
      </c>
      <c r="H595" s="15" t="s">
        <v>63</v>
      </c>
      <c r="I595" s="15" t="s">
        <v>246</v>
      </c>
    </row>
    <row r="596" customFormat="false" ht="23.25" hidden="false" customHeight="true" outlineLevel="0" collapsed="false">
      <c r="A596" s="14" t="n">
        <v>595</v>
      </c>
      <c r="B596" s="14" t="s">
        <v>754</v>
      </c>
      <c r="C596" s="14" t="s">
        <v>755</v>
      </c>
      <c r="D596" s="15" t="s">
        <v>756</v>
      </c>
      <c r="E596" s="15" t="s">
        <v>757</v>
      </c>
      <c r="F596" s="15" t="s">
        <v>768</v>
      </c>
      <c r="G596" s="15" t="s">
        <v>62</v>
      </c>
      <c r="H596" s="15" t="s">
        <v>63</v>
      </c>
      <c r="I596" s="15" t="s">
        <v>246</v>
      </c>
    </row>
    <row r="597" customFormat="false" ht="23.25" hidden="false" customHeight="true" outlineLevel="0" collapsed="false">
      <c r="A597" s="14" t="n">
        <v>596</v>
      </c>
      <c r="B597" s="14" t="s">
        <v>754</v>
      </c>
      <c r="C597" s="14" t="s">
        <v>755</v>
      </c>
      <c r="D597" s="15" t="s">
        <v>756</v>
      </c>
      <c r="E597" s="15" t="s">
        <v>757</v>
      </c>
      <c r="F597" s="15" t="s">
        <v>769</v>
      </c>
      <c r="G597" s="15" t="s">
        <v>62</v>
      </c>
      <c r="H597" s="15" t="s">
        <v>63</v>
      </c>
      <c r="I597" s="15" t="s">
        <v>246</v>
      </c>
    </row>
    <row r="598" customFormat="false" ht="23.25" hidden="false" customHeight="true" outlineLevel="0" collapsed="false">
      <c r="A598" s="14" t="n">
        <v>597</v>
      </c>
      <c r="B598" s="14" t="s">
        <v>770</v>
      </c>
      <c r="C598" s="14" t="s">
        <v>771</v>
      </c>
      <c r="D598" s="15" t="s">
        <v>772</v>
      </c>
      <c r="E598" s="15" t="s">
        <v>773</v>
      </c>
      <c r="F598" s="15" t="s">
        <v>774</v>
      </c>
      <c r="G598" s="15" t="s">
        <v>775</v>
      </c>
      <c r="H598" s="15" t="s">
        <v>63</v>
      </c>
      <c r="I598" s="15" t="s">
        <v>246</v>
      </c>
    </row>
    <row r="599" customFormat="false" ht="23.25" hidden="false" customHeight="true" outlineLevel="0" collapsed="false">
      <c r="A599" s="14" t="n">
        <v>598</v>
      </c>
      <c r="B599" s="14" t="s">
        <v>770</v>
      </c>
      <c r="C599" s="14" t="s">
        <v>771</v>
      </c>
      <c r="D599" s="15" t="s">
        <v>772</v>
      </c>
      <c r="E599" s="15" t="s">
        <v>773</v>
      </c>
      <c r="F599" s="15" t="s">
        <v>776</v>
      </c>
      <c r="G599" s="15" t="s">
        <v>777</v>
      </c>
      <c r="H599" s="15" t="s">
        <v>63</v>
      </c>
      <c r="I599" s="15" t="s">
        <v>246</v>
      </c>
    </row>
    <row r="600" customFormat="false" ht="23.25" hidden="false" customHeight="true" outlineLevel="0" collapsed="false">
      <c r="A600" s="14" t="n">
        <v>599</v>
      </c>
      <c r="B600" s="14" t="s">
        <v>770</v>
      </c>
      <c r="C600" s="14" t="s">
        <v>771</v>
      </c>
      <c r="D600" s="15" t="s">
        <v>772</v>
      </c>
      <c r="E600" s="15" t="s">
        <v>773</v>
      </c>
      <c r="F600" s="15" t="s">
        <v>778</v>
      </c>
      <c r="G600" s="15" t="s">
        <v>779</v>
      </c>
      <c r="H600" s="15" t="s">
        <v>63</v>
      </c>
      <c r="I600" s="15" t="s">
        <v>246</v>
      </c>
    </row>
    <row r="601" customFormat="false" ht="23.25" hidden="false" customHeight="true" outlineLevel="0" collapsed="false">
      <c r="A601" s="14" t="n">
        <v>600</v>
      </c>
      <c r="B601" s="14" t="s">
        <v>770</v>
      </c>
      <c r="C601" s="14" t="s">
        <v>771</v>
      </c>
      <c r="D601" s="15" t="s">
        <v>772</v>
      </c>
      <c r="E601" s="15" t="s">
        <v>773</v>
      </c>
      <c r="F601" s="15" t="s">
        <v>780</v>
      </c>
      <c r="G601" s="15" t="s">
        <v>779</v>
      </c>
      <c r="H601" s="15" t="s">
        <v>63</v>
      </c>
      <c r="I601" s="15" t="s">
        <v>246</v>
      </c>
    </row>
    <row r="602" customFormat="false" ht="23.25" hidden="false" customHeight="true" outlineLevel="0" collapsed="false">
      <c r="A602" s="14" t="n">
        <v>601</v>
      </c>
      <c r="B602" s="14" t="s">
        <v>770</v>
      </c>
      <c r="C602" s="14" t="s">
        <v>771</v>
      </c>
      <c r="D602" s="15" t="s">
        <v>772</v>
      </c>
      <c r="E602" s="15" t="s">
        <v>773</v>
      </c>
      <c r="F602" s="15" t="s">
        <v>781</v>
      </c>
      <c r="G602" s="15" t="s">
        <v>782</v>
      </c>
      <c r="H602" s="15" t="s">
        <v>63</v>
      </c>
      <c r="I602" s="15" t="s">
        <v>246</v>
      </c>
    </row>
    <row r="603" customFormat="false" ht="23.25" hidden="false" customHeight="true" outlineLevel="0" collapsed="false">
      <c r="A603" s="14" t="n">
        <v>602</v>
      </c>
      <c r="B603" s="14" t="s">
        <v>770</v>
      </c>
      <c r="C603" s="14" t="s">
        <v>771</v>
      </c>
      <c r="D603" s="15" t="s">
        <v>772</v>
      </c>
      <c r="E603" s="15" t="s">
        <v>773</v>
      </c>
      <c r="F603" s="15" t="s">
        <v>783</v>
      </c>
      <c r="G603" s="15" t="s">
        <v>779</v>
      </c>
      <c r="H603" s="15" t="s">
        <v>63</v>
      </c>
      <c r="I603" s="15" t="s">
        <v>246</v>
      </c>
    </row>
    <row r="604" customFormat="false" ht="23.25" hidden="false" customHeight="true" outlineLevel="0" collapsed="false">
      <c r="A604" s="14" t="n">
        <v>603</v>
      </c>
      <c r="B604" s="14" t="s">
        <v>770</v>
      </c>
      <c r="C604" s="14" t="s">
        <v>771</v>
      </c>
      <c r="D604" s="15" t="s">
        <v>772</v>
      </c>
      <c r="E604" s="15" t="s">
        <v>773</v>
      </c>
      <c r="F604" s="15" t="s">
        <v>784</v>
      </c>
      <c r="G604" s="15" t="s">
        <v>785</v>
      </c>
      <c r="H604" s="15" t="s">
        <v>63</v>
      </c>
      <c r="I604" s="15" t="s">
        <v>246</v>
      </c>
    </row>
    <row r="605" customFormat="false" ht="23.25" hidden="false" customHeight="true" outlineLevel="0" collapsed="false">
      <c r="A605" s="14" t="n">
        <v>604</v>
      </c>
      <c r="B605" s="14" t="s">
        <v>770</v>
      </c>
      <c r="C605" s="14" t="s">
        <v>771</v>
      </c>
      <c r="D605" s="15" t="s">
        <v>772</v>
      </c>
      <c r="E605" s="15" t="s">
        <v>773</v>
      </c>
      <c r="F605" s="15" t="s">
        <v>786</v>
      </c>
      <c r="G605" s="15" t="s">
        <v>782</v>
      </c>
      <c r="H605" s="15" t="s">
        <v>63</v>
      </c>
      <c r="I605" s="15" t="s">
        <v>246</v>
      </c>
    </row>
    <row r="606" customFormat="false" ht="23.25" hidden="false" customHeight="true" outlineLevel="0" collapsed="false">
      <c r="A606" s="14" t="n">
        <v>605</v>
      </c>
      <c r="B606" s="14" t="s">
        <v>770</v>
      </c>
      <c r="C606" s="14" t="s">
        <v>771</v>
      </c>
      <c r="D606" s="15" t="s">
        <v>772</v>
      </c>
      <c r="E606" s="15" t="s">
        <v>773</v>
      </c>
      <c r="F606" s="15" t="s">
        <v>787</v>
      </c>
      <c r="G606" s="15" t="s">
        <v>785</v>
      </c>
      <c r="H606" s="15" t="s">
        <v>63</v>
      </c>
      <c r="I606" s="15" t="s">
        <v>246</v>
      </c>
    </row>
    <row r="607" customFormat="false" ht="23.25" hidden="false" customHeight="true" outlineLevel="0" collapsed="false">
      <c r="A607" s="14" t="n">
        <v>606</v>
      </c>
      <c r="B607" s="14" t="s">
        <v>770</v>
      </c>
      <c r="C607" s="14" t="s">
        <v>771</v>
      </c>
      <c r="D607" s="15" t="s">
        <v>772</v>
      </c>
      <c r="E607" s="15" t="s">
        <v>773</v>
      </c>
      <c r="F607" s="15" t="s">
        <v>788</v>
      </c>
      <c r="G607" s="15" t="s">
        <v>782</v>
      </c>
      <c r="H607" s="15" t="s">
        <v>63</v>
      </c>
      <c r="I607" s="15" t="s">
        <v>246</v>
      </c>
    </row>
    <row r="608" customFormat="false" ht="23.25" hidden="false" customHeight="true" outlineLevel="0" collapsed="false">
      <c r="A608" s="14" t="n">
        <v>607</v>
      </c>
      <c r="B608" s="14" t="s">
        <v>770</v>
      </c>
      <c r="C608" s="14" t="s">
        <v>771</v>
      </c>
      <c r="D608" s="15" t="s">
        <v>772</v>
      </c>
      <c r="E608" s="15" t="s">
        <v>773</v>
      </c>
      <c r="F608" s="15" t="s">
        <v>789</v>
      </c>
      <c r="G608" s="15" t="s">
        <v>779</v>
      </c>
      <c r="H608" s="15" t="s">
        <v>63</v>
      </c>
      <c r="I608" s="15" t="s">
        <v>246</v>
      </c>
    </row>
    <row r="609" customFormat="false" ht="23.25" hidden="false" customHeight="true" outlineLevel="0" collapsed="false">
      <c r="A609" s="14" t="n">
        <v>608</v>
      </c>
      <c r="B609" s="14" t="s">
        <v>770</v>
      </c>
      <c r="C609" s="14" t="s">
        <v>771</v>
      </c>
      <c r="D609" s="15" t="s">
        <v>772</v>
      </c>
      <c r="E609" s="15" t="s">
        <v>773</v>
      </c>
      <c r="F609" s="15" t="s">
        <v>790</v>
      </c>
      <c r="G609" s="15" t="s">
        <v>785</v>
      </c>
      <c r="H609" s="15" t="s">
        <v>63</v>
      </c>
      <c r="I609" s="15" t="s">
        <v>246</v>
      </c>
    </row>
    <row r="610" customFormat="false" ht="23.25" hidden="false" customHeight="true" outlineLevel="0" collapsed="false">
      <c r="A610" s="14" t="n">
        <v>609</v>
      </c>
      <c r="B610" s="14" t="s">
        <v>770</v>
      </c>
      <c r="C610" s="14" t="s">
        <v>771</v>
      </c>
      <c r="D610" s="15" t="s">
        <v>772</v>
      </c>
      <c r="E610" s="15" t="s">
        <v>773</v>
      </c>
      <c r="F610" s="15" t="s">
        <v>67</v>
      </c>
      <c r="G610" s="15" t="s">
        <v>791</v>
      </c>
      <c r="H610" s="15" t="s">
        <v>63</v>
      </c>
      <c r="I610" s="15" t="s">
        <v>246</v>
      </c>
    </row>
    <row r="611" customFormat="false" ht="23.25" hidden="false" customHeight="true" outlineLevel="0" collapsed="false">
      <c r="A611" s="14" t="n">
        <v>610</v>
      </c>
      <c r="B611" s="14" t="s">
        <v>770</v>
      </c>
      <c r="C611" s="14" t="s">
        <v>771</v>
      </c>
      <c r="D611" s="15" t="s">
        <v>772</v>
      </c>
      <c r="E611" s="15" t="s">
        <v>773</v>
      </c>
      <c r="F611" s="15" t="s">
        <v>36</v>
      </c>
      <c r="G611" s="15" t="s">
        <v>792</v>
      </c>
      <c r="H611" s="15" t="s">
        <v>63</v>
      </c>
      <c r="I611" s="15" t="s">
        <v>246</v>
      </c>
    </row>
    <row r="612" customFormat="false" ht="23.25" hidden="false" customHeight="true" outlineLevel="0" collapsed="false">
      <c r="A612" s="14" t="n">
        <v>611</v>
      </c>
      <c r="B612" s="14" t="s">
        <v>770</v>
      </c>
      <c r="C612" s="14" t="s">
        <v>771</v>
      </c>
      <c r="D612" s="15" t="s">
        <v>772</v>
      </c>
      <c r="E612" s="15" t="s">
        <v>773</v>
      </c>
      <c r="F612" s="15" t="s">
        <v>793</v>
      </c>
      <c r="G612" s="15" t="s">
        <v>330</v>
      </c>
      <c r="H612" s="15" t="s">
        <v>63</v>
      </c>
      <c r="I612" s="15" t="s">
        <v>246</v>
      </c>
    </row>
    <row r="613" customFormat="false" ht="23.25" hidden="false" customHeight="true" outlineLevel="0" collapsed="false">
      <c r="A613" s="14" t="n">
        <v>612</v>
      </c>
      <c r="B613" s="14" t="s">
        <v>770</v>
      </c>
      <c r="C613" s="14" t="s">
        <v>771</v>
      </c>
      <c r="D613" s="15" t="s">
        <v>772</v>
      </c>
      <c r="E613" s="15" t="s">
        <v>773</v>
      </c>
      <c r="F613" s="15" t="s">
        <v>794</v>
      </c>
      <c r="G613" s="15" t="s">
        <v>330</v>
      </c>
      <c r="H613" s="15" t="s">
        <v>63</v>
      </c>
      <c r="I613" s="15" t="s">
        <v>246</v>
      </c>
    </row>
    <row r="614" customFormat="false" ht="23.25" hidden="false" customHeight="true" outlineLevel="0" collapsed="false">
      <c r="A614" s="14" t="n">
        <v>613</v>
      </c>
      <c r="B614" s="14" t="s">
        <v>770</v>
      </c>
      <c r="C614" s="14" t="s">
        <v>771</v>
      </c>
      <c r="D614" s="15" t="s">
        <v>772</v>
      </c>
      <c r="E614" s="15" t="s">
        <v>773</v>
      </c>
      <c r="F614" s="15" t="s">
        <v>795</v>
      </c>
      <c r="G614" s="15" t="s">
        <v>796</v>
      </c>
      <c r="H614" s="15" t="s">
        <v>63</v>
      </c>
      <c r="I614" s="15" t="s">
        <v>246</v>
      </c>
    </row>
    <row r="615" customFormat="false" ht="23.25" hidden="false" customHeight="true" outlineLevel="0" collapsed="false">
      <c r="A615" s="14" t="n">
        <v>614</v>
      </c>
      <c r="B615" s="14" t="s">
        <v>770</v>
      </c>
      <c r="C615" s="14" t="s">
        <v>771</v>
      </c>
      <c r="D615" s="15" t="s">
        <v>772</v>
      </c>
      <c r="E615" s="15" t="s">
        <v>773</v>
      </c>
      <c r="F615" s="15" t="s">
        <v>797</v>
      </c>
      <c r="G615" s="15" t="s">
        <v>798</v>
      </c>
      <c r="H615" s="15" t="s">
        <v>63</v>
      </c>
      <c r="I615" s="15" t="s">
        <v>246</v>
      </c>
    </row>
    <row r="616" customFormat="false" ht="23.25" hidden="false" customHeight="true" outlineLevel="0" collapsed="false">
      <c r="A616" s="14" t="n">
        <v>615</v>
      </c>
      <c r="B616" s="14" t="s">
        <v>770</v>
      </c>
      <c r="C616" s="14" t="s">
        <v>771</v>
      </c>
      <c r="D616" s="15" t="s">
        <v>772</v>
      </c>
      <c r="E616" s="15" t="s">
        <v>773</v>
      </c>
      <c r="F616" s="15" t="s">
        <v>799</v>
      </c>
      <c r="G616" s="15" t="s">
        <v>800</v>
      </c>
      <c r="H616" s="15" t="s">
        <v>63</v>
      </c>
      <c r="I616" s="15" t="s">
        <v>246</v>
      </c>
    </row>
    <row r="617" customFormat="false" ht="23.25" hidden="false" customHeight="true" outlineLevel="0" collapsed="false">
      <c r="A617" s="14" t="n">
        <v>616</v>
      </c>
      <c r="B617" s="14" t="s">
        <v>770</v>
      </c>
      <c r="C617" s="14" t="s">
        <v>771</v>
      </c>
      <c r="D617" s="15" t="s">
        <v>772</v>
      </c>
      <c r="E617" s="15" t="s">
        <v>773</v>
      </c>
      <c r="F617" s="15" t="s">
        <v>801</v>
      </c>
      <c r="G617" s="15" t="s">
        <v>802</v>
      </c>
      <c r="H617" s="15" t="s">
        <v>63</v>
      </c>
      <c r="I617" s="15" t="s">
        <v>246</v>
      </c>
    </row>
    <row r="618" customFormat="false" ht="23.25" hidden="false" customHeight="true" outlineLevel="0" collapsed="false">
      <c r="A618" s="14" t="n">
        <v>617</v>
      </c>
      <c r="B618" s="14" t="s">
        <v>770</v>
      </c>
      <c r="C618" s="14" t="s">
        <v>771</v>
      </c>
      <c r="D618" s="15" t="s">
        <v>772</v>
      </c>
      <c r="E618" s="15" t="s">
        <v>773</v>
      </c>
      <c r="F618" s="15" t="s">
        <v>803</v>
      </c>
      <c r="G618" s="15" t="s">
        <v>804</v>
      </c>
      <c r="H618" s="15" t="s">
        <v>63</v>
      </c>
      <c r="I618" s="15" t="s">
        <v>246</v>
      </c>
    </row>
    <row r="619" customFormat="false" ht="23.25" hidden="false" customHeight="true" outlineLevel="0" collapsed="false">
      <c r="A619" s="14" t="n">
        <v>618</v>
      </c>
      <c r="B619" s="14" t="s">
        <v>770</v>
      </c>
      <c r="C619" s="14" t="s">
        <v>771</v>
      </c>
      <c r="D619" s="15" t="s">
        <v>772</v>
      </c>
      <c r="E619" s="15" t="s">
        <v>773</v>
      </c>
      <c r="F619" s="15" t="s">
        <v>805</v>
      </c>
      <c r="G619" s="15" t="s">
        <v>330</v>
      </c>
      <c r="H619" s="15" t="s">
        <v>63</v>
      </c>
      <c r="I619" s="15" t="s">
        <v>246</v>
      </c>
    </row>
    <row r="620" customFormat="false" ht="23.25" hidden="false" customHeight="true" outlineLevel="0" collapsed="false">
      <c r="A620" s="14" t="n">
        <v>619</v>
      </c>
      <c r="B620" s="14" t="s">
        <v>770</v>
      </c>
      <c r="C620" s="14" t="s">
        <v>771</v>
      </c>
      <c r="D620" s="15" t="s">
        <v>772</v>
      </c>
      <c r="E620" s="15" t="s">
        <v>773</v>
      </c>
      <c r="F620" s="15" t="s">
        <v>806</v>
      </c>
      <c r="G620" s="15" t="s">
        <v>807</v>
      </c>
      <c r="H620" s="15" t="s">
        <v>63</v>
      </c>
      <c r="I620" s="15" t="s">
        <v>246</v>
      </c>
    </row>
    <row r="621" customFormat="false" ht="23.25" hidden="false" customHeight="true" outlineLevel="0" collapsed="false">
      <c r="A621" s="14" t="n">
        <v>620</v>
      </c>
      <c r="B621" s="14" t="s">
        <v>770</v>
      </c>
      <c r="C621" s="14" t="s">
        <v>771</v>
      </c>
      <c r="D621" s="15" t="s">
        <v>772</v>
      </c>
      <c r="E621" s="15" t="s">
        <v>773</v>
      </c>
      <c r="F621" s="15" t="s">
        <v>808</v>
      </c>
      <c r="G621" s="15" t="s">
        <v>809</v>
      </c>
      <c r="H621" s="15" t="s">
        <v>63</v>
      </c>
      <c r="I621" s="15" t="s">
        <v>246</v>
      </c>
    </row>
    <row r="622" customFormat="false" ht="23.25" hidden="false" customHeight="true" outlineLevel="0" collapsed="false">
      <c r="A622" s="14" t="n">
        <v>621</v>
      </c>
      <c r="B622" s="14" t="s">
        <v>770</v>
      </c>
      <c r="C622" s="14" t="s">
        <v>771</v>
      </c>
      <c r="D622" s="15" t="s">
        <v>772</v>
      </c>
      <c r="E622" s="15" t="s">
        <v>773</v>
      </c>
      <c r="F622" s="15" t="s">
        <v>810</v>
      </c>
      <c r="G622" s="15" t="s">
        <v>811</v>
      </c>
      <c r="H622" s="15" t="s">
        <v>63</v>
      </c>
      <c r="I622" s="15" t="s">
        <v>246</v>
      </c>
    </row>
    <row r="623" customFormat="false" ht="23.25" hidden="false" customHeight="true" outlineLevel="0" collapsed="false">
      <c r="A623" s="14" t="n">
        <v>622</v>
      </c>
      <c r="B623" s="14" t="s">
        <v>770</v>
      </c>
      <c r="C623" s="14" t="s">
        <v>771</v>
      </c>
      <c r="D623" s="15" t="s">
        <v>772</v>
      </c>
      <c r="E623" s="15" t="s">
        <v>773</v>
      </c>
      <c r="F623" s="15" t="s">
        <v>721</v>
      </c>
      <c r="G623" s="15" t="s">
        <v>261</v>
      </c>
      <c r="H623" s="15" t="s">
        <v>63</v>
      </c>
      <c r="I623" s="15" t="s">
        <v>246</v>
      </c>
    </row>
    <row r="624" customFormat="false" ht="23.25" hidden="false" customHeight="true" outlineLevel="0" collapsed="false">
      <c r="A624" s="14" t="n">
        <v>623</v>
      </c>
      <c r="B624" s="14" t="s">
        <v>770</v>
      </c>
      <c r="C624" s="14" t="s">
        <v>771</v>
      </c>
      <c r="D624" s="15" t="s">
        <v>772</v>
      </c>
      <c r="E624" s="15" t="s">
        <v>773</v>
      </c>
      <c r="F624" s="15" t="s">
        <v>812</v>
      </c>
      <c r="G624" s="15" t="s">
        <v>264</v>
      </c>
      <c r="H624" s="15" t="s">
        <v>63</v>
      </c>
      <c r="I624" s="15" t="s">
        <v>246</v>
      </c>
    </row>
    <row r="625" customFormat="false" ht="23.25" hidden="false" customHeight="true" outlineLevel="0" collapsed="false">
      <c r="A625" s="14" t="n">
        <v>624</v>
      </c>
      <c r="B625" s="14" t="s">
        <v>770</v>
      </c>
      <c r="C625" s="14" t="s">
        <v>771</v>
      </c>
      <c r="D625" s="15" t="s">
        <v>772</v>
      </c>
      <c r="E625" s="15" t="s">
        <v>773</v>
      </c>
      <c r="F625" s="15" t="s">
        <v>813</v>
      </c>
      <c r="G625" s="15" t="s">
        <v>814</v>
      </c>
      <c r="H625" s="15" t="s">
        <v>63</v>
      </c>
      <c r="I625" s="15" t="s">
        <v>246</v>
      </c>
    </row>
    <row r="626" customFormat="false" ht="23.25" hidden="false" customHeight="true" outlineLevel="0" collapsed="false">
      <c r="A626" s="14" t="n">
        <v>625</v>
      </c>
      <c r="B626" s="14" t="s">
        <v>770</v>
      </c>
      <c r="C626" s="14" t="s">
        <v>771</v>
      </c>
      <c r="D626" s="15" t="s">
        <v>772</v>
      </c>
      <c r="E626" s="15" t="s">
        <v>773</v>
      </c>
      <c r="F626" s="15" t="s">
        <v>815</v>
      </c>
      <c r="G626" s="15" t="s">
        <v>816</v>
      </c>
      <c r="H626" s="15" t="s">
        <v>63</v>
      </c>
      <c r="I626" s="15" t="s">
        <v>246</v>
      </c>
    </row>
    <row r="627" customFormat="false" ht="23.25" hidden="false" customHeight="true" outlineLevel="0" collapsed="false">
      <c r="A627" s="14" t="n">
        <v>626</v>
      </c>
      <c r="B627" s="14" t="s">
        <v>770</v>
      </c>
      <c r="C627" s="14" t="s">
        <v>771</v>
      </c>
      <c r="D627" s="15" t="s">
        <v>772</v>
      </c>
      <c r="E627" s="15" t="s">
        <v>773</v>
      </c>
      <c r="F627" s="15" t="s">
        <v>817</v>
      </c>
      <c r="G627" s="15" t="s">
        <v>816</v>
      </c>
      <c r="H627" s="15" t="s">
        <v>63</v>
      </c>
      <c r="I627" s="15" t="s">
        <v>246</v>
      </c>
    </row>
    <row r="628" customFormat="false" ht="23.25" hidden="false" customHeight="true" outlineLevel="0" collapsed="false">
      <c r="A628" s="14" t="n">
        <v>627</v>
      </c>
      <c r="B628" s="14" t="s">
        <v>770</v>
      </c>
      <c r="C628" s="14" t="s">
        <v>771</v>
      </c>
      <c r="D628" s="15" t="s">
        <v>772</v>
      </c>
      <c r="E628" s="15" t="s">
        <v>773</v>
      </c>
      <c r="F628" s="15" t="s">
        <v>818</v>
      </c>
      <c r="G628" s="15" t="s">
        <v>814</v>
      </c>
      <c r="H628" s="15" t="s">
        <v>63</v>
      </c>
      <c r="I628" s="15" t="s">
        <v>246</v>
      </c>
    </row>
    <row r="629" customFormat="false" ht="23.25" hidden="false" customHeight="true" outlineLevel="0" collapsed="false">
      <c r="A629" s="14" t="n">
        <v>628</v>
      </c>
      <c r="B629" s="14" t="s">
        <v>770</v>
      </c>
      <c r="C629" s="14" t="s">
        <v>771</v>
      </c>
      <c r="D629" s="15" t="s">
        <v>772</v>
      </c>
      <c r="E629" s="15" t="s">
        <v>773</v>
      </c>
      <c r="F629" s="15" t="s">
        <v>819</v>
      </c>
      <c r="G629" s="15" t="s">
        <v>287</v>
      </c>
      <c r="H629" s="15" t="s">
        <v>63</v>
      </c>
      <c r="I629" s="15" t="s">
        <v>246</v>
      </c>
    </row>
    <row r="630" customFormat="false" ht="23.25" hidden="false" customHeight="true" outlineLevel="0" collapsed="false">
      <c r="A630" s="14" t="n">
        <v>629</v>
      </c>
      <c r="B630" s="14" t="s">
        <v>770</v>
      </c>
      <c r="C630" s="14" t="s">
        <v>771</v>
      </c>
      <c r="D630" s="15" t="s">
        <v>772</v>
      </c>
      <c r="E630" s="15" t="s">
        <v>773</v>
      </c>
      <c r="F630" s="15" t="s">
        <v>820</v>
      </c>
      <c r="G630" s="15" t="s">
        <v>821</v>
      </c>
      <c r="H630" s="15" t="s">
        <v>63</v>
      </c>
      <c r="I630" s="15" t="s">
        <v>246</v>
      </c>
    </row>
    <row r="631" customFormat="false" ht="23.25" hidden="false" customHeight="true" outlineLevel="0" collapsed="false">
      <c r="A631" s="14" t="n">
        <v>630</v>
      </c>
      <c r="B631" s="14" t="s">
        <v>770</v>
      </c>
      <c r="C631" s="14" t="s">
        <v>771</v>
      </c>
      <c r="D631" s="15" t="s">
        <v>772</v>
      </c>
      <c r="E631" s="15" t="s">
        <v>773</v>
      </c>
      <c r="F631" s="15" t="s">
        <v>822</v>
      </c>
      <c r="G631" s="15" t="s">
        <v>802</v>
      </c>
      <c r="H631" s="15" t="s">
        <v>63</v>
      </c>
      <c r="I631" s="15" t="s">
        <v>246</v>
      </c>
    </row>
    <row r="632" customFormat="false" ht="23.25" hidden="false" customHeight="true" outlineLevel="0" collapsed="false">
      <c r="A632" s="14" t="n">
        <v>631</v>
      </c>
      <c r="B632" s="14" t="s">
        <v>770</v>
      </c>
      <c r="C632" s="14" t="s">
        <v>771</v>
      </c>
      <c r="D632" s="15" t="s">
        <v>772</v>
      </c>
      <c r="E632" s="15" t="s">
        <v>773</v>
      </c>
      <c r="F632" s="15" t="s">
        <v>823</v>
      </c>
      <c r="G632" s="15" t="s">
        <v>315</v>
      </c>
      <c r="H632" s="15" t="s">
        <v>63</v>
      </c>
      <c r="I632" s="15" t="s">
        <v>246</v>
      </c>
    </row>
    <row r="633" customFormat="false" ht="23.25" hidden="false" customHeight="true" outlineLevel="0" collapsed="false">
      <c r="A633" s="14" t="n">
        <v>632</v>
      </c>
      <c r="B633" s="14" t="s">
        <v>770</v>
      </c>
      <c r="C633" s="14" t="s">
        <v>771</v>
      </c>
      <c r="D633" s="15" t="s">
        <v>772</v>
      </c>
      <c r="E633" s="15" t="s">
        <v>773</v>
      </c>
      <c r="F633" s="15" t="s">
        <v>824</v>
      </c>
      <c r="G633" s="15" t="s">
        <v>825</v>
      </c>
      <c r="H633" s="15" t="s">
        <v>63</v>
      </c>
      <c r="I633" s="15" t="s">
        <v>246</v>
      </c>
    </row>
    <row r="634" customFormat="false" ht="23.25" hidden="false" customHeight="true" outlineLevel="0" collapsed="false">
      <c r="A634" s="14" t="n">
        <v>633</v>
      </c>
      <c r="B634" s="14" t="s">
        <v>770</v>
      </c>
      <c r="C634" s="14" t="s">
        <v>771</v>
      </c>
      <c r="D634" s="15" t="s">
        <v>772</v>
      </c>
      <c r="E634" s="15" t="s">
        <v>773</v>
      </c>
      <c r="F634" s="15" t="s">
        <v>826</v>
      </c>
      <c r="G634" s="15" t="s">
        <v>323</v>
      </c>
      <c r="H634" s="15" t="s">
        <v>63</v>
      </c>
      <c r="I634" s="15" t="s">
        <v>246</v>
      </c>
    </row>
    <row r="635" customFormat="false" ht="23.25" hidden="false" customHeight="true" outlineLevel="0" collapsed="false">
      <c r="A635" s="14" t="n">
        <v>634</v>
      </c>
      <c r="B635" s="14" t="s">
        <v>770</v>
      </c>
      <c r="C635" s="14" t="s">
        <v>771</v>
      </c>
      <c r="D635" s="15" t="s">
        <v>772</v>
      </c>
      <c r="E635" s="15" t="s">
        <v>773</v>
      </c>
      <c r="F635" s="15" t="s">
        <v>747</v>
      </c>
      <c r="G635" s="15" t="s">
        <v>323</v>
      </c>
      <c r="H635" s="15" t="s">
        <v>63</v>
      </c>
      <c r="I635" s="15" t="s">
        <v>246</v>
      </c>
    </row>
    <row r="636" customFormat="false" ht="23.25" hidden="false" customHeight="true" outlineLevel="0" collapsed="false">
      <c r="A636" s="14" t="n">
        <v>635</v>
      </c>
      <c r="B636" s="14" t="s">
        <v>770</v>
      </c>
      <c r="C636" s="14" t="s">
        <v>771</v>
      </c>
      <c r="D636" s="15" t="s">
        <v>772</v>
      </c>
      <c r="E636" s="15" t="s">
        <v>773</v>
      </c>
      <c r="F636" s="15" t="s">
        <v>827</v>
      </c>
      <c r="G636" s="15" t="s">
        <v>828</v>
      </c>
      <c r="H636" s="15" t="s">
        <v>586</v>
      </c>
      <c r="I636" s="15" t="s">
        <v>246</v>
      </c>
    </row>
    <row r="637" customFormat="false" ht="23.25" hidden="false" customHeight="true" outlineLevel="0" collapsed="false">
      <c r="A637" s="14" t="n">
        <v>636</v>
      </c>
      <c r="B637" s="14" t="s">
        <v>770</v>
      </c>
      <c r="C637" s="14" t="s">
        <v>771</v>
      </c>
      <c r="D637" s="15" t="s">
        <v>772</v>
      </c>
      <c r="E637" s="15" t="s">
        <v>773</v>
      </c>
      <c r="F637" s="15" t="s">
        <v>829</v>
      </c>
      <c r="G637" s="15" t="s">
        <v>261</v>
      </c>
      <c r="H637" s="15" t="s">
        <v>586</v>
      </c>
      <c r="I637" s="15" t="s">
        <v>246</v>
      </c>
    </row>
    <row r="638" customFormat="false" ht="23.25" hidden="false" customHeight="true" outlineLevel="0" collapsed="false">
      <c r="A638" s="14" t="n">
        <v>637</v>
      </c>
      <c r="B638" s="14" t="s">
        <v>770</v>
      </c>
      <c r="C638" s="14" t="s">
        <v>771</v>
      </c>
      <c r="D638" s="15" t="s">
        <v>772</v>
      </c>
      <c r="E638" s="15" t="s">
        <v>773</v>
      </c>
      <c r="F638" s="15" t="s">
        <v>830</v>
      </c>
      <c r="G638" s="15" t="s">
        <v>831</v>
      </c>
      <c r="H638" s="15" t="s">
        <v>832</v>
      </c>
      <c r="I638" s="15" t="s">
        <v>246</v>
      </c>
    </row>
    <row r="639" customFormat="false" ht="23.25" hidden="false" customHeight="true" outlineLevel="0" collapsed="false">
      <c r="A639" s="14" t="n">
        <v>638</v>
      </c>
      <c r="B639" s="14" t="s">
        <v>770</v>
      </c>
      <c r="C639" s="14" t="s">
        <v>771</v>
      </c>
      <c r="D639" s="15" t="s">
        <v>772</v>
      </c>
      <c r="E639" s="15" t="s">
        <v>773</v>
      </c>
      <c r="F639" s="15" t="s">
        <v>833</v>
      </c>
      <c r="G639" s="15" t="s">
        <v>821</v>
      </c>
      <c r="H639" s="15" t="s">
        <v>63</v>
      </c>
      <c r="I639" s="15" t="s">
        <v>246</v>
      </c>
    </row>
    <row r="640" customFormat="false" ht="23.25" hidden="false" customHeight="true" outlineLevel="0" collapsed="false">
      <c r="A640" s="14" t="n">
        <v>639</v>
      </c>
      <c r="B640" s="14" t="s">
        <v>770</v>
      </c>
      <c r="C640" s="14" t="s">
        <v>771</v>
      </c>
      <c r="D640" s="15" t="s">
        <v>772</v>
      </c>
      <c r="E640" s="15" t="s">
        <v>773</v>
      </c>
      <c r="F640" s="15" t="s">
        <v>834</v>
      </c>
      <c r="G640" s="15" t="s">
        <v>802</v>
      </c>
      <c r="H640" s="15" t="s">
        <v>63</v>
      </c>
      <c r="I640" s="15" t="s">
        <v>246</v>
      </c>
    </row>
    <row r="641" customFormat="false" ht="23.25" hidden="false" customHeight="true" outlineLevel="0" collapsed="false">
      <c r="A641" s="14" t="n">
        <v>640</v>
      </c>
      <c r="B641" s="14" t="s">
        <v>770</v>
      </c>
      <c r="C641" s="14" t="s">
        <v>771</v>
      </c>
      <c r="D641" s="15" t="s">
        <v>772</v>
      </c>
      <c r="E641" s="15" t="s">
        <v>773</v>
      </c>
      <c r="F641" s="15" t="s">
        <v>424</v>
      </c>
      <c r="G641" s="15" t="s">
        <v>831</v>
      </c>
      <c r="H641" s="15" t="s">
        <v>63</v>
      </c>
      <c r="I641" s="15" t="s">
        <v>246</v>
      </c>
    </row>
    <row r="642" customFormat="false" ht="23.25" hidden="false" customHeight="true" outlineLevel="0" collapsed="false">
      <c r="A642" s="14" t="n">
        <v>641</v>
      </c>
      <c r="B642" s="14" t="s">
        <v>770</v>
      </c>
      <c r="C642" s="14" t="s">
        <v>771</v>
      </c>
      <c r="D642" s="15" t="s">
        <v>772</v>
      </c>
      <c r="E642" s="15" t="s">
        <v>773</v>
      </c>
      <c r="F642" s="15" t="s">
        <v>835</v>
      </c>
      <c r="G642" s="15" t="s">
        <v>821</v>
      </c>
      <c r="H642" s="15" t="s">
        <v>63</v>
      </c>
      <c r="I642" s="15" t="s">
        <v>246</v>
      </c>
    </row>
    <row r="643" customFormat="false" ht="23.25" hidden="false" customHeight="true" outlineLevel="0" collapsed="false">
      <c r="A643" s="14" t="n">
        <v>642</v>
      </c>
      <c r="B643" s="14" t="s">
        <v>770</v>
      </c>
      <c r="C643" s="14" t="s">
        <v>771</v>
      </c>
      <c r="D643" s="15" t="s">
        <v>772</v>
      </c>
      <c r="E643" s="15" t="s">
        <v>773</v>
      </c>
      <c r="F643" s="15" t="s">
        <v>836</v>
      </c>
      <c r="G643" s="15" t="s">
        <v>521</v>
      </c>
      <c r="H643" s="15" t="s">
        <v>63</v>
      </c>
      <c r="I643" s="15" t="s">
        <v>246</v>
      </c>
    </row>
    <row r="644" customFormat="false" ht="23.25" hidden="false" customHeight="true" outlineLevel="0" collapsed="false">
      <c r="A644" s="14" t="n">
        <v>643</v>
      </c>
      <c r="B644" s="14" t="s">
        <v>770</v>
      </c>
      <c r="C644" s="14" t="s">
        <v>771</v>
      </c>
      <c r="D644" s="15" t="s">
        <v>772</v>
      </c>
      <c r="E644" s="15" t="s">
        <v>773</v>
      </c>
      <c r="F644" s="15" t="s">
        <v>837</v>
      </c>
      <c r="G644" s="15" t="s">
        <v>821</v>
      </c>
      <c r="H644" s="15" t="s">
        <v>63</v>
      </c>
      <c r="I644" s="15" t="s">
        <v>246</v>
      </c>
    </row>
    <row r="645" customFormat="false" ht="23.25" hidden="false" customHeight="true" outlineLevel="0" collapsed="false">
      <c r="A645" s="14" t="n">
        <v>644</v>
      </c>
      <c r="B645" s="14" t="s">
        <v>770</v>
      </c>
      <c r="C645" s="14" t="s">
        <v>771</v>
      </c>
      <c r="D645" s="15" t="s">
        <v>772</v>
      </c>
      <c r="E645" s="15" t="s">
        <v>773</v>
      </c>
      <c r="F645" s="15" t="s">
        <v>838</v>
      </c>
      <c r="G645" s="15" t="s">
        <v>839</v>
      </c>
      <c r="H645" s="15" t="s">
        <v>63</v>
      </c>
      <c r="I645" s="15" t="s">
        <v>246</v>
      </c>
    </row>
    <row r="646" customFormat="false" ht="23.25" hidden="false" customHeight="true" outlineLevel="0" collapsed="false">
      <c r="A646" s="14" t="n">
        <v>645</v>
      </c>
      <c r="B646" s="14" t="s">
        <v>770</v>
      </c>
      <c r="C646" s="14" t="s">
        <v>771</v>
      </c>
      <c r="D646" s="15" t="s">
        <v>772</v>
      </c>
      <c r="E646" s="15" t="s">
        <v>773</v>
      </c>
      <c r="F646" s="15" t="s">
        <v>840</v>
      </c>
      <c r="G646" s="15" t="s">
        <v>62</v>
      </c>
      <c r="H646" s="15" t="s">
        <v>63</v>
      </c>
      <c r="I646" s="15" t="s">
        <v>246</v>
      </c>
    </row>
    <row r="647" customFormat="false" ht="23.25" hidden="false" customHeight="true" outlineLevel="0" collapsed="false">
      <c r="A647" s="14" t="n">
        <v>646</v>
      </c>
      <c r="B647" s="14" t="s">
        <v>770</v>
      </c>
      <c r="C647" s="14" t="s">
        <v>771</v>
      </c>
      <c r="D647" s="15" t="s">
        <v>772</v>
      </c>
      <c r="E647" s="15" t="s">
        <v>773</v>
      </c>
      <c r="F647" s="15" t="s">
        <v>444</v>
      </c>
      <c r="G647" s="15" t="s">
        <v>62</v>
      </c>
      <c r="H647" s="15" t="s">
        <v>63</v>
      </c>
      <c r="I647" s="15" t="s">
        <v>246</v>
      </c>
    </row>
    <row r="648" customFormat="false" ht="23.25" hidden="false" customHeight="true" outlineLevel="0" collapsed="false">
      <c r="A648" s="14" t="n">
        <v>647</v>
      </c>
      <c r="B648" s="14" t="s">
        <v>770</v>
      </c>
      <c r="C648" s="14" t="s">
        <v>771</v>
      </c>
      <c r="D648" s="15" t="s">
        <v>772</v>
      </c>
      <c r="E648" s="15" t="s">
        <v>773</v>
      </c>
      <c r="F648" s="15" t="s">
        <v>841</v>
      </c>
      <c r="G648" s="15" t="s">
        <v>62</v>
      </c>
      <c r="H648" s="15" t="s">
        <v>63</v>
      </c>
      <c r="I648" s="15" t="s">
        <v>246</v>
      </c>
    </row>
    <row r="649" customFormat="false" ht="23.25" hidden="false" customHeight="true" outlineLevel="0" collapsed="false">
      <c r="A649" s="14" t="n">
        <v>648</v>
      </c>
      <c r="B649" s="14" t="s">
        <v>770</v>
      </c>
      <c r="C649" s="14" t="s">
        <v>771</v>
      </c>
      <c r="D649" s="15" t="s">
        <v>772</v>
      </c>
      <c r="E649" s="15" t="s">
        <v>773</v>
      </c>
      <c r="F649" s="15" t="s">
        <v>842</v>
      </c>
      <c r="G649" s="15" t="s">
        <v>62</v>
      </c>
      <c r="H649" s="15" t="s">
        <v>63</v>
      </c>
      <c r="I649" s="15" t="s">
        <v>246</v>
      </c>
    </row>
    <row r="650" customFormat="false" ht="23.25" hidden="false" customHeight="true" outlineLevel="0" collapsed="false">
      <c r="A650" s="14" t="n">
        <v>649</v>
      </c>
      <c r="B650" s="14" t="s">
        <v>770</v>
      </c>
      <c r="C650" s="14" t="s">
        <v>771</v>
      </c>
      <c r="D650" s="15" t="s">
        <v>772</v>
      </c>
      <c r="E650" s="15" t="s">
        <v>773</v>
      </c>
      <c r="F650" s="15" t="s">
        <v>843</v>
      </c>
      <c r="G650" s="15" t="s">
        <v>62</v>
      </c>
      <c r="H650" s="15" t="s">
        <v>63</v>
      </c>
      <c r="I650" s="15" t="s">
        <v>246</v>
      </c>
    </row>
    <row r="651" customFormat="false" ht="23.25" hidden="false" customHeight="true" outlineLevel="0" collapsed="false">
      <c r="A651" s="14" t="n">
        <v>650</v>
      </c>
      <c r="B651" s="14" t="s">
        <v>770</v>
      </c>
      <c r="C651" s="14" t="s">
        <v>771</v>
      </c>
      <c r="D651" s="15" t="s">
        <v>772</v>
      </c>
      <c r="E651" s="15" t="s">
        <v>773</v>
      </c>
      <c r="F651" s="15" t="s">
        <v>463</v>
      </c>
      <c r="G651" s="15" t="s">
        <v>62</v>
      </c>
      <c r="H651" s="15" t="s">
        <v>63</v>
      </c>
      <c r="I651" s="15" t="s">
        <v>246</v>
      </c>
    </row>
    <row r="652" customFormat="false" ht="15" hidden="false" customHeight="true" outlineLevel="0" collapsed="false">
      <c r="A652" s="14" t="n">
        <v>651</v>
      </c>
      <c r="B652" s="14" t="s">
        <v>844</v>
      </c>
      <c r="C652" s="14" t="s">
        <v>845</v>
      </c>
      <c r="D652" s="15" t="s">
        <v>846</v>
      </c>
      <c r="E652" s="15" t="s">
        <v>847</v>
      </c>
      <c r="F652" s="15" t="s">
        <v>848</v>
      </c>
      <c r="G652" s="15" t="s">
        <v>849</v>
      </c>
      <c r="H652" s="15" t="s">
        <v>63</v>
      </c>
      <c r="I652" s="15" t="s">
        <v>246</v>
      </c>
    </row>
    <row r="653" customFormat="false" ht="15" hidden="false" customHeight="true" outlineLevel="0" collapsed="false">
      <c r="A653" s="14" t="n">
        <v>652</v>
      </c>
      <c r="B653" s="14" t="s">
        <v>844</v>
      </c>
      <c r="C653" s="14" t="s">
        <v>845</v>
      </c>
      <c r="D653" s="15" t="s">
        <v>846</v>
      </c>
      <c r="E653" s="15" t="s">
        <v>847</v>
      </c>
      <c r="F653" s="15" t="s">
        <v>850</v>
      </c>
      <c r="G653" s="15" t="s">
        <v>851</v>
      </c>
      <c r="H653" s="15" t="s">
        <v>63</v>
      </c>
      <c r="I653" s="15" t="s">
        <v>246</v>
      </c>
    </row>
    <row r="654" customFormat="false" ht="15" hidden="false" customHeight="true" outlineLevel="0" collapsed="false">
      <c r="A654" s="14" t="n">
        <v>653</v>
      </c>
      <c r="B654" s="14" t="s">
        <v>844</v>
      </c>
      <c r="C654" s="14" t="s">
        <v>845</v>
      </c>
      <c r="D654" s="15" t="s">
        <v>846</v>
      </c>
      <c r="E654" s="15" t="s">
        <v>847</v>
      </c>
      <c r="F654" s="15" t="s">
        <v>852</v>
      </c>
      <c r="G654" s="15" t="s">
        <v>851</v>
      </c>
      <c r="H654" s="15" t="s">
        <v>63</v>
      </c>
      <c r="I654" s="15" t="s">
        <v>246</v>
      </c>
    </row>
    <row r="655" customFormat="false" ht="15" hidden="false" customHeight="true" outlineLevel="0" collapsed="false">
      <c r="A655" s="14" t="n">
        <v>654</v>
      </c>
      <c r="B655" s="14" t="s">
        <v>844</v>
      </c>
      <c r="C655" s="14" t="s">
        <v>845</v>
      </c>
      <c r="D655" s="15" t="s">
        <v>846</v>
      </c>
      <c r="E655" s="15" t="s">
        <v>847</v>
      </c>
      <c r="F655" s="15" t="s">
        <v>853</v>
      </c>
      <c r="G655" s="15" t="s">
        <v>849</v>
      </c>
      <c r="H655" s="15" t="s">
        <v>63</v>
      </c>
      <c r="I655" s="15" t="s">
        <v>246</v>
      </c>
    </row>
    <row r="656" customFormat="false" ht="15" hidden="false" customHeight="true" outlineLevel="0" collapsed="false">
      <c r="A656" s="14" t="n">
        <v>655</v>
      </c>
      <c r="B656" s="14" t="s">
        <v>844</v>
      </c>
      <c r="C656" s="14" t="s">
        <v>845</v>
      </c>
      <c r="D656" s="15" t="s">
        <v>846</v>
      </c>
      <c r="E656" s="15" t="s">
        <v>847</v>
      </c>
      <c r="F656" s="15" t="s">
        <v>854</v>
      </c>
      <c r="G656" s="15" t="s">
        <v>855</v>
      </c>
      <c r="H656" s="15" t="s">
        <v>63</v>
      </c>
      <c r="I656" s="15" t="s">
        <v>246</v>
      </c>
    </row>
    <row r="657" customFormat="false" ht="15" hidden="false" customHeight="true" outlineLevel="0" collapsed="false">
      <c r="A657" s="14" t="n">
        <v>656</v>
      </c>
      <c r="B657" s="14" t="s">
        <v>844</v>
      </c>
      <c r="C657" s="14" t="s">
        <v>845</v>
      </c>
      <c r="D657" s="15" t="s">
        <v>846</v>
      </c>
      <c r="E657" s="15" t="s">
        <v>847</v>
      </c>
      <c r="F657" s="15" t="s">
        <v>134</v>
      </c>
      <c r="G657" s="15" t="s">
        <v>519</v>
      </c>
      <c r="H657" s="15" t="s">
        <v>63</v>
      </c>
      <c r="I657" s="15" t="s">
        <v>246</v>
      </c>
    </row>
    <row r="658" customFormat="false" ht="15" hidden="false" customHeight="true" outlineLevel="0" collapsed="false">
      <c r="A658" s="14" t="n">
        <v>657</v>
      </c>
      <c r="B658" s="14" t="s">
        <v>844</v>
      </c>
      <c r="C658" s="14" t="s">
        <v>845</v>
      </c>
      <c r="D658" s="15" t="s">
        <v>846</v>
      </c>
      <c r="E658" s="15" t="s">
        <v>847</v>
      </c>
      <c r="F658" s="15" t="s">
        <v>137</v>
      </c>
      <c r="G658" s="15" t="s">
        <v>856</v>
      </c>
      <c r="H658" s="15" t="s">
        <v>63</v>
      </c>
      <c r="I658" s="15" t="s">
        <v>246</v>
      </c>
    </row>
    <row r="659" customFormat="false" ht="15" hidden="false" customHeight="true" outlineLevel="0" collapsed="false">
      <c r="A659" s="14" t="n">
        <v>658</v>
      </c>
      <c r="B659" s="14" t="s">
        <v>844</v>
      </c>
      <c r="C659" s="14" t="s">
        <v>845</v>
      </c>
      <c r="D659" s="15" t="s">
        <v>846</v>
      </c>
      <c r="E659" s="15" t="s">
        <v>847</v>
      </c>
      <c r="F659" s="15" t="s">
        <v>138</v>
      </c>
      <c r="G659" s="15" t="s">
        <v>761</v>
      </c>
      <c r="H659" s="15" t="s">
        <v>63</v>
      </c>
      <c r="I659" s="15" t="s">
        <v>246</v>
      </c>
    </row>
    <row r="660" customFormat="false" ht="15" hidden="false" customHeight="true" outlineLevel="0" collapsed="false">
      <c r="A660" s="14" t="n">
        <v>659</v>
      </c>
      <c r="B660" s="14" t="s">
        <v>844</v>
      </c>
      <c r="C660" s="14" t="s">
        <v>845</v>
      </c>
      <c r="D660" s="15" t="s">
        <v>846</v>
      </c>
      <c r="E660" s="15" t="s">
        <v>847</v>
      </c>
      <c r="F660" s="15" t="s">
        <v>139</v>
      </c>
      <c r="G660" s="15" t="s">
        <v>519</v>
      </c>
      <c r="H660" s="15" t="s">
        <v>63</v>
      </c>
      <c r="I660" s="15" t="s">
        <v>246</v>
      </c>
    </row>
    <row r="661" customFormat="false" ht="15" hidden="false" customHeight="true" outlineLevel="0" collapsed="false">
      <c r="A661" s="14" t="n">
        <v>660</v>
      </c>
      <c r="B661" s="14" t="s">
        <v>844</v>
      </c>
      <c r="C661" s="14" t="s">
        <v>845</v>
      </c>
      <c r="D661" s="15" t="s">
        <v>846</v>
      </c>
      <c r="E661" s="15" t="s">
        <v>847</v>
      </c>
      <c r="F661" s="15" t="s">
        <v>857</v>
      </c>
      <c r="G661" s="15" t="s">
        <v>858</v>
      </c>
      <c r="H661" s="15" t="s">
        <v>63</v>
      </c>
      <c r="I661" s="15" t="s">
        <v>246</v>
      </c>
    </row>
    <row r="662" customFormat="false" ht="15" hidden="false" customHeight="true" outlineLevel="0" collapsed="false">
      <c r="A662" s="14" t="n">
        <v>661</v>
      </c>
      <c r="B662" s="14" t="s">
        <v>844</v>
      </c>
      <c r="C662" s="14" t="s">
        <v>845</v>
      </c>
      <c r="D662" s="15" t="s">
        <v>846</v>
      </c>
      <c r="E662" s="15" t="s">
        <v>847</v>
      </c>
      <c r="F662" s="15" t="s">
        <v>239</v>
      </c>
      <c r="G662" s="15" t="s">
        <v>859</v>
      </c>
      <c r="H662" s="15" t="s">
        <v>63</v>
      </c>
      <c r="I662" s="15" t="s">
        <v>246</v>
      </c>
    </row>
    <row r="663" customFormat="false" ht="15" hidden="false" customHeight="true" outlineLevel="0" collapsed="false">
      <c r="A663" s="14" t="n">
        <v>662</v>
      </c>
      <c r="B663" s="14" t="s">
        <v>844</v>
      </c>
      <c r="C663" s="14" t="s">
        <v>845</v>
      </c>
      <c r="D663" s="15" t="s">
        <v>846</v>
      </c>
      <c r="E663" s="15" t="s">
        <v>847</v>
      </c>
      <c r="F663" s="15" t="s">
        <v>24</v>
      </c>
      <c r="G663" s="15" t="s">
        <v>860</v>
      </c>
      <c r="H663" s="15" t="s">
        <v>63</v>
      </c>
      <c r="I663" s="15" t="s">
        <v>246</v>
      </c>
    </row>
    <row r="664" customFormat="false" ht="15" hidden="false" customHeight="true" outlineLevel="0" collapsed="false">
      <c r="A664" s="14" t="n">
        <v>663</v>
      </c>
      <c r="B664" s="14" t="s">
        <v>844</v>
      </c>
      <c r="C664" s="14" t="s">
        <v>845</v>
      </c>
      <c r="D664" s="15" t="s">
        <v>846</v>
      </c>
      <c r="E664" s="15" t="s">
        <v>847</v>
      </c>
      <c r="F664" s="15" t="s">
        <v>168</v>
      </c>
      <c r="G664" s="15" t="s">
        <v>861</v>
      </c>
      <c r="H664" s="15" t="s">
        <v>63</v>
      </c>
      <c r="I664" s="15" t="s">
        <v>246</v>
      </c>
    </row>
    <row r="665" customFormat="false" ht="23.25" hidden="false" customHeight="true" outlineLevel="0" collapsed="false">
      <c r="A665" s="14" t="n">
        <v>664</v>
      </c>
      <c r="B665" s="14" t="s">
        <v>844</v>
      </c>
      <c r="C665" s="14" t="s">
        <v>845</v>
      </c>
      <c r="D665" s="15" t="s">
        <v>846</v>
      </c>
      <c r="E665" s="15" t="s">
        <v>847</v>
      </c>
      <c r="F665" s="15" t="s">
        <v>862</v>
      </c>
      <c r="G665" s="15" t="s">
        <v>62</v>
      </c>
      <c r="H665" s="15" t="s">
        <v>63</v>
      </c>
      <c r="I665" s="15" t="s">
        <v>246</v>
      </c>
    </row>
    <row r="666" customFormat="false" ht="23.25" hidden="false" customHeight="true" outlineLevel="0" collapsed="false">
      <c r="A666" s="14" t="n">
        <v>665</v>
      </c>
      <c r="B666" s="14" t="s">
        <v>844</v>
      </c>
      <c r="C666" s="14" t="s">
        <v>845</v>
      </c>
      <c r="D666" s="15" t="s">
        <v>846</v>
      </c>
      <c r="E666" s="15" t="s">
        <v>847</v>
      </c>
      <c r="F666" s="15" t="s">
        <v>721</v>
      </c>
      <c r="G666" s="15" t="s">
        <v>62</v>
      </c>
      <c r="H666" s="15" t="s">
        <v>63</v>
      </c>
      <c r="I666" s="15" t="s">
        <v>246</v>
      </c>
    </row>
    <row r="667" customFormat="false" ht="23.25" hidden="false" customHeight="true" outlineLevel="0" collapsed="false">
      <c r="A667" s="14" t="n">
        <v>666</v>
      </c>
      <c r="B667" s="14" t="s">
        <v>844</v>
      </c>
      <c r="C667" s="14" t="s">
        <v>845</v>
      </c>
      <c r="D667" s="15" t="s">
        <v>846</v>
      </c>
      <c r="E667" s="15" t="s">
        <v>847</v>
      </c>
      <c r="F667" s="15" t="s">
        <v>863</v>
      </c>
      <c r="G667" s="15" t="s">
        <v>62</v>
      </c>
      <c r="H667" s="15" t="s">
        <v>63</v>
      </c>
      <c r="I667" s="15" t="s">
        <v>246</v>
      </c>
    </row>
    <row r="668" customFormat="false" ht="23.25" hidden="false" customHeight="true" outlineLevel="0" collapsed="false">
      <c r="A668" s="14" t="n">
        <v>667</v>
      </c>
      <c r="B668" s="14" t="s">
        <v>844</v>
      </c>
      <c r="C668" s="14" t="s">
        <v>845</v>
      </c>
      <c r="D668" s="15" t="s">
        <v>846</v>
      </c>
      <c r="E668" s="15" t="s">
        <v>847</v>
      </c>
      <c r="F668" s="15" t="s">
        <v>864</v>
      </c>
      <c r="G668" s="15" t="s">
        <v>62</v>
      </c>
      <c r="H668" s="15" t="s">
        <v>63</v>
      </c>
      <c r="I668" s="15" t="s">
        <v>246</v>
      </c>
    </row>
    <row r="669" customFormat="false" ht="23.25" hidden="false" customHeight="true" outlineLevel="0" collapsed="false">
      <c r="A669" s="14" t="n">
        <v>668</v>
      </c>
      <c r="B669" s="14" t="s">
        <v>844</v>
      </c>
      <c r="C669" s="14" t="s">
        <v>845</v>
      </c>
      <c r="D669" s="15" t="s">
        <v>846</v>
      </c>
      <c r="E669" s="15" t="s">
        <v>847</v>
      </c>
      <c r="F669" s="15" t="s">
        <v>865</v>
      </c>
      <c r="G669" s="15" t="s">
        <v>62</v>
      </c>
      <c r="H669" s="15" t="s">
        <v>63</v>
      </c>
      <c r="I669" s="15" t="s">
        <v>246</v>
      </c>
    </row>
    <row r="670" customFormat="false" ht="23.25" hidden="false" customHeight="true" outlineLevel="0" collapsed="false">
      <c r="A670" s="14" t="n">
        <v>669</v>
      </c>
      <c r="B670" s="14" t="s">
        <v>844</v>
      </c>
      <c r="C670" s="14" t="s">
        <v>845</v>
      </c>
      <c r="D670" s="15" t="s">
        <v>846</v>
      </c>
      <c r="E670" s="15" t="s">
        <v>847</v>
      </c>
      <c r="F670" s="15" t="s">
        <v>228</v>
      </c>
      <c r="G670" s="15" t="s">
        <v>62</v>
      </c>
      <c r="H670" s="15" t="s">
        <v>63</v>
      </c>
      <c r="I670" s="15" t="s">
        <v>246</v>
      </c>
    </row>
    <row r="671" customFormat="false" ht="23.25" hidden="false" customHeight="true" outlineLevel="0" collapsed="false">
      <c r="A671" s="14" t="n">
        <v>670</v>
      </c>
      <c r="B671" s="14" t="s">
        <v>844</v>
      </c>
      <c r="C671" s="14" t="s">
        <v>845</v>
      </c>
      <c r="D671" s="15" t="s">
        <v>846</v>
      </c>
      <c r="E671" s="15" t="s">
        <v>847</v>
      </c>
      <c r="F671" s="15" t="s">
        <v>359</v>
      </c>
      <c r="G671" s="15" t="s">
        <v>62</v>
      </c>
      <c r="H671" s="15" t="s">
        <v>63</v>
      </c>
      <c r="I671" s="15" t="s">
        <v>246</v>
      </c>
    </row>
    <row r="672" customFormat="false" ht="23.25" hidden="false" customHeight="true" outlineLevel="0" collapsed="false">
      <c r="A672" s="14" t="n">
        <v>671</v>
      </c>
      <c r="B672" s="14" t="s">
        <v>844</v>
      </c>
      <c r="C672" s="14" t="s">
        <v>845</v>
      </c>
      <c r="D672" s="15" t="s">
        <v>846</v>
      </c>
      <c r="E672" s="15" t="s">
        <v>847</v>
      </c>
      <c r="F672" s="15" t="s">
        <v>866</v>
      </c>
      <c r="G672" s="15" t="s">
        <v>62</v>
      </c>
      <c r="H672" s="15" t="s">
        <v>63</v>
      </c>
      <c r="I672" s="15" t="s">
        <v>246</v>
      </c>
    </row>
    <row r="673" customFormat="false" ht="23.25" hidden="false" customHeight="true" outlineLevel="0" collapsed="false">
      <c r="A673" s="14" t="n">
        <v>672</v>
      </c>
      <c r="B673" s="14" t="s">
        <v>844</v>
      </c>
      <c r="C673" s="14" t="s">
        <v>845</v>
      </c>
      <c r="D673" s="15" t="s">
        <v>846</v>
      </c>
      <c r="E673" s="15" t="s">
        <v>847</v>
      </c>
      <c r="F673" s="15" t="s">
        <v>867</v>
      </c>
      <c r="G673" s="15" t="s">
        <v>62</v>
      </c>
      <c r="H673" s="15" t="s">
        <v>63</v>
      </c>
      <c r="I673" s="15" t="s">
        <v>246</v>
      </c>
    </row>
    <row r="674" customFormat="false" ht="23.25" hidden="false" customHeight="true" outlineLevel="0" collapsed="false">
      <c r="A674" s="14" t="n">
        <v>673</v>
      </c>
      <c r="B674" s="14" t="s">
        <v>844</v>
      </c>
      <c r="C674" s="14" t="s">
        <v>845</v>
      </c>
      <c r="D674" s="15" t="s">
        <v>846</v>
      </c>
      <c r="E674" s="15" t="s">
        <v>847</v>
      </c>
      <c r="F674" s="15" t="s">
        <v>868</v>
      </c>
      <c r="G674" s="15" t="s">
        <v>62</v>
      </c>
      <c r="H674" s="15" t="s">
        <v>63</v>
      </c>
      <c r="I674" s="15" t="s">
        <v>246</v>
      </c>
    </row>
    <row r="675" customFormat="false" ht="23.25" hidden="false" customHeight="true" outlineLevel="0" collapsed="false">
      <c r="A675" s="14" t="n">
        <v>674</v>
      </c>
      <c r="B675" s="14" t="s">
        <v>844</v>
      </c>
      <c r="C675" s="14" t="s">
        <v>845</v>
      </c>
      <c r="D675" s="15" t="s">
        <v>846</v>
      </c>
      <c r="E675" s="15" t="s">
        <v>847</v>
      </c>
      <c r="F675" s="15" t="s">
        <v>67</v>
      </c>
      <c r="G675" s="15" t="s">
        <v>62</v>
      </c>
      <c r="H675" s="15" t="s">
        <v>63</v>
      </c>
      <c r="I675" s="15" t="s">
        <v>246</v>
      </c>
    </row>
    <row r="676" customFormat="false" ht="23.25" hidden="false" customHeight="true" outlineLevel="0" collapsed="false">
      <c r="A676" s="14" t="n">
        <v>675</v>
      </c>
      <c r="B676" s="14" t="s">
        <v>844</v>
      </c>
      <c r="C676" s="14" t="s">
        <v>845</v>
      </c>
      <c r="D676" s="15" t="s">
        <v>846</v>
      </c>
      <c r="E676" s="15" t="s">
        <v>847</v>
      </c>
      <c r="F676" s="15" t="s">
        <v>458</v>
      </c>
      <c r="G676" s="15" t="s">
        <v>62</v>
      </c>
      <c r="H676" s="15" t="s">
        <v>63</v>
      </c>
      <c r="I676" s="15" t="s">
        <v>246</v>
      </c>
    </row>
    <row r="677" customFormat="false" ht="23.25" hidden="false" customHeight="true" outlineLevel="0" collapsed="false">
      <c r="A677" s="14" t="n">
        <v>676</v>
      </c>
      <c r="B677" s="14" t="s">
        <v>844</v>
      </c>
      <c r="C677" s="14" t="s">
        <v>845</v>
      </c>
      <c r="D677" s="15" t="s">
        <v>846</v>
      </c>
      <c r="E677" s="15" t="s">
        <v>847</v>
      </c>
      <c r="F677" s="15" t="s">
        <v>869</v>
      </c>
      <c r="G677" s="15" t="s">
        <v>62</v>
      </c>
      <c r="H677" s="15" t="s">
        <v>63</v>
      </c>
      <c r="I677" s="15" t="s">
        <v>246</v>
      </c>
    </row>
    <row r="678" customFormat="false" ht="23.25" hidden="false" customHeight="true" outlineLevel="0" collapsed="false">
      <c r="A678" s="14" t="n">
        <v>677</v>
      </c>
      <c r="B678" s="14" t="s">
        <v>844</v>
      </c>
      <c r="C678" s="14" t="s">
        <v>845</v>
      </c>
      <c r="D678" s="15" t="s">
        <v>846</v>
      </c>
      <c r="E678" s="15" t="s">
        <v>847</v>
      </c>
      <c r="F678" s="15" t="s">
        <v>36</v>
      </c>
      <c r="G678" s="15" t="s">
        <v>62</v>
      </c>
      <c r="H678" s="15" t="s">
        <v>63</v>
      </c>
      <c r="I678" s="15" t="s">
        <v>246</v>
      </c>
    </row>
    <row r="679" customFormat="false" ht="23.25" hidden="false" customHeight="true" outlineLevel="0" collapsed="false">
      <c r="A679" s="14" t="n">
        <v>678</v>
      </c>
      <c r="B679" s="14" t="s">
        <v>844</v>
      </c>
      <c r="C679" s="14" t="s">
        <v>845</v>
      </c>
      <c r="D679" s="15" t="s">
        <v>846</v>
      </c>
      <c r="E679" s="15" t="s">
        <v>847</v>
      </c>
      <c r="F679" s="15" t="s">
        <v>870</v>
      </c>
      <c r="G679" s="15" t="s">
        <v>62</v>
      </c>
      <c r="H679" s="15" t="s">
        <v>63</v>
      </c>
      <c r="I679" s="15" t="s">
        <v>246</v>
      </c>
    </row>
    <row r="680" customFormat="false" ht="23.25" hidden="false" customHeight="true" outlineLevel="0" collapsed="false">
      <c r="A680" s="14" t="n">
        <v>679</v>
      </c>
      <c r="B680" s="14" t="s">
        <v>844</v>
      </c>
      <c r="C680" s="14" t="s">
        <v>845</v>
      </c>
      <c r="D680" s="15" t="s">
        <v>846</v>
      </c>
      <c r="E680" s="15" t="s">
        <v>847</v>
      </c>
      <c r="F680" s="15" t="s">
        <v>871</v>
      </c>
      <c r="G680" s="15" t="s">
        <v>62</v>
      </c>
      <c r="H680" s="15" t="s">
        <v>63</v>
      </c>
      <c r="I680" s="15" t="s">
        <v>246</v>
      </c>
    </row>
    <row r="681" customFormat="false" ht="23.25" hidden="false" customHeight="true" outlineLevel="0" collapsed="false">
      <c r="A681" s="14" t="n">
        <v>680</v>
      </c>
      <c r="B681" s="14" t="s">
        <v>844</v>
      </c>
      <c r="C681" s="14" t="s">
        <v>845</v>
      </c>
      <c r="D681" s="15" t="s">
        <v>846</v>
      </c>
      <c r="E681" s="15" t="s">
        <v>847</v>
      </c>
      <c r="F681" s="15" t="s">
        <v>39</v>
      </c>
      <c r="G681" s="15" t="s">
        <v>62</v>
      </c>
      <c r="H681" s="15" t="s">
        <v>63</v>
      </c>
      <c r="I681" s="15" t="s">
        <v>246</v>
      </c>
    </row>
    <row r="682" customFormat="false" ht="23.25" hidden="false" customHeight="true" outlineLevel="0" collapsed="false">
      <c r="A682" s="14" t="n">
        <v>681</v>
      </c>
      <c r="B682" s="14" t="s">
        <v>844</v>
      </c>
      <c r="C682" s="14" t="s">
        <v>845</v>
      </c>
      <c r="D682" s="15" t="s">
        <v>846</v>
      </c>
      <c r="E682" s="15" t="s">
        <v>847</v>
      </c>
      <c r="F682" s="15" t="s">
        <v>872</v>
      </c>
      <c r="G682" s="15" t="s">
        <v>62</v>
      </c>
      <c r="H682" s="15" t="s">
        <v>63</v>
      </c>
      <c r="I682" s="15" t="s">
        <v>246</v>
      </c>
    </row>
    <row r="683" customFormat="false" ht="23.25" hidden="false" customHeight="true" outlineLevel="0" collapsed="false">
      <c r="A683" s="14" t="n">
        <v>682</v>
      </c>
      <c r="B683" s="14" t="s">
        <v>844</v>
      </c>
      <c r="C683" s="14" t="s">
        <v>845</v>
      </c>
      <c r="D683" s="15" t="s">
        <v>846</v>
      </c>
      <c r="E683" s="15" t="s">
        <v>847</v>
      </c>
      <c r="F683" s="15" t="s">
        <v>873</v>
      </c>
      <c r="G683" s="15" t="s">
        <v>62</v>
      </c>
      <c r="H683" s="15" t="s">
        <v>63</v>
      </c>
      <c r="I683" s="15" t="s">
        <v>246</v>
      </c>
    </row>
    <row r="684" customFormat="false" ht="23.25" hidden="false" customHeight="true" outlineLevel="0" collapsed="false">
      <c r="A684" s="14" t="n">
        <v>683</v>
      </c>
      <c r="B684" s="14" t="s">
        <v>844</v>
      </c>
      <c r="C684" s="14" t="s">
        <v>845</v>
      </c>
      <c r="D684" s="15" t="s">
        <v>846</v>
      </c>
      <c r="E684" s="15" t="s">
        <v>847</v>
      </c>
      <c r="F684" s="15" t="s">
        <v>874</v>
      </c>
      <c r="G684" s="15" t="s">
        <v>62</v>
      </c>
      <c r="H684" s="15" t="s">
        <v>63</v>
      </c>
      <c r="I684" s="15" t="s">
        <v>246</v>
      </c>
    </row>
    <row r="685" customFormat="false" ht="23.25" hidden="false" customHeight="true" outlineLevel="0" collapsed="false">
      <c r="A685" s="14" t="n">
        <v>684</v>
      </c>
      <c r="B685" s="14" t="s">
        <v>844</v>
      </c>
      <c r="C685" s="14" t="s">
        <v>845</v>
      </c>
      <c r="D685" s="15" t="s">
        <v>846</v>
      </c>
      <c r="E685" s="15" t="s">
        <v>847</v>
      </c>
      <c r="F685" s="15" t="s">
        <v>511</v>
      </c>
      <c r="G685" s="15" t="s">
        <v>62</v>
      </c>
      <c r="H685" s="15" t="s">
        <v>63</v>
      </c>
      <c r="I685" s="15" t="s">
        <v>246</v>
      </c>
    </row>
    <row r="686" customFormat="false" ht="23.25" hidden="false" customHeight="true" outlineLevel="0" collapsed="false">
      <c r="A686" s="14" t="n">
        <v>685</v>
      </c>
      <c r="B686" s="14" t="s">
        <v>844</v>
      </c>
      <c r="C686" s="14" t="s">
        <v>845</v>
      </c>
      <c r="D686" s="15" t="s">
        <v>846</v>
      </c>
      <c r="E686" s="15" t="s">
        <v>847</v>
      </c>
      <c r="F686" s="15" t="s">
        <v>875</v>
      </c>
      <c r="G686" s="15" t="s">
        <v>62</v>
      </c>
      <c r="H686" s="15" t="s">
        <v>63</v>
      </c>
      <c r="I686" s="15" t="s">
        <v>246</v>
      </c>
    </row>
    <row r="687" customFormat="false" ht="23.25" hidden="false" customHeight="true" outlineLevel="0" collapsed="false">
      <c r="A687" s="14" t="n">
        <v>686</v>
      </c>
      <c r="B687" s="14" t="s">
        <v>844</v>
      </c>
      <c r="C687" s="14" t="s">
        <v>845</v>
      </c>
      <c r="D687" s="15" t="s">
        <v>846</v>
      </c>
      <c r="E687" s="15" t="s">
        <v>847</v>
      </c>
      <c r="F687" s="15" t="s">
        <v>876</v>
      </c>
      <c r="G687" s="15" t="s">
        <v>62</v>
      </c>
      <c r="H687" s="15" t="s">
        <v>63</v>
      </c>
      <c r="I687" s="15" t="s">
        <v>246</v>
      </c>
    </row>
    <row r="688" customFormat="false" ht="23.25" hidden="false" customHeight="true" outlineLevel="0" collapsed="false">
      <c r="A688" s="14" t="n">
        <v>687</v>
      </c>
      <c r="B688" s="14" t="s">
        <v>844</v>
      </c>
      <c r="C688" s="14" t="s">
        <v>845</v>
      </c>
      <c r="D688" s="15" t="s">
        <v>846</v>
      </c>
      <c r="E688" s="15" t="s">
        <v>847</v>
      </c>
      <c r="F688" s="15" t="s">
        <v>877</v>
      </c>
      <c r="G688" s="15" t="s">
        <v>62</v>
      </c>
      <c r="H688" s="15" t="s">
        <v>63</v>
      </c>
      <c r="I688" s="15" t="s">
        <v>246</v>
      </c>
    </row>
    <row r="689" customFormat="false" ht="23.25" hidden="false" customHeight="true" outlineLevel="0" collapsed="false">
      <c r="A689" s="14" t="n">
        <v>688</v>
      </c>
      <c r="B689" s="14" t="s">
        <v>878</v>
      </c>
      <c r="C689" s="14" t="s">
        <v>879</v>
      </c>
      <c r="D689" s="15" t="s">
        <v>880</v>
      </c>
      <c r="E689" s="15" t="s">
        <v>881</v>
      </c>
      <c r="F689" s="15" t="s">
        <v>134</v>
      </c>
      <c r="G689" s="15" t="s">
        <v>759</v>
      </c>
      <c r="H689" s="15" t="s">
        <v>63</v>
      </c>
      <c r="I689" s="15" t="s">
        <v>246</v>
      </c>
    </row>
    <row r="690" customFormat="false" ht="23.25" hidden="false" customHeight="true" outlineLevel="0" collapsed="false">
      <c r="A690" s="14" t="n">
        <v>689</v>
      </c>
      <c r="B690" s="14" t="s">
        <v>878</v>
      </c>
      <c r="C690" s="14" t="s">
        <v>879</v>
      </c>
      <c r="D690" s="15" t="s">
        <v>880</v>
      </c>
      <c r="E690" s="15" t="s">
        <v>881</v>
      </c>
      <c r="F690" s="15" t="s">
        <v>137</v>
      </c>
      <c r="G690" s="15" t="s">
        <v>882</v>
      </c>
      <c r="H690" s="15" t="s">
        <v>63</v>
      </c>
      <c r="I690" s="15" t="s">
        <v>246</v>
      </c>
    </row>
    <row r="691" customFormat="false" ht="23.25" hidden="false" customHeight="true" outlineLevel="0" collapsed="false">
      <c r="A691" s="14" t="n">
        <v>690</v>
      </c>
      <c r="B691" s="14" t="s">
        <v>878</v>
      </c>
      <c r="C691" s="14" t="s">
        <v>879</v>
      </c>
      <c r="D691" s="15" t="s">
        <v>880</v>
      </c>
      <c r="E691" s="15" t="s">
        <v>881</v>
      </c>
      <c r="F691" s="15" t="s">
        <v>139</v>
      </c>
      <c r="G691" s="15" t="s">
        <v>777</v>
      </c>
      <c r="H691" s="15" t="s">
        <v>63</v>
      </c>
      <c r="I691" s="15" t="s">
        <v>246</v>
      </c>
    </row>
    <row r="692" customFormat="false" ht="23.25" hidden="false" customHeight="true" outlineLevel="0" collapsed="false">
      <c r="A692" s="14" t="n">
        <v>691</v>
      </c>
      <c r="B692" s="14" t="s">
        <v>878</v>
      </c>
      <c r="C692" s="14" t="s">
        <v>879</v>
      </c>
      <c r="D692" s="15" t="s">
        <v>880</v>
      </c>
      <c r="E692" s="15" t="s">
        <v>881</v>
      </c>
      <c r="F692" s="15" t="s">
        <v>883</v>
      </c>
      <c r="G692" s="15" t="s">
        <v>884</v>
      </c>
      <c r="H692" s="15" t="s">
        <v>63</v>
      </c>
      <c r="I692" s="15" t="s">
        <v>246</v>
      </c>
    </row>
    <row r="693" customFormat="false" ht="23.25" hidden="false" customHeight="true" outlineLevel="0" collapsed="false">
      <c r="A693" s="14" t="n">
        <v>692</v>
      </c>
      <c r="B693" s="14" t="s">
        <v>878</v>
      </c>
      <c r="C693" s="14" t="s">
        <v>879</v>
      </c>
      <c r="D693" s="15" t="s">
        <v>880</v>
      </c>
      <c r="E693" s="15" t="s">
        <v>881</v>
      </c>
      <c r="F693" s="15" t="s">
        <v>885</v>
      </c>
      <c r="G693" s="15" t="s">
        <v>327</v>
      </c>
      <c r="H693" s="15" t="s">
        <v>63</v>
      </c>
      <c r="I693" s="15" t="s">
        <v>246</v>
      </c>
    </row>
    <row r="694" customFormat="false" ht="23.25" hidden="false" customHeight="true" outlineLevel="0" collapsed="false">
      <c r="A694" s="14" t="n">
        <v>693</v>
      </c>
      <c r="B694" s="14" t="s">
        <v>878</v>
      </c>
      <c r="C694" s="14" t="s">
        <v>879</v>
      </c>
      <c r="D694" s="15" t="s">
        <v>880</v>
      </c>
      <c r="E694" s="15" t="s">
        <v>881</v>
      </c>
      <c r="F694" s="15" t="s">
        <v>886</v>
      </c>
      <c r="G694" s="15" t="s">
        <v>327</v>
      </c>
      <c r="H694" s="15" t="s">
        <v>63</v>
      </c>
      <c r="I694" s="15" t="s">
        <v>246</v>
      </c>
    </row>
    <row r="695" customFormat="false" ht="23.25" hidden="false" customHeight="true" outlineLevel="0" collapsed="false">
      <c r="A695" s="14" t="n">
        <v>694</v>
      </c>
      <c r="B695" s="14" t="s">
        <v>878</v>
      </c>
      <c r="C695" s="14" t="s">
        <v>879</v>
      </c>
      <c r="D695" s="15" t="s">
        <v>880</v>
      </c>
      <c r="E695" s="15" t="s">
        <v>881</v>
      </c>
      <c r="F695" s="15" t="s">
        <v>887</v>
      </c>
      <c r="G695" s="15" t="s">
        <v>802</v>
      </c>
      <c r="H695" s="15" t="s">
        <v>63</v>
      </c>
      <c r="I695" s="15" t="s">
        <v>246</v>
      </c>
    </row>
    <row r="696" customFormat="false" ht="23.25" hidden="false" customHeight="true" outlineLevel="0" collapsed="false">
      <c r="A696" s="14" t="n">
        <v>695</v>
      </c>
      <c r="B696" s="14" t="s">
        <v>878</v>
      </c>
      <c r="C696" s="14" t="s">
        <v>879</v>
      </c>
      <c r="D696" s="15" t="s">
        <v>880</v>
      </c>
      <c r="E696" s="15" t="s">
        <v>881</v>
      </c>
      <c r="F696" s="15" t="s">
        <v>888</v>
      </c>
      <c r="G696" s="15" t="s">
        <v>889</v>
      </c>
      <c r="H696" s="15" t="s">
        <v>63</v>
      </c>
      <c r="I696" s="15" t="s">
        <v>246</v>
      </c>
    </row>
    <row r="697" customFormat="false" ht="23.25" hidden="false" customHeight="true" outlineLevel="0" collapsed="false">
      <c r="A697" s="14" t="n">
        <v>696</v>
      </c>
      <c r="B697" s="14" t="s">
        <v>878</v>
      </c>
      <c r="C697" s="14" t="s">
        <v>879</v>
      </c>
      <c r="D697" s="15" t="s">
        <v>880</v>
      </c>
      <c r="E697" s="15" t="s">
        <v>881</v>
      </c>
      <c r="F697" s="15" t="s">
        <v>444</v>
      </c>
      <c r="G697" s="15" t="s">
        <v>890</v>
      </c>
      <c r="H697" s="15" t="s">
        <v>63</v>
      </c>
      <c r="I697" s="15" t="s">
        <v>246</v>
      </c>
    </row>
    <row r="698" customFormat="false" ht="23.25" hidden="false" customHeight="true" outlineLevel="0" collapsed="false">
      <c r="A698" s="14" t="n">
        <v>697</v>
      </c>
      <c r="B698" s="14" t="s">
        <v>878</v>
      </c>
      <c r="C698" s="14" t="s">
        <v>879</v>
      </c>
      <c r="D698" s="15" t="s">
        <v>880</v>
      </c>
      <c r="E698" s="15" t="s">
        <v>881</v>
      </c>
      <c r="F698" s="15" t="s">
        <v>891</v>
      </c>
      <c r="G698" s="15" t="s">
        <v>892</v>
      </c>
      <c r="H698" s="15" t="s">
        <v>63</v>
      </c>
      <c r="I698" s="15" t="s">
        <v>246</v>
      </c>
    </row>
    <row r="699" customFormat="false" ht="23.25" hidden="false" customHeight="true" outlineLevel="0" collapsed="false">
      <c r="A699" s="14" t="n">
        <v>698</v>
      </c>
      <c r="B699" s="14" t="s">
        <v>878</v>
      </c>
      <c r="C699" s="14" t="s">
        <v>879</v>
      </c>
      <c r="D699" s="15" t="s">
        <v>880</v>
      </c>
      <c r="E699" s="15" t="s">
        <v>881</v>
      </c>
      <c r="F699" s="15" t="s">
        <v>893</v>
      </c>
      <c r="G699" s="15" t="s">
        <v>894</v>
      </c>
      <c r="H699" s="15" t="s">
        <v>63</v>
      </c>
      <c r="I699" s="15" t="s">
        <v>246</v>
      </c>
    </row>
    <row r="700" customFormat="false" ht="23.25" hidden="false" customHeight="true" outlineLevel="0" collapsed="false">
      <c r="A700" s="14" t="n">
        <v>699</v>
      </c>
      <c r="B700" s="14" t="s">
        <v>878</v>
      </c>
      <c r="C700" s="14" t="s">
        <v>879</v>
      </c>
      <c r="D700" s="15" t="s">
        <v>880</v>
      </c>
      <c r="E700" s="15" t="s">
        <v>881</v>
      </c>
      <c r="F700" s="15" t="s">
        <v>36</v>
      </c>
      <c r="G700" s="15" t="s">
        <v>895</v>
      </c>
      <c r="H700" s="15" t="s">
        <v>63</v>
      </c>
      <c r="I700" s="15" t="s">
        <v>246</v>
      </c>
    </row>
    <row r="701" customFormat="false" ht="23.25" hidden="false" customHeight="true" outlineLevel="0" collapsed="false">
      <c r="A701" s="14" t="n">
        <v>700</v>
      </c>
      <c r="B701" s="14" t="s">
        <v>878</v>
      </c>
      <c r="C701" s="14" t="s">
        <v>879</v>
      </c>
      <c r="D701" s="15" t="s">
        <v>880</v>
      </c>
      <c r="E701" s="15" t="s">
        <v>881</v>
      </c>
      <c r="F701" s="15" t="s">
        <v>896</v>
      </c>
      <c r="G701" s="15" t="s">
        <v>897</v>
      </c>
      <c r="H701" s="15" t="s">
        <v>63</v>
      </c>
      <c r="I701" s="15" t="s">
        <v>246</v>
      </c>
    </row>
    <row r="702" customFormat="false" ht="23.25" hidden="false" customHeight="true" outlineLevel="0" collapsed="false">
      <c r="A702" s="14" t="n">
        <v>701</v>
      </c>
      <c r="B702" s="14" t="s">
        <v>878</v>
      </c>
      <c r="C702" s="14" t="s">
        <v>879</v>
      </c>
      <c r="D702" s="15" t="s">
        <v>880</v>
      </c>
      <c r="E702" s="15" t="s">
        <v>881</v>
      </c>
      <c r="F702" s="15" t="s">
        <v>898</v>
      </c>
      <c r="G702" s="15" t="s">
        <v>87</v>
      </c>
      <c r="H702" s="15" t="s">
        <v>63</v>
      </c>
      <c r="I702" s="15" t="s">
        <v>246</v>
      </c>
    </row>
    <row r="703" customFormat="false" ht="23.25" hidden="false" customHeight="true" outlineLevel="0" collapsed="false">
      <c r="A703" s="14" t="n">
        <v>702</v>
      </c>
      <c r="B703" s="14" t="s">
        <v>878</v>
      </c>
      <c r="C703" s="14" t="s">
        <v>879</v>
      </c>
      <c r="D703" s="15" t="s">
        <v>880</v>
      </c>
      <c r="E703" s="15" t="s">
        <v>881</v>
      </c>
      <c r="F703" s="15" t="s">
        <v>899</v>
      </c>
      <c r="G703" s="15" t="s">
        <v>261</v>
      </c>
      <c r="H703" s="15" t="s">
        <v>63</v>
      </c>
      <c r="I703" s="15" t="s">
        <v>246</v>
      </c>
    </row>
    <row r="704" customFormat="false" ht="23.25" hidden="false" customHeight="true" outlineLevel="0" collapsed="false">
      <c r="A704" s="14" t="n">
        <v>703</v>
      </c>
      <c r="B704" s="14" t="s">
        <v>878</v>
      </c>
      <c r="C704" s="14" t="s">
        <v>879</v>
      </c>
      <c r="D704" s="15" t="s">
        <v>880</v>
      </c>
      <c r="E704" s="15" t="s">
        <v>881</v>
      </c>
      <c r="F704" s="15" t="s">
        <v>900</v>
      </c>
      <c r="G704" s="15" t="s">
        <v>816</v>
      </c>
      <c r="H704" s="15" t="s">
        <v>63</v>
      </c>
      <c r="I704" s="15" t="s">
        <v>246</v>
      </c>
    </row>
    <row r="705" customFormat="false" ht="23.25" hidden="false" customHeight="true" outlineLevel="0" collapsed="false">
      <c r="A705" s="14" t="n">
        <v>704</v>
      </c>
      <c r="B705" s="14" t="s">
        <v>878</v>
      </c>
      <c r="C705" s="14" t="s">
        <v>879</v>
      </c>
      <c r="D705" s="15" t="s">
        <v>880</v>
      </c>
      <c r="E705" s="15" t="s">
        <v>881</v>
      </c>
      <c r="F705" s="15" t="s">
        <v>691</v>
      </c>
      <c r="G705" s="15" t="s">
        <v>266</v>
      </c>
      <c r="H705" s="15" t="s">
        <v>63</v>
      </c>
      <c r="I705" s="15" t="s">
        <v>246</v>
      </c>
    </row>
    <row r="706" customFormat="false" ht="23.25" hidden="false" customHeight="true" outlineLevel="0" collapsed="false">
      <c r="A706" s="14" t="n">
        <v>705</v>
      </c>
      <c r="B706" s="14" t="s">
        <v>878</v>
      </c>
      <c r="C706" s="14" t="s">
        <v>879</v>
      </c>
      <c r="D706" s="15" t="s">
        <v>880</v>
      </c>
      <c r="E706" s="15" t="s">
        <v>881</v>
      </c>
      <c r="F706" s="15" t="s">
        <v>901</v>
      </c>
      <c r="G706" s="15" t="s">
        <v>266</v>
      </c>
      <c r="H706" s="15" t="s">
        <v>63</v>
      </c>
      <c r="I706" s="15" t="s">
        <v>246</v>
      </c>
    </row>
    <row r="707" customFormat="false" ht="23.25" hidden="false" customHeight="true" outlineLevel="0" collapsed="false">
      <c r="A707" s="14" t="n">
        <v>706</v>
      </c>
      <c r="B707" s="14" t="s">
        <v>878</v>
      </c>
      <c r="C707" s="14" t="s">
        <v>879</v>
      </c>
      <c r="D707" s="15" t="s">
        <v>880</v>
      </c>
      <c r="E707" s="15" t="s">
        <v>881</v>
      </c>
      <c r="F707" s="15" t="s">
        <v>902</v>
      </c>
      <c r="G707" s="15" t="s">
        <v>87</v>
      </c>
      <c r="H707" s="15" t="s">
        <v>63</v>
      </c>
      <c r="I707" s="15" t="s">
        <v>246</v>
      </c>
    </row>
    <row r="708" customFormat="false" ht="23.25" hidden="false" customHeight="true" outlineLevel="0" collapsed="false">
      <c r="A708" s="14" t="n">
        <v>707</v>
      </c>
      <c r="B708" s="14" t="s">
        <v>878</v>
      </c>
      <c r="C708" s="14" t="s">
        <v>879</v>
      </c>
      <c r="D708" s="15" t="s">
        <v>880</v>
      </c>
      <c r="E708" s="15" t="s">
        <v>881</v>
      </c>
      <c r="F708" s="15" t="s">
        <v>903</v>
      </c>
      <c r="G708" s="15" t="s">
        <v>274</v>
      </c>
      <c r="H708" s="15" t="s">
        <v>63</v>
      </c>
      <c r="I708" s="15" t="s">
        <v>246</v>
      </c>
    </row>
    <row r="709" customFormat="false" ht="23.25" hidden="false" customHeight="true" outlineLevel="0" collapsed="false">
      <c r="A709" s="14" t="n">
        <v>708</v>
      </c>
      <c r="B709" s="14" t="s">
        <v>878</v>
      </c>
      <c r="C709" s="14" t="s">
        <v>879</v>
      </c>
      <c r="D709" s="15" t="s">
        <v>880</v>
      </c>
      <c r="E709" s="15" t="s">
        <v>881</v>
      </c>
      <c r="F709" s="15" t="s">
        <v>904</v>
      </c>
      <c r="G709" s="15" t="s">
        <v>905</v>
      </c>
      <c r="H709" s="15" t="s">
        <v>63</v>
      </c>
      <c r="I709" s="15" t="s">
        <v>246</v>
      </c>
    </row>
    <row r="710" customFormat="false" ht="23.25" hidden="false" customHeight="true" outlineLevel="0" collapsed="false">
      <c r="A710" s="14" t="n">
        <v>709</v>
      </c>
      <c r="B710" s="14" t="s">
        <v>878</v>
      </c>
      <c r="C710" s="14" t="s">
        <v>879</v>
      </c>
      <c r="D710" s="15" t="s">
        <v>880</v>
      </c>
      <c r="E710" s="15" t="s">
        <v>881</v>
      </c>
      <c r="F710" s="15" t="s">
        <v>906</v>
      </c>
      <c r="G710" s="15" t="s">
        <v>905</v>
      </c>
      <c r="H710" s="15" t="s">
        <v>63</v>
      </c>
      <c r="I710" s="15" t="s">
        <v>246</v>
      </c>
    </row>
    <row r="711" customFormat="false" ht="23.25" hidden="false" customHeight="true" outlineLevel="0" collapsed="false">
      <c r="A711" s="14" t="n">
        <v>710</v>
      </c>
      <c r="B711" s="14" t="s">
        <v>878</v>
      </c>
      <c r="C711" s="14" t="s">
        <v>879</v>
      </c>
      <c r="D711" s="15" t="s">
        <v>880</v>
      </c>
      <c r="E711" s="15" t="s">
        <v>881</v>
      </c>
      <c r="F711" s="15" t="s">
        <v>875</v>
      </c>
      <c r="G711" s="15" t="s">
        <v>907</v>
      </c>
      <c r="H711" s="15" t="s">
        <v>63</v>
      </c>
      <c r="I711" s="15" t="s">
        <v>246</v>
      </c>
    </row>
    <row r="712" customFormat="false" ht="23.25" hidden="false" customHeight="true" outlineLevel="0" collapsed="false">
      <c r="A712" s="14" t="n">
        <v>711</v>
      </c>
      <c r="B712" s="14" t="s">
        <v>878</v>
      </c>
      <c r="C712" s="14" t="s">
        <v>879</v>
      </c>
      <c r="D712" s="15" t="s">
        <v>880</v>
      </c>
      <c r="E712" s="15" t="s">
        <v>881</v>
      </c>
      <c r="F712" s="15" t="s">
        <v>908</v>
      </c>
      <c r="G712" s="15" t="s">
        <v>905</v>
      </c>
      <c r="H712" s="15" t="s">
        <v>63</v>
      </c>
      <c r="I712" s="15" t="s">
        <v>246</v>
      </c>
    </row>
    <row r="713" customFormat="false" ht="23.25" hidden="false" customHeight="true" outlineLevel="0" collapsed="false">
      <c r="A713" s="14" t="n">
        <v>712</v>
      </c>
      <c r="B713" s="14" t="s">
        <v>878</v>
      </c>
      <c r="C713" s="14" t="s">
        <v>879</v>
      </c>
      <c r="D713" s="15" t="s">
        <v>880</v>
      </c>
      <c r="E713" s="15" t="s">
        <v>881</v>
      </c>
      <c r="F713" s="15" t="s">
        <v>909</v>
      </c>
      <c r="G713" s="15" t="s">
        <v>910</v>
      </c>
      <c r="H713" s="15" t="s">
        <v>63</v>
      </c>
      <c r="I713" s="15" t="s">
        <v>246</v>
      </c>
    </row>
    <row r="714" customFormat="false" ht="23.25" hidden="false" customHeight="true" outlineLevel="0" collapsed="false">
      <c r="A714" s="14" t="n">
        <v>713</v>
      </c>
      <c r="B714" s="14" t="s">
        <v>878</v>
      </c>
      <c r="C714" s="14" t="s">
        <v>879</v>
      </c>
      <c r="D714" s="15" t="s">
        <v>880</v>
      </c>
      <c r="E714" s="15" t="s">
        <v>881</v>
      </c>
      <c r="F714" s="15" t="s">
        <v>911</v>
      </c>
      <c r="G714" s="15" t="s">
        <v>912</v>
      </c>
      <c r="H714" s="15" t="s">
        <v>63</v>
      </c>
      <c r="I714" s="15" t="s">
        <v>246</v>
      </c>
    </row>
    <row r="715" customFormat="false" ht="23.25" hidden="false" customHeight="true" outlineLevel="0" collapsed="false">
      <c r="A715" s="14" t="n">
        <v>714</v>
      </c>
      <c r="B715" s="14" t="s">
        <v>878</v>
      </c>
      <c r="C715" s="14" t="s">
        <v>879</v>
      </c>
      <c r="D715" s="15" t="s">
        <v>880</v>
      </c>
      <c r="E715" s="15" t="s">
        <v>881</v>
      </c>
      <c r="F715" s="15" t="s">
        <v>289</v>
      </c>
      <c r="G715" s="15" t="s">
        <v>913</v>
      </c>
      <c r="H715" s="15" t="s">
        <v>63</v>
      </c>
      <c r="I715" s="15" t="s">
        <v>246</v>
      </c>
    </row>
    <row r="716" customFormat="false" ht="23.25" hidden="false" customHeight="true" outlineLevel="0" collapsed="false">
      <c r="A716" s="14" t="n">
        <v>715</v>
      </c>
      <c r="B716" s="14" t="s">
        <v>878</v>
      </c>
      <c r="C716" s="14" t="s">
        <v>879</v>
      </c>
      <c r="D716" s="15" t="s">
        <v>880</v>
      </c>
      <c r="E716" s="15" t="s">
        <v>881</v>
      </c>
      <c r="F716" s="15" t="s">
        <v>671</v>
      </c>
      <c r="G716" s="15" t="s">
        <v>914</v>
      </c>
      <c r="H716" s="15" t="s">
        <v>63</v>
      </c>
      <c r="I716" s="15" t="s">
        <v>246</v>
      </c>
    </row>
    <row r="717" customFormat="false" ht="23.25" hidden="false" customHeight="true" outlineLevel="0" collapsed="false">
      <c r="A717" s="14" t="n">
        <v>716</v>
      </c>
      <c r="B717" s="14" t="s">
        <v>878</v>
      </c>
      <c r="C717" s="14" t="s">
        <v>879</v>
      </c>
      <c r="D717" s="15" t="s">
        <v>880</v>
      </c>
      <c r="E717" s="15" t="s">
        <v>881</v>
      </c>
      <c r="F717" s="15" t="s">
        <v>915</v>
      </c>
      <c r="G717" s="15" t="s">
        <v>916</v>
      </c>
      <c r="H717" s="15" t="s">
        <v>63</v>
      </c>
      <c r="I717" s="15" t="s">
        <v>246</v>
      </c>
    </row>
    <row r="718" customFormat="false" ht="23.25" hidden="false" customHeight="true" outlineLevel="0" collapsed="false">
      <c r="A718" s="14" t="n">
        <v>717</v>
      </c>
      <c r="B718" s="14" t="s">
        <v>878</v>
      </c>
      <c r="C718" s="14" t="s">
        <v>879</v>
      </c>
      <c r="D718" s="15" t="s">
        <v>880</v>
      </c>
      <c r="E718" s="15" t="s">
        <v>881</v>
      </c>
      <c r="F718" s="15" t="s">
        <v>917</v>
      </c>
      <c r="G718" s="15" t="s">
        <v>918</v>
      </c>
      <c r="H718" s="15" t="s">
        <v>63</v>
      </c>
      <c r="I718" s="15" t="s">
        <v>246</v>
      </c>
    </row>
    <row r="719" customFormat="false" ht="23.25" hidden="false" customHeight="true" outlineLevel="0" collapsed="false">
      <c r="A719" s="14" t="n">
        <v>718</v>
      </c>
      <c r="B719" s="14" t="s">
        <v>878</v>
      </c>
      <c r="C719" s="14" t="s">
        <v>879</v>
      </c>
      <c r="D719" s="15" t="s">
        <v>880</v>
      </c>
      <c r="E719" s="15" t="s">
        <v>881</v>
      </c>
      <c r="F719" s="15" t="s">
        <v>168</v>
      </c>
      <c r="G719" s="15" t="s">
        <v>919</v>
      </c>
      <c r="H719" s="15" t="s">
        <v>63</v>
      </c>
      <c r="I719" s="15" t="s">
        <v>246</v>
      </c>
    </row>
    <row r="720" customFormat="false" ht="23.25" hidden="false" customHeight="true" outlineLevel="0" collapsed="false">
      <c r="A720" s="14" t="n">
        <v>719</v>
      </c>
      <c r="B720" s="14" t="s">
        <v>878</v>
      </c>
      <c r="C720" s="14" t="s">
        <v>879</v>
      </c>
      <c r="D720" s="15" t="s">
        <v>880</v>
      </c>
      <c r="E720" s="15" t="s">
        <v>881</v>
      </c>
      <c r="F720" s="15" t="s">
        <v>920</v>
      </c>
      <c r="G720" s="15" t="s">
        <v>921</v>
      </c>
      <c r="H720" s="15" t="s">
        <v>63</v>
      </c>
      <c r="I720" s="15" t="s">
        <v>246</v>
      </c>
    </row>
    <row r="721" customFormat="false" ht="23.25" hidden="false" customHeight="true" outlineLevel="0" collapsed="false">
      <c r="A721" s="14" t="n">
        <v>720</v>
      </c>
      <c r="B721" s="14" t="s">
        <v>878</v>
      </c>
      <c r="C721" s="14" t="s">
        <v>879</v>
      </c>
      <c r="D721" s="15" t="s">
        <v>880</v>
      </c>
      <c r="E721" s="15" t="s">
        <v>881</v>
      </c>
      <c r="F721" s="15" t="s">
        <v>922</v>
      </c>
      <c r="G721" s="15" t="s">
        <v>923</v>
      </c>
      <c r="H721" s="15" t="s">
        <v>63</v>
      </c>
      <c r="I721" s="15" t="s">
        <v>246</v>
      </c>
    </row>
    <row r="722" customFormat="false" ht="23.25" hidden="false" customHeight="true" outlineLevel="0" collapsed="false">
      <c r="A722" s="14" t="n">
        <v>721</v>
      </c>
      <c r="B722" s="14" t="s">
        <v>878</v>
      </c>
      <c r="C722" s="14" t="s">
        <v>879</v>
      </c>
      <c r="D722" s="15" t="s">
        <v>880</v>
      </c>
      <c r="E722" s="15" t="s">
        <v>881</v>
      </c>
      <c r="F722" s="15" t="s">
        <v>924</v>
      </c>
      <c r="G722" s="15" t="s">
        <v>925</v>
      </c>
      <c r="H722" s="15" t="s">
        <v>63</v>
      </c>
      <c r="I722" s="15" t="s">
        <v>246</v>
      </c>
    </row>
    <row r="723" customFormat="false" ht="23.25" hidden="false" customHeight="true" outlineLevel="0" collapsed="false">
      <c r="A723" s="14" t="n">
        <v>722</v>
      </c>
      <c r="B723" s="14" t="s">
        <v>926</v>
      </c>
      <c r="C723" s="14" t="s">
        <v>927</v>
      </c>
      <c r="D723" s="15" t="s">
        <v>928</v>
      </c>
      <c r="E723" s="15" t="s">
        <v>929</v>
      </c>
      <c r="F723" s="15" t="s">
        <v>134</v>
      </c>
      <c r="G723" s="15" t="s">
        <v>62</v>
      </c>
      <c r="H723" s="15" t="s">
        <v>63</v>
      </c>
      <c r="I723" s="15" t="s">
        <v>246</v>
      </c>
    </row>
    <row r="724" customFormat="false" ht="23.25" hidden="false" customHeight="true" outlineLevel="0" collapsed="false">
      <c r="A724" s="14" t="n">
        <v>723</v>
      </c>
      <c r="B724" s="14" t="s">
        <v>926</v>
      </c>
      <c r="C724" s="14" t="s">
        <v>927</v>
      </c>
      <c r="D724" s="15" t="s">
        <v>928</v>
      </c>
      <c r="E724" s="15" t="s">
        <v>929</v>
      </c>
      <c r="F724" s="15" t="s">
        <v>930</v>
      </c>
      <c r="G724" s="15" t="s">
        <v>62</v>
      </c>
      <c r="H724" s="15" t="s">
        <v>63</v>
      </c>
      <c r="I724" s="15" t="s">
        <v>246</v>
      </c>
    </row>
    <row r="725" customFormat="false" ht="23.25" hidden="false" customHeight="true" outlineLevel="0" collapsed="false">
      <c r="A725" s="14" t="n">
        <v>724</v>
      </c>
      <c r="B725" s="14" t="s">
        <v>926</v>
      </c>
      <c r="C725" s="14" t="s">
        <v>927</v>
      </c>
      <c r="D725" s="15" t="s">
        <v>928</v>
      </c>
      <c r="E725" s="15" t="s">
        <v>929</v>
      </c>
      <c r="F725" s="15" t="s">
        <v>67</v>
      </c>
      <c r="G725" s="15" t="s">
        <v>62</v>
      </c>
      <c r="H725" s="15" t="s">
        <v>63</v>
      </c>
      <c r="I725" s="15" t="s">
        <v>246</v>
      </c>
    </row>
    <row r="726" customFormat="false" ht="23.25" hidden="false" customHeight="true" outlineLevel="0" collapsed="false">
      <c r="A726" s="14" t="n">
        <v>725</v>
      </c>
      <c r="B726" s="14" t="s">
        <v>926</v>
      </c>
      <c r="C726" s="14" t="s">
        <v>927</v>
      </c>
      <c r="D726" s="15" t="s">
        <v>928</v>
      </c>
      <c r="E726" s="15" t="s">
        <v>929</v>
      </c>
      <c r="F726" s="15" t="s">
        <v>931</v>
      </c>
      <c r="G726" s="15" t="s">
        <v>62</v>
      </c>
      <c r="H726" s="15" t="s">
        <v>63</v>
      </c>
      <c r="I726" s="15" t="s">
        <v>246</v>
      </c>
    </row>
    <row r="727" customFormat="false" ht="23.25" hidden="false" customHeight="true" outlineLevel="0" collapsed="false">
      <c r="A727" s="14" t="n">
        <v>726</v>
      </c>
      <c r="B727" s="14" t="s">
        <v>926</v>
      </c>
      <c r="C727" s="14" t="s">
        <v>927</v>
      </c>
      <c r="D727" s="15" t="s">
        <v>928</v>
      </c>
      <c r="E727" s="15" t="s">
        <v>929</v>
      </c>
      <c r="F727" s="15" t="s">
        <v>425</v>
      </c>
      <c r="G727" s="15" t="s">
        <v>62</v>
      </c>
      <c r="H727" s="15" t="s">
        <v>63</v>
      </c>
      <c r="I727" s="15" t="s">
        <v>246</v>
      </c>
    </row>
    <row r="728" customFormat="false" ht="23.25" hidden="false" customHeight="true" outlineLevel="0" collapsed="false">
      <c r="A728" s="14" t="n">
        <v>727</v>
      </c>
      <c r="B728" s="14" t="s">
        <v>926</v>
      </c>
      <c r="C728" s="14" t="s">
        <v>927</v>
      </c>
      <c r="D728" s="15" t="s">
        <v>928</v>
      </c>
      <c r="E728" s="15" t="s">
        <v>929</v>
      </c>
      <c r="F728" s="15" t="s">
        <v>932</v>
      </c>
      <c r="G728" s="15" t="s">
        <v>62</v>
      </c>
      <c r="H728" s="15" t="s">
        <v>63</v>
      </c>
      <c r="I728" s="15" t="s">
        <v>246</v>
      </c>
    </row>
    <row r="729" customFormat="false" ht="23.25" hidden="false" customHeight="true" outlineLevel="0" collapsed="false">
      <c r="A729" s="14" t="n">
        <v>728</v>
      </c>
      <c r="B729" s="14" t="s">
        <v>926</v>
      </c>
      <c r="C729" s="14" t="s">
        <v>927</v>
      </c>
      <c r="D729" s="15" t="s">
        <v>928</v>
      </c>
      <c r="E729" s="15" t="s">
        <v>929</v>
      </c>
      <c r="F729" s="15" t="s">
        <v>232</v>
      </c>
      <c r="G729" s="15" t="s">
        <v>62</v>
      </c>
      <c r="H729" s="15" t="s">
        <v>63</v>
      </c>
      <c r="I729" s="15" t="s">
        <v>246</v>
      </c>
    </row>
    <row r="730" customFormat="false" ht="23.25" hidden="false" customHeight="true" outlineLevel="0" collapsed="false">
      <c r="A730" s="14" t="n">
        <v>729</v>
      </c>
      <c r="B730" s="14" t="s">
        <v>926</v>
      </c>
      <c r="C730" s="14" t="s">
        <v>927</v>
      </c>
      <c r="D730" s="15" t="s">
        <v>928</v>
      </c>
      <c r="E730" s="15" t="s">
        <v>929</v>
      </c>
      <c r="F730" s="15" t="s">
        <v>933</v>
      </c>
      <c r="G730" s="15" t="s">
        <v>62</v>
      </c>
      <c r="H730" s="15" t="s">
        <v>63</v>
      </c>
      <c r="I730" s="15" t="s">
        <v>246</v>
      </c>
    </row>
    <row r="731" customFormat="false" ht="23.25" hidden="false" customHeight="true" outlineLevel="0" collapsed="false">
      <c r="A731" s="14" t="n">
        <v>730</v>
      </c>
      <c r="B731" s="14" t="s">
        <v>926</v>
      </c>
      <c r="C731" s="14" t="s">
        <v>927</v>
      </c>
      <c r="D731" s="15" t="s">
        <v>928</v>
      </c>
      <c r="E731" s="15" t="s">
        <v>929</v>
      </c>
      <c r="F731" s="15" t="s">
        <v>934</v>
      </c>
      <c r="G731" s="15" t="s">
        <v>62</v>
      </c>
      <c r="H731" s="15" t="s">
        <v>63</v>
      </c>
      <c r="I731" s="15" t="s">
        <v>246</v>
      </c>
    </row>
    <row r="732" customFormat="false" ht="23.25" hidden="false" customHeight="true" outlineLevel="0" collapsed="false">
      <c r="A732" s="14" t="n">
        <v>731</v>
      </c>
      <c r="B732" s="14" t="s">
        <v>926</v>
      </c>
      <c r="C732" s="14" t="s">
        <v>927</v>
      </c>
      <c r="D732" s="15" t="s">
        <v>928</v>
      </c>
      <c r="E732" s="15" t="s">
        <v>929</v>
      </c>
      <c r="F732" s="15" t="s">
        <v>935</v>
      </c>
      <c r="G732" s="15" t="s">
        <v>62</v>
      </c>
      <c r="H732" s="15" t="s">
        <v>63</v>
      </c>
      <c r="I732" s="15" t="s">
        <v>246</v>
      </c>
    </row>
    <row r="733" customFormat="false" ht="23.25" hidden="false" customHeight="true" outlineLevel="0" collapsed="false">
      <c r="A733" s="14" t="n">
        <v>732</v>
      </c>
      <c r="B733" s="14" t="s">
        <v>926</v>
      </c>
      <c r="C733" s="14" t="s">
        <v>927</v>
      </c>
      <c r="D733" s="15" t="s">
        <v>928</v>
      </c>
      <c r="E733" s="15" t="s">
        <v>929</v>
      </c>
      <c r="F733" s="15" t="s">
        <v>422</v>
      </c>
      <c r="G733" s="15" t="s">
        <v>62</v>
      </c>
      <c r="H733" s="15" t="s">
        <v>63</v>
      </c>
      <c r="I733" s="15" t="s">
        <v>246</v>
      </c>
    </row>
    <row r="734" customFormat="false" ht="23.25" hidden="false" customHeight="true" outlineLevel="0" collapsed="false">
      <c r="A734" s="14" t="n">
        <v>733</v>
      </c>
      <c r="B734" s="14" t="s">
        <v>926</v>
      </c>
      <c r="C734" s="14" t="s">
        <v>927</v>
      </c>
      <c r="D734" s="15" t="s">
        <v>928</v>
      </c>
      <c r="E734" s="15" t="s">
        <v>929</v>
      </c>
      <c r="F734" s="15" t="s">
        <v>936</v>
      </c>
      <c r="G734" s="15" t="s">
        <v>62</v>
      </c>
      <c r="H734" s="15" t="s">
        <v>63</v>
      </c>
      <c r="I734" s="15" t="s">
        <v>246</v>
      </c>
    </row>
    <row r="735" customFormat="false" ht="23.25" hidden="false" customHeight="true" outlineLevel="0" collapsed="false">
      <c r="A735" s="14" t="n">
        <v>734</v>
      </c>
      <c r="B735" s="14" t="s">
        <v>926</v>
      </c>
      <c r="C735" s="14" t="s">
        <v>927</v>
      </c>
      <c r="D735" s="15" t="s">
        <v>928</v>
      </c>
      <c r="E735" s="15" t="s">
        <v>929</v>
      </c>
      <c r="F735" s="15" t="s">
        <v>937</v>
      </c>
      <c r="G735" s="15" t="s">
        <v>62</v>
      </c>
      <c r="H735" s="15" t="s">
        <v>63</v>
      </c>
      <c r="I735" s="15" t="s">
        <v>246</v>
      </c>
    </row>
    <row r="736" customFormat="false" ht="23.25" hidden="false" customHeight="true" outlineLevel="0" collapsed="false">
      <c r="A736" s="14" t="n">
        <v>735</v>
      </c>
      <c r="B736" s="14" t="s">
        <v>938</v>
      </c>
      <c r="C736" s="14" t="s">
        <v>939</v>
      </c>
      <c r="D736" s="15" t="s">
        <v>940</v>
      </c>
      <c r="E736" s="15" t="s">
        <v>941</v>
      </c>
      <c r="F736" s="15" t="s">
        <v>942</v>
      </c>
      <c r="G736" s="15" t="s">
        <v>62</v>
      </c>
      <c r="H736" s="15" t="s">
        <v>63</v>
      </c>
      <c r="I736" s="15" t="s">
        <v>246</v>
      </c>
    </row>
    <row r="737" customFormat="false" ht="23.25" hidden="false" customHeight="true" outlineLevel="0" collapsed="false">
      <c r="A737" s="14" t="n">
        <v>736</v>
      </c>
      <c r="B737" s="14" t="s">
        <v>938</v>
      </c>
      <c r="C737" s="14" t="s">
        <v>939</v>
      </c>
      <c r="D737" s="15" t="s">
        <v>940</v>
      </c>
      <c r="E737" s="15" t="s">
        <v>941</v>
      </c>
      <c r="F737" s="15" t="s">
        <v>943</v>
      </c>
      <c r="G737" s="15" t="s">
        <v>62</v>
      </c>
      <c r="H737" s="15" t="s">
        <v>63</v>
      </c>
      <c r="I737" s="15" t="s">
        <v>246</v>
      </c>
    </row>
    <row r="738" customFormat="false" ht="23.25" hidden="false" customHeight="true" outlineLevel="0" collapsed="false">
      <c r="A738" s="14" t="n">
        <v>737</v>
      </c>
      <c r="B738" s="14" t="s">
        <v>938</v>
      </c>
      <c r="C738" s="14" t="s">
        <v>939</v>
      </c>
      <c r="D738" s="15" t="s">
        <v>940</v>
      </c>
      <c r="E738" s="15" t="s">
        <v>941</v>
      </c>
      <c r="F738" s="15" t="s">
        <v>944</v>
      </c>
      <c r="G738" s="15" t="s">
        <v>62</v>
      </c>
      <c r="H738" s="15" t="s">
        <v>63</v>
      </c>
      <c r="I738" s="15" t="s">
        <v>246</v>
      </c>
    </row>
    <row r="739" customFormat="false" ht="23.25" hidden="false" customHeight="true" outlineLevel="0" collapsed="false">
      <c r="A739" s="14" t="n">
        <v>738</v>
      </c>
      <c r="B739" s="14" t="s">
        <v>938</v>
      </c>
      <c r="C739" s="14" t="s">
        <v>939</v>
      </c>
      <c r="D739" s="15" t="s">
        <v>940</v>
      </c>
      <c r="E739" s="15" t="s">
        <v>941</v>
      </c>
      <c r="F739" s="15" t="s">
        <v>945</v>
      </c>
      <c r="G739" s="15" t="s">
        <v>62</v>
      </c>
      <c r="H739" s="15" t="s">
        <v>63</v>
      </c>
      <c r="I739" s="15" t="s">
        <v>246</v>
      </c>
    </row>
    <row r="740" customFormat="false" ht="23.25" hidden="false" customHeight="true" outlineLevel="0" collapsed="false">
      <c r="A740" s="14" t="n">
        <v>739</v>
      </c>
      <c r="B740" s="14" t="s">
        <v>938</v>
      </c>
      <c r="C740" s="14" t="s">
        <v>939</v>
      </c>
      <c r="D740" s="15" t="s">
        <v>940</v>
      </c>
      <c r="E740" s="15" t="s">
        <v>941</v>
      </c>
      <c r="F740" s="15" t="s">
        <v>946</v>
      </c>
      <c r="G740" s="15" t="s">
        <v>62</v>
      </c>
      <c r="H740" s="15" t="s">
        <v>63</v>
      </c>
      <c r="I740" s="15" t="s">
        <v>246</v>
      </c>
    </row>
    <row r="741" customFormat="false" ht="23.25" hidden="false" customHeight="true" outlineLevel="0" collapsed="false">
      <c r="A741" s="14" t="n">
        <v>740</v>
      </c>
      <c r="B741" s="14" t="s">
        <v>938</v>
      </c>
      <c r="C741" s="14" t="s">
        <v>939</v>
      </c>
      <c r="D741" s="15" t="s">
        <v>940</v>
      </c>
      <c r="E741" s="15" t="s">
        <v>941</v>
      </c>
      <c r="F741" s="15" t="s">
        <v>225</v>
      </c>
      <c r="G741" s="15" t="s">
        <v>62</v>
      </c>
      <c r="H741" s="15" t="s">
        <v>63</v>
      </c>
      <c r="I741" s="15" t="s">
        <v>246</v>
      </c>
    </row>
    <row r="742" customFormat="false" ht="23.25" hidden="false" customHeight="true" outlineLevel="0" collapsed="false">
      <c r="A742" s="14" t="n">
        <v>741</v>
      </c>
      <c r="B742" s="14" t="s">
        <v>938</v>
      </c>
      <c r="C742" s="14" t="s">
        <v>939</v>
      </c>
      <c r="D742" s="15" t="s">
        <v>940</v>
      </c>
      <c r="E742" s="15" t="s">
        <v>941</v>
      </c>
      <c r="F742" s="15" t="s">
        <v>947</v>
      </c>
      <c r="G742" s="15" t="s">
        <v>62</v>
      </c>
      <c r="H742" s="15" t="s">
        <v>63</v>
      </c>
      <c r="I742" s="15" t="s">
        <v>246</v>
      </c>
    </row>
    <row r="743" customFormat="false" ht="23.25" hidden="false" customHeight="true" outlineLevel="0" collapsed="false">
      <c r="A743" s="14" t="n">
        <v>742</v>
      </c>
      <c r="B743" s="14" t="s">
        <v>938</v>
      </c>
      <c r="C743" s="14" t="s">
        <v>939</v>
      </c>
      <c r="D743" s="15" t="s">
        <v>940</v>
      </c>
      <c r="E743" s="15" t="s">
        <v>941</v>
      </c>
      <c r="F743" s="15" t="s">
        <v>36</v>
      </c>
      <c r="G743" s="15" t="s">
        <v>62</v>
      </c>
      <c r="H743" s="15" t="s">
        <v>63</v>
      </c>
      <c r="I743" s="15" t="s">
        <v>246</v>
      </c>
    </row>
    <row r="744" customFormat="false" ht="23.25" hidden="false" customHeight="true" outlineLevel="0" collapsed="false">
      <c r="A744" s="14" t="n">
        <v>743</v>
      </c>
      <c r="B744" s="14" t="s">
        <v>938</v>
      </c>
      <c r="C744" s="14" t="s">
        <v>939</v>
      </c>
      <c r="D744" s="15" t="s">
        <v>940</v>
      </c>
      <c r="E744" s="15" t="s">
        <v>941</v>
      </c>
      <c r="F744" s="15" t="s">
        <v>869</v>
      </c>
      <c r="G744" s="15" t="s">
        <v>62</v>
      </c>
      <c r="H744" s="15" t="s">
        <v>63</v>
      </c>
      <c r="I744" s="15" t="s">
        <v>246</v>
      </c>
    </row>
    <row r="745" customFormat="false" ht="23.25" hidden="false" customHeight="true" outlineLevel="0" collapsed="false">
      <c r="A745" s="14" t="n">
        <v>744</v>
      </c>
      <c r="B745" s="14" t="s">
        <v>938</v>
      </c>
      <c r="C745" s="14" t="s">
        <v>939</v>
      </c>
      <c r="D745" s="15" t="s">
        <v>940</v>
      </c>
      <c r="E745" s="15" t="s">
        <v>941</v>
      </c>
      <c r="F745" s="15" t="s">
        <v>67</v>
      </c>
      <c r="G745" s="15" t="s">
        <v>62</v>
      </c>
      <c r="H745" s="15" t="s">
        <v>63</v>
      </c>
      <c r="I745" s="15" t="s">
        <v>246</v>
      </c>
    </row>
    <row r="746" customFormat="false" ht="23.25" hidden="false" customHeight="true" outlineLevel="0" collapsed="false">
      <c r="A746" s="14" t="n">
        <v>745</v>
      </c>
      <c r="B746" s="14" t="s">
        <v>938</v>
      </c>
      <c r="C746" s="14" t="s">
        <v>939</v>
      </c>
      <c r="D746" s="15" t="s">
        <v>940</v>
      </c>
      <c r="E746" s="15" t="s">
        <v>941</v>
      </c>
      <c r="F746" s="15" t="s">
        <v>862</v>
      </c>
      <c r="G746" s="15" t="s">
        <v>62</v>
      </c>
      <c r="H746" s="15" t="s">
        <v>63</v>
      </c>
      <c r="I746" s="15" t="s">
        <v>246</v>
      </c>
    </row>
    <row r="747" customFormat="false" ht="23.25" hidden="false" customHeight="true" outlineLevel="0" collapsed="false">
      <c r="A747" s="14" t="n">
        <v>746</v>
      </c>
      <c r="B747" s="14" t="s">
        <v>938</v>
      </c>
      <c r="C747" s="14" t="s">
        <v>939</v>
      </c>
      <c r="D747" s="15" t="s">
        <v>940</v>
      </c>
      <c r="E747" s="15" t="s">
        <v>941</v>
      </c>
      <c r="F747" s="15" t="s">
        <v>32</v>
      </c>
      <c r="G747" s="15" t="s">
        <v>62</v>
      </c>
      <c r="H747" s="15" t="s">
        <v>63</v>
      </c>
      <c r="I747" s="15" t="s">
        <v>246</v>
      </c>
    </row>
    <row r="748" customFormat="false" ht="23.25" hidden="false" customHeight="true" outlineLevel="0" collapsed="false">
      <c r="A748" s="14" t="n">
        <v>747</v>
      </c>
      <c r="B748" s="14" t="s">
        <v>938</v>
      </c>
      <c r="C748" s="14" t="s">
        <v>939</v>
      </c>
      <c r="D748" s="15" t="s">
        <v>940</v>
      </c>
      <c r="E748" s="15" t="s">
        <v>941</v>
      </c>
      <c r="F748" s="15" t="s">
        <v>875</v>
      </c>
      <c r="G748" s="15" t="s">
        <v>62</v>
      </c>
      <c r="H748" s="15" t="s">
        <v>63</v>
      </c>
      <c r="I748" s="15" t="s">
        <v>246</v>
      </c>
    </row>
    <row r="749" customFormat="false" ht="23.25" hidden="false" customHeight="true" outlineLevel="0" collapsed="false">
      <c r="A749" s="14" t="n">
        <v>748</v>
      </c>
      <c r="B749" s="14" t="s">
        <v>938</v>
      </c>
      <c r="C749" s="14" t="s">
        <v>939</v>
      </c>
      <c r="D749" s="15" t="s">
        <v>940</v>
      </c>
      <c r="E749" s="15" t="s">
        <v>941</v>
      </c>
      <c r="F749" s="15" t="s">
        <v>363</v>
      </c>
      <c r="G749" s="15" t="s">
        <v>62</v>
      </c>
      <c r="H749" s="15" t="s">
        <v>63</v>
      </c>
      <c r="I749" s="15" t="s">
        <v>246</v>
      </c>
    </row>
    <row r="750" customFormat="false" ht="23.25" hidden="false" customHeight="true" outlineLevel="0" collapsed="false">
      <c r="A750" s="14" t="n">
        <v>749</v>
      </c>
      <c r="B750" s="14" t="s">
        <v>938</v>
      </c>
      <c r="C750" s="14" t="s">
        <v>939</v>
      </c>
      <c r="D750" s="15" t="s">
        <v>940</v>
      </c>
      <c r="E750" s="15" t="s">
        <v>941</v>
      </c>
      <c r="F750" s="15" t="s">
        <v>864</v>
      </c>
      <c r="G750" s="15" t="s">
        <v>62</v>
      </c>
      <c r="H750" s="15" t="s">
        <v>63</v>
      </c>
      <c r="I750" s="15" t="s">
        <v>246</v>
      </c>
    </row>
    <row r="751" customFormat="false" ht="23.25" hidden="false" customHeight="true" outlineLevel="0" collapsed="false">
      <c r="A751" s="14" t="n">
        <v>750</v>
      </c>
      <c r="B751" s="14" t="s">
        <v>938</v>
      </c>
      <c r="C751" s="14" t="s">
        <v>939</v>
      </c>
      <c r="D751" s="15" t="s">
        <v>940</v>
      </c>
      <c r="E751" s="15" t="s">
        <v>941</v>
      </c>
      <c r="F751" s="15" t="s">
        <v>420</v>
      </c>
      <c r="G751" s="15" t="s">
        <v>62</v>
      </c>
      <c r="H751" s="15" t="s">
        <v>63</v>
      </c>
      <c r="I751" s="15" t="s">
        <v>246</v>
      </c>
    </row>
    <row r="752" customFormat="false" ht="23.25" hidden="false" customHeight="true" outlineLevel="0" collapsed="false">
      <c r="A752" s="14" t="n">
        <v>751</v>
      </c>
      <c r="B752" s="14" t="s">
        <v>938</v>
      </c>
      <c r="C752" s="14" t="s">
        <v>939</v>
      </c>
      <c r="D752" s="15" t="s">
        <v>940</v>
      </c>
      <c r="E752" s="15" t="s">
        <v>941</v>
      </c>
      <c r="F752" s="15" t="s">
        <v>337</v>
      </c>
      <c r="G752" s="15" t="s">
        <v>62</v>
      </c>
      <c r="H752" s="15" t="s">
        <v>63</v>
      </c>
      <c r="I752" s="15" t="s">
        <v>246</v>
      </c>
    </row>
    <row r="753" customFormat="false" ht="23.25" hidden="false" customHeight="true" outlineLevel="0" collapsed="false">
      <c r="A753" s="14" t="n">
        <v>752</v>
      </c>
      <c r="B753" s="14" t="s">
        <v>938</v>
      </c>
      <c r="C753" s="14" t="s">
        <v>939</v>
      </c>
      <c r="D753" s="15" t="s">
        <v>940</v>
      </c>
      <c r="E753" s="15" t="s">
        <v>941</v>
      </c>
      <c r="F753" s="15" t="s">
        <v>39</v>
      </c>
      <c r="G753" s="15" t="s">
        <v>62</v>
      </c>
      <c r="H753" s="15" t="s">
        <v>63</v>
      </c>
      <c r="I753" s="15" t="s">
        <v>246</v>
      </c>
    </row>
    <row r="754" customFormat="false" ht="23.25" hidden="false" customHeight="true" outlineLevel="0" collapsed="false">
      <c r="A754" s="14" t="n">
        <v>753</v>
      </c>
      <c r="B754" s="14" t="s">
        <v>938</v>
      </c>
      <c r="C754" s="14" t="s">
        <v>939</v>
      </c>
      <c r="D754" s="15" t="s">
        <v>940</v>
      </c>
      <c r="E754" s="15" t="s">
        <v>941</v>
      </c>
      <c r="F754" s="15" t="s">
        <v>872</v>
      </c>
      <c r="G754" s="15" t="s">
        <v>62</v>
      </c>
      <c r="H754" s="15" t="s">
        <v>63</v>
      </c>
      <c r="I754" s="15" t="s">
        <v>246</v>
      </c>
    </row>
    <row r="755" customFormat="false" ht="23.25" hidden="false" customHeight="true" outlineLevel="0" collapsed="false">
      <c r="A755" s="14" t="n">
        <v>754</v>
      </c>
      <c r="B755" s="14" t="s">
        <v>938</v>
      </c>
      <c r="C755" s="14" t="s">
        <v>939</v>
      </c>
      <c r="D755" s="15" t="s">
        <v>940</v>
      </c>
      <c r="E755" s="15" t="s">
        <v>941</v>
      </c>
      <c r="F755" s="15" t="s">
        <v>948</v>
      </c>
      <c r="G755" s="15" t="s">
        <v>62</v>
      </c>
      <c r="H755" s="15" t="s">
        <v>63</v>
      </c>
      <c r="I755" s="15" t="s">
        <v>246</v>
      </c>
    </row>
    <row r="756" customFormat="false" ht="23.25" hidden="false" customHeight="true" outlineLevel="0" collapsed="false">
      <c r="A756" s="14" t="n">
        <v>755</v>
      </c>
      <c r="B756" s="14" t="s">
        <v>938</v>
      </c>
      <c r="C756" s="14" t="s">
        <v>939</v>
      </c>
      <c r="D756" s="15" t="s">
        <v>940</v>
      </c>
      <c r="E756" s="15" t="s">
        <v>941</v>
      </c>
      <c r="F756" s="15" t="s">
        <v>949</v>
      </c>
      <c r="G756" s="15" t="s">
        <v>62</v>
      </c>
      <c r="H756" s="15" t="s">
        <v>63</v>
      </c>
      <c r="I756" s="15" t="s">
        <v>246</v>
      </c>
    </row>
    <row r="757" customFormat="false" ht="23.25" hidden="false" customHeight="true" outlineLevel="0" collapsed="false">
      <c r="A757" s="14" t="n">
        <v>756</v>
      </c>
      <c r="B757" s="14" t="s">
        <v>950</v>
      </c>
      <c r="C757" s="14" t="s">
        <v>951</v>
      </c>
      <c r="D757" s="15" t="s">
        <v>952</v>
      </c>
      <c r="E757" s="15" t="s">
        <v>953</v>
      </c>
      <c r="F757" s="15" t="s">
        <v>954</v>
      </c>
      <c r="G757" s="15" t="s">
        <v>62</v>
      </c>
      <c r="H757" s="15" t="s">
        <v>63</v>
      </c>
      <c r="I757" s="15" t="s">
        <v>246</v>
      </c>
    </row>
    <row r="758" customFormat="false" ht="23.25" hidden="false" customHeight="true" outlineLevel="0" collapsed="false">
      <c r="A758" s="14" t="n">
        <v>757</v>
      </c>
      <c r="B758" s="14" t="s">
        <v>950</v>
      </c>
      <c r="C758" s="14" t="s">
        <v>951</v>
      </c>
      <c r="D758" s="15" t="s">
        <v>952</v>
      </c>
      <c r="E758" s="15" t="s">
        <v>953</v>
      </c>
      <c r="F758" s="15" t="s">
        <v>955</v>
      </c>
      <c r="G758" s="15" t="s">
        <v>62</v>
      </c>
      <c r="H758" s="15" t="s">
        <v>63</v>
      </c>
      <c r="I758" s="15" t="s">
        <v>246</v>
      </c>
    </row>
    <row r="759" customFormat="false" ht="23.25" hidden="false" customHeight="true" outlineLevel="0" collapsed="false">
      <c r="A759" s="14" t="n">
        <v>758</v>
      </c>
      <c r="B759" s="14" t="s">
        <v>950</v>
      </c>
      <c r="C759" s="14" t="s">
        <v>951</v>
      </c>
      <c r="D759" s="15" t="s">
        <v>952</v>
      </c>
      <c r="E759" s="15" t="s">
        <v>953</v>
      </c>
      <c r="F759" s="15" t="s">
        <v>956</v>
      </c>
      <c r="G759" s="15" t="s">
        <v>62</v>
      </c>
      <c r="H759" s="15" t="s">
        <v>63</v>
      </c>
      <c r="I759" s="15" t="s">
        <v>246</v>
      </c>
    </row>
    <row r="760" customFormat="false" ht="23.25" hidden="false" customHeight="true" outlineLevel="0" collapsed="false">
      <c r="A760" s="14" t="n">
        <v>759</v>
      </c>
      <c r="B760" s="14" t="s">
        <v>950</v>
      </c>
      <c r="C760" s="14" t="s">
        <v>951</v>
      </c>
      <c r="D760" s="15" t="s">
        <v>952</v>
      </c>
      <c r="E760" s="15" t="s">
        <v>953</v>
      </c>
      <c r="F760" s="15" t="s">
        <v>611</v>
      </c>
      <c r="G760" s="15" t="s">
        <v>62</v>
      </c>
      <c r="H760" s="15" t="s">
        <v>63</v>
      </c>
      <c r="I760" s="15" t="s">
        <v>246</v>
      </c>
    </row>
    <row r="761" customFormat="false" ht="23.25" hidden="false" customHeight="true" outlineLevel="0" collapsed="false">
      <c r="A761" s="14" t="n">
        <v>760</v>
      </c>
      <c r="B761" s="14" t="s">
        <v>950</v>
      </c>
      <c r="C761" s="14" t="s">
        <v>951</v>
      </c>
      <c r="D761" s="15" t="s">
        <v>952</v>
      </c>
      <c r="E761" s="15" t="s">
        <v>953</v>
      </c>
      <c r="F761" s="15" t="s">
        <v>957</v>
      </c>
      <c r="G761" s="15" t="s">
        <v>62</v>
      </c>
      <c r="H761" s="15" t="s">
        <v>63</v>
      </c>
      <c r="I761" s="15" t="s">
        <v>246</v>
      </c>
    </row>
    <row r="762" customFormat="false" ht="23.25" hidden="false" customHeight="true" outlineLevel="0" collapsed="false">
      <c r="A762" s="14" t="n">
        <v>761</v>
      </c>
      <c r="B762" s="14" t="s">
        <v>950</v>
      </c>
      <c r="C762" s="14" t="s">
        <v>951</v>
      </c>
      <c r="D762" s="15" t="s">
        <v>952</v>
      </c>
      <c r="E762" s="15" t="s">
        <v>953</v>
      </c>
      <c r="F762" s="15" t="s">
        <v>958</v>
      </c>
      <c r="G762" s="15" t="s">
        <v>62</v>
      </c>
      <c r="H762" s="15" t="s">
        <v>63</v>
      </c>
      <c r="I762" s="15" t="s">
        <v>246</v>
      </c>
    </row>
    <row r="763" customFormat="false" ht="23.25" hidden="false" customHeight="true" outlineLevel="0" collapsed="false">
      <c r="A763" s="14" t="n">
        <v>762</v>
      </c>
      <c r="B763" s="14" t="s">
        <v>959</v>
      </c>
      <c r="C763" s="14" t="s">
        <v>960</v>
      </c>
      <c r="D763" s="15" t="s">
        <v>961</v>
      </c>
      <c r="E763" s="15" t="s">
        <v>962</v>
      </c>
      <c r="F763" s="15" t="s">
        <v>24</v>
      </c>
      <c r="G763" s="15" t="s">
        <v>963</v>
      </c>
      <c r="H763" s="15" t="s">
        <v>63</v>
      </c>
      <c r="I763" s="15" t="s">
        <v>246</v>
      </c>
    </row>
    <row r="764" customFormat="false" ht="15" hidden="false" customHeight="true" outlineLevel="0" collapsed="false">
      <c r="A764" s="14" t="n">
        <v>763</v>
      </c>
      <c r="B764" s="14" t="s">
        <v>959</v>
      </c>
      <c r="C764" s="14" t="s">
        <v>960</v>
      </c>
      <c r="D764" s="15" t="s">
        <v>961</v>
      </c>
      <c r="E764" s="15" t="s">
        <v>962</v>
      </c>
      <c r="F764" s="15" t="s">
        <v>964</v>
      </c>
      <c r="G764" s="15" t="s">
        <v>965</v>
      </c>
      <c r="H764" s="15" t="s">
        <v>63</v>
      </c>
      <c r="I764" s="15" t="s">
        <v>246</v>
      </c>
    </row>
    <row r="765" customFormat="false" ht="23.25" hidden="false" customHeight="true" outlineLevel="0" collapsed="false">
      <c r="A765" s="14" t="n">
        <v>764</v>
      </c>
      <c r="B765" s="14" t="s">
        <v>959</v>
      </c>
      <c r="C765" s="14" t="s">
        <v>960</v>
      </c>
      <c r="D765" s="15" t="s">
        <v>961</v>
      </c>
      <c r="E765" s="15" t="s">
        <v>962</v>
      </c>
      <c r="F765" s="15" t="s">
        <v>705</v>
      </c>
      <c r="G765" s="15" t="s">
        <v>966</v>
      </c>
      <c r="H765" s="15" t="s">
        <v>63</v>
      </c>
      <c r="I765" s="15" t="s">
        <v>246</v>
      </c>
    </row>
    <row r="766" customFormat="false" ht="15" hidden="false" customHeight="true" outlineLevel="0" collapsed="false">
      <c r="A766" s="14" t="n">
        <v>765</v>
      </c>
      <c r="B766" s="14" t="s">
        <v>959</v>
      </c>
      <c r="C766" s="14" t="s">
        <v>960</v>
      </c>
      <c r="D766" s="15" t="s">
        <v>961</v>
      </c>
      <c r="E766" s="15" t="s">
        <v>962</v>
      </c>
      <c r="F766" s="15" t="s">
        <v>134</v>
      </c>
      <c r="G766" s="15" t="s">
        <v>967</v>
      </c>
      <c r="H766" s="15" t="s">
        <v>63</v>
      </c>
      <c r="I766" s="15" t="s">
        <v>246</v>
      </c>
    </row>
    <row r="767" customFormat="false" ht="23.25" hidden="false" customHeight="true" outlineLevel="0" collapsed="false">
      <c r="A767" s="14" t="n">
        <v>766</v>
      </c>
      <c r="B767" s="14" t="s">
        <v>959</v>
      </c>
      <c r="C767" s="14" t="s">
        <v>960</v>
      </c>
      <c r="D767" s="15" t="s">
        <v>961</v>
      </c>
      <c r="E767" s="15" t="s">
        <v>962</v>
      </c>
      <c r="F767" s="15" t="s">
        <v>968</v>
      </c>
      <c r="G767" s="15" t="s">
        <v>62</v>
      </c>
      <c r="H767" s="15" t="s">
        <v>63</v>
      </c>
      <c r="I767" s="15" t="s">
        <v>246</v>
      </c>
    </row>
    <row r="768" customFormat="false" ht="23.25" hidden="false" customHeight="true" outlineLevel="0" collapsed="false">
      <c r="A768" s="14" t="n">
        <v>767</v>
      </c>
      <c r="B768" s="14" t="s">
        <v>959</v>
      </c>
      <c r="C768" s="14" t="s">
        <v>960</v>
      </c>
      <c r="D768" s="15" t="s">
        <v>961</v>
      </c>
      <c r="E768" s="15" t="s">
        <v>962</v>
      </c>
      <c r="F768" s="15" t="s">
        <v>139</v>
      </c>
      <c r="G768" s="15" t="s">
        <v>62</v>
      </c>
      <c r="H768" s="15" t="s">
        <v>63</v>
      </c>
      <c r="I768" s="15" t="s">
        <v>246</v>
      </c>
    </row>
    <row r="769" customFormat="false" ht="15" hidden="false" customHeight="true" outlineLevel="0" collapsed="false">
      <c r="A769" s="14" t="n">
        <v>768</v>
      </c>
      <c r="B769" s="14" t="s">
        <v>959</v>
      </c>
      <c r="C769" s="14" t="s">
        <v>960</v>
      </c>
      <c r="D769" s="15" t="s">
        <v>961</v>
      </c>
      <c r="E769" s="15" t="s">
        <v>962</v>
      </c>
      <c r="F769" s="15" t="s">
        <v>444</v>
      </c>
      <c r="G769" s="15" t="s">
        <v>969</v>
      </c>
      <c r="H769" s="15" t="s">
        <v>63</v>
      </c>
      <c r="I769" s="15" t="s">
        <v>246</v>
      </c>
    </row>
    <row r="770" customFormat="false" ht="15" hidden="false" customHeight="true" outlineLevel="0" collapsed="false">
      <c r="A770" s="14" t="n">
        <v>769</v>
      </c>
      <c r="B770" s="14" t="s">
        <v>959</v>
      </c>
      <c r="C770" s="14" t="s">
        <v>960</v>
      </c>
      <c r="D770" s="15" t="s">
        <v>961</v>
      </c>
      <c r="E770" s="15" t="s">
        <v>962</v>
      </c>
      <c r="F770" s="15" t="s">
        <v>458</v>
      </c>
      <c r="G770" s="15" t="s">
        <v>970</v>
      </c>
      <c r="H770" s="15" t="s">
        <v>63</v>
      </c>
      <c r="I770" s="15" t="s">
        <v>246</v>
      </c>
    </row>
    <row r="771" customFormat="false" ht="23.25" hidden="false" customHeight="true" outlineLevel="0" collapsed="false">
      <c r="A771" s="14" t="n">
        <v>770</v>
      </c>
      <c r="B771" s="14" t="s">
        <v>971</v>
      </c>
      <c r="C771" s="14" t="s">
        <v>489</v>
      </c>
      <c r="D771" s="15" t="s">
        <v>972</v>
      </c>
      <c r="E771" s="15" t="s">
        <v>973</v>
      </c>
      <c r="F771" s="15" t="s">
        <v>134</v>
      </c>
      <c r="G771" s="15" t="s">
        <v>974</v>
      </c>
      <c r="H771" s="15" t="s">
        <v>975</v>
      </c>
      <c r="I771" s="15" t="s">
        <v>246</v>
      </c>
    </row>
    <row r="772" customFormat="false" ht="23.25" hidden="false" customHeight="true" outlineLevel="0" collapsed="false">
      <c r="A772" s="14" t="n">
        <v>771</v>
      </c>
      <c r="B772" s="14" t="s">
        <v>971</v>
      </c>
      <c r="C772" s="14" t="s">
        <v>489</v>
      </c>
      <c r="D772" s="15" t="s">
        <v>972</v>
      </c>
      <c r="E772" s="15" t="s">
        <v>973</v>
      </c>
      <c r="F772" s="15" t="s">
        <v>976</v>
      </c>
      <c r="G772" s="15" t="s">
        <v>977</v>
      </c>
      <c r="H772" s="15" t="s">
        <v>978</v>
      </c>
      <c r="I772" s="15" t="s">
        <v>246</v>
      </c>
    </row>
    <row r="773" customFormat="false" ht="23.25" hidden="false" customHeight="true" outlineLevel="0" collapsed="false">
      <c r="A773" s="14" t="n">
        <v>772</v>
      </c>
      <c r="B773" s="14" t="s">
        <v>971</v>
      </c>
      <c r="C773" s="14" t="s">
        <v>489</v>
      </c>
      <c r="D773" s="15" t="s">
        <v>972</v>
      </c>
      <c r="E773" s="15" t="s">
        <v>973</v>
      </c>
      <c r="F773" s="15" t="s">
        <v>67</v>
      </c>
      <c r="G773" s="15" t="s">
        <v>62</v>
      </c>
      <c r="H773" s="15" t="s">
        <v>979</v>
      </c>
      <c r="I773" s="15" t="s">
        <v>246</v>
      </c>
    </row>
    <row r="774" customFormat="false" ht="23.25" hidden="false" customHeight="true" outlineLevel="0" collapsed="false">
      <c r="A774" s="14" t="n">
        <v>773</v>
      </c>
      <c r="B774" s="14" t="s">
        <v>971</v>
      </c>
      <c r="C774" s="14" t="s">
        <v>489</v>
      </c>
      <c r="D774" s="15" t="s">
        <v>972</v>
      </c>
      <c r="E774" s="15" t="s">
        <v>973</v>
      </c>
      <c r="F774" s="15" t="s">
        <v>24</v>
      </c>
      <c r="G774" s="15" t="s">
        <v>62</v>
      </c>
      <c r="H774" s="15" t="s">
        <v>63</v>
      </c>
      <c r="I774" s="15" t="s">
        <v>246</v>
      </c>
    </row>
    <row r="775" customFormat="false" ht="23.25" hidden="false" customHeight="true" outlineLevel="0" collapsed="false">
      <c r="A775" s="14" t="n">
        <v>774</v>
      </c>
      <c r="B775" s="14" t="s">
        <v>971</v>
      </c>
      <c r="C775" s="14" t="s">
        <v>489</v>
      </c>
      <c r="D775" s="15" t="s">
        <v>972</v>
      </c>
      <c r="E775" s="15" t="s">
        <v>973</v>
      </c>
      <c r="F775" s="15" t="s">
        <v>32</v>
      </c>
      <c r="G775" s="15" t="s">
        <v>62</v>
      </c>
      <c r="H775" s="15" t="s">
        <v>63</v>
      </c>
      <c r="I775" s="15" t="s">
        <v>246</v>
      </c>
    </row>
    <row r="776" customFormat="false" ht="23.25" hidden="false" customHeight="true" outlineLevel="0" collapsed="false">
      <c r="A776" s="14" t="n">
        <v>775</v>
      </c>
      <c r="B776" s="14" t="s">
        <v>971</v>
      </c>
      <c r="C776" s="14" t="s">
        <v>489</v>
      </c>
      <c r="D776" s="15" t="s">
        <v>972</v>
      </c>
      <c r="E776" s="15" t="s">
        <v>973</v>
      </c>
      <c r="F776" s="15" t="s">
        <v>36</v>
      </c>
      <c r="G776" s="15" t="s">
        <v>62</v>
      </c>
      <c r="H776" s="15" t="s">
        <v>63</v>
      </c>
      <c r="I776" s="15" t="s">
        <v>246</v>
      </c>
    </row>
    <row r="777" customFormat="false" ht="23.25" hidden="false" customHeight="true" outlineLevel="0" collapsed="false">
      <c r="A777" s="14" t="n">
        <v>776</v>
      </c>
      <c r="B777" s="14" t="s">
        <v>971</v>
      </c>
      <c r="C777" s="14" t="s">
        <v>489</v>
      </c>
      <c r="D777" s="15" t="s">
        <v>972</v>
      </c>
      <c r="E777" s="15" t="s">
        <v>973</v>
      </c>
      <c r="F777" s="15" t="s">
        <v>672</v>
      </c>
      <c r="G777" s="15" t="s">
        <v>62</v>
      </c>
      <c r="H777" s="15" t="s">
        <v>63</v>
      </c>
      <c r="I777" s="15" t="s">
        <v>246</v>
      </c>
    </row>
    <row r="778" customFormat="false" ht="34.5" hidden="false" customHeight="true" outlineLevel="0" collapsed="false">
      <c r="A778" s="14" t="n">
        <v>777</v>
      </c>
      <c r="B778" s="14" t="s">
        <v>980</v>
      </c>
      <c r="C778" s="14" t="s">
        <v>981</v>
      </c>
      <c r="D778" s="15" t="s">
        <v>982</v>
      </c>
      <c r="E778" s="15" t="s">
        <v>983</v>
      </c>
      <c r="F778" s="15" t="s">
        <v>43</v>
      </c>
      <c r="G778" s="15" t="s">
        <v>62</v>
      </c>
      <c r="H778" s="15" t="s">
        <v>63</v>
      </c>
      <c r="I778" s="15" t="s">
        <v>246</v>
      </c>
    </row>
    <row r="779" customFormat="false" ht="34.5" hidden="false" customHeight="true" outlineLevel="0" collapsed="false">
      <c r="A779" s="14" t="n">
        <v>778</v>
      </c>
      <c r="B779" s="14" t="s">
        <v>980</v>
      </c>
      <c r="C779" s="14" t="s">
        <v>981</v>
      </c>
      <c r="D779" s="15" t="s">
        <v>982</v>
      </c>
      <c r="E779" s="15" t="s">
        <v>983</v>
      </c>
      <c r="F779" s="15" t="s">
        <v>359</v>
      </c>
      <c r="G779" s="15" t="s">
        <v>62</v>
      </c>
      <c r="H779" s="15" t="s">
        <v>63</v>
      </c>
      <c r="I779" s="15" t="s">
        <v>246</v>
      </c>
    </row>
    <row r="780" customFormat="false" ht="34.5" hidden="false" customHeight="true" outlineLevel="0" collapsed="false">
      <c r="A780" s="14" t="n">
        <v>779</v>
      </c>
      <c r="B780" s="14" t="s">
        <v>980</v>
      </c>
      <c r="C780" s="14" t="s">
        <v>981</v>
      </c>
      <c r="D780" s="15" t="s">
        <v>982</v>
      </c>
      <c r="E780" s="15" t="s">
        <v>983</v>
      </c>
      <c r="F780" s="15" t="s">
        <v>984</v>
      </c>
      <c r="G780" s="15" t="s">
        <v>62</v>
      </c>
      <c r="H780" s="15" t="s">
        <v>63</v>
      </c>
      <c r="I780" s="15" t="s">
        <v>246</v>
      </c>
    </row>
    <row r="781" customFormat="false" ht="34.5" hidden="false" customHeight="true" outlineLevel="0" collapsed="false">
      <c r="A781" s="14" t="n">
        <v>780</v>
      </c>
      <c r="B781" s="14" t="s">
        <v>980</v>
      </c>
      <c r="C781" s="14" t="s">
        <v>981</v>
      </c>
      <c r="D781" s="15" t="s">
        <v>982</v>
      </c>
      <c r="E781" s="15" t="s">
        <v>983</v>
      </c>
      <c r="F781" s="15" t="s">
        <v>134</v>
      </c>
      <c r="G781" s="15" t="s">
        <v>62</v>
      </c>
      <c r="H781" s="15" t="s">
        <v>63</v>
      </c>
      <c r="I781" s="15" t="s">
        <v>246</v>
      </c>
    </row>
    <row r="782" customFormat="false" ht="34.5" hidden="false" customHeight="true" outlineLevel="0" collapsed="false">
      <c r="A782" s="14" t="n">
        <v>781</v>
      </c>
      <c r="B782" s="14" t="s">
        <v>980</v>
      </c>
      <c r="C782" s="14" t="s">
        <v>981</v>
      </c>
      <c r="D782" s="15" t="s">
        <v>982</v>
      </c>
      <c r="E782" s="15" t="s">
        <v>983</v>
      </c>
      <c r="F782" s="15" t="s">
        <v>985</v>
      </c>
      <c r="G782" s="15" t="s">
        <v>62</v>
      </c>
      <c r="H782" s="15" t="s">
        <v>63</v>
      </c>
      <c r="I782" s="15" t="s">
        <v>246</v>
      </c>
    </row>
    <row r="783" customFormat="false" ht="34.5" hidden="false" customHeight="true" outlineLevel="0" collapsed="false">
      <c r="A783" s="14" t="n">
        <v>782</v>
      </c>
      <c r="B783" s="14" t="s">
        <v>980</v>
      </c>
      <c r="C783" s="14" t="s">
        <v>981</v>
      </c>
      <c r="D783" s="15" t="s">
        <v>982</v>
      </c>
      <c r="E783" s="15" t="s">
        <v>983</v>
      </c>
      <c r="F783" s="15" t="s">
        <v>986</v>
      </c>
      <c r="G783" s="15" t="s">
        <v>62</v>
      </c>
      <c r="H783" s="15" t="s">
        <v>63</v>
      </c>
      <c r="I783" s="15" t="s">
        <v>246</v>
      </c>
    </row>
    <row r="784" customFormat="false" ht="34.5" hidden="false" customHeight="true" outlineLevel="0" collapsed="false">
      <c r="A784" s="14" t="n">
        <v>783</v>
      </c>
      <c r="B784" s="14" t="s">
        <v>980</v>
      </c>
      <c r="C784" s="14" t="s">
        <v>981</v>
      </c>
      <c r="D784" s="15" t="s">
        <v>982</v>
      </c>
      <c r="E784" s="15" t="s">
        <v>983</v>
      </c>
      <c r="F784" s="15" t="s">
        <v>24</v>
      </c>
      <c r="G784" s="15" t="s">
        <v>62</v>
      </c>
      <c r="H784" s="15" t="s">
        <v>63</v>
      </c>
      <c r="I784" s="15" t="s">
        <v>246</v>
      </c>
    </row>
    <row r="785" customFormat="false" ht="34.5" hidden="false" customHeight="true" outlineLevel="0" collapsed="false">
      <c r="A785" s="14" t="n">
        <v>784</v>
      </c>
      <c r="B785" s="14" t="s">
        <v>980</v>
      </c>
      <c r="C785" s="14" t="s">
        <v>981</v>
      </c>
      <c r="D785" s="15" t="s">
        <v>982</v>
      </c>
      <c r="E785" s="15" t="s">
        <v>983</v>
      </c>
      <c r="F785" s="15" t="s">
        <v>232</v>
      </c>
      <c r="G785" s="15" t="s">
        <v>62</v>
      </c>
      <c r="H785" s="15" t="s">
        <v>63</v>
      </c>
      <c r="I785" s="15" t="s">
        <v>246</v>
      </c>
    </row>
    <row r="786" customFormat="false" ht="34.5" hidden="false" customHeight="true" outlineLevel="0" collapsed="false">
      <c r="A786" s="14" t="n">
        <v>785</v>
      </c>
      <c r="B786" s="14" t="s">
        <v>980</v>
      </c>
      <c r="C786" s="14" t="s">
        <v>981</v>
      </c>
      <c r="D786" s="15" t="s">
        <v>982</v>
      </c>
      <c r="E786" s="15" t="s">
        <v>983</v>
      </c>
      <c r="F786" s="15" t="s">
        <v>987</v>
      </c>
      <c r="G786" s="15" t="s">
        <v>62</v>
      </c>
      <c r="H786" s="15" t="s">
        <v>63</v>
      </c>
      <c r="I786" s="15" t="s">
        <v>246</v>
      </c>
    </row>
    <row r="787" customFormat="false" ht="34.5" hidden="false" customHeight="true" outlineLevel="0" collapsed="false">
      <c r="A787" s="14" t="n">
        <v>786</v>
      </c>
      <c r="B787" s="14" t="s">
        <v>980</v>
      </c>
      <c r="C787" s="14" t="s">
        <v>981</v>
      </c>
      <c r="D787" s="15" t="s">
        <v>982</v>
      </c>
      <c r="E787" s="15" t="s">
        <v>983</v>
      </c>
      <c r="F787" s="15" t="s">
        <v>988</v>
      </c>
      <c r="G787" s="15" t="s">
        <v>62</v>
      </c>
      <c r="H787" s="15" t="s">
        <v>63</v>
      </c>
      <c r="I787" s="15" t="s">
        <v>246</v>
      </c>
    </row>
    <row r="788" customFormat="false" ht="34.5" hidden="false" customHeight="true" outlineLevel="0" collapsed="false">
      <c r="A788" s="14" t="n">
        <v>787</v>
      </c>
      <c r="B788" s="14" t="s">
        <v>980</v>
      </c>
      <c r="C788" s="14" t="s">
        <v>981</v>
      </c>
      <c r="D788" s="15" t="s">
        <v>982</v>
      </c>
      <c r="E788" s="15" t="s">
        <v>983</v>
      </c>
      <c r="F788" s="15" t="s">
        <v>989</v>
      </c>
      <c r="G788" s="15" t="s">
        <v>62</v>
      </c>
      <c r="H788" s="15" t="s">
        <v>63</v>
      </c>
      <c r="I788" s="15" t="s">
        <v>246</v>
      </c>
    </row>
    <row r="789" customFormat="false" ht="34.5" hidden="false" customHeight="true" outlineLevel="0" collapsed="false">
      <c r="A789" s="14" t="n">
        <v>788</v>
      </c>
      <c r="B789" s="14" t="s">
        <v>980</v>
      </c>
      <c r="C789" s="14" t="s">
        <v>981</v>
      </c>
      <c r="D789" s="15" t="s">
        <v>982</v>
      </c>
      <c r="E789" s="15" t="s">
        <v>983</v>
      </c>
      <c r="F789" s="15" t="s">
        <v>990</v>
      </c>
      <c r="G789" s="15" t="s">
        <v>62</v>
      </c>
      <c r="H789" s="15" t="s">
        <v>63</v>
      </c>
      <c r="I789" s="15" t="s">
        <v>246</v>
      </c>
    </row>
    <row r="790" customFormat="false" ht="34.5" hidden="false" customHeight="true" outlineLevel="0" collapsed="false">
      <c r="A790" s="14" t="n">
        <v>789</v>
      </c>
      <c r="B790" s="14" t="s">
        <v>980</v>
      </c>
      <c r="C790" s="14" t="s">
        <v>981</v>
      </c>
      <c r="D790" s="15" t="s">
        <v>982</v>
      </c>
      <c r="E790" s="15" t="s">
        <v>983</v>
      </c>
      <c r="F790" s="15" t="s">
        <v>991</v>
      </c>
      <c r="G790" s="15" t="s">
        <v>62</v>
      </c>
      <c r="H790" s="15" t="s">
        <v>63</v>
      </c>
      <c r="I790" s="15" t="s">
        <v>246</v>
      </c>
    </row>
    <row r="791" customFormat="false" ht="34.5" hidden="false" customHeight="true" outlineLevel="0" collapsed="false">
      <c r="A791" s="14" t="n">
        <v>790</v>
      </c>
      <c r="B791" s="14" t="s">
        <v>980</v>
      </c>
      <c r="C791" s="14" t="s">
        <v>981</v>
      </c>
      <c r="D791" s="15" t="s">
        <v>982</v>
      </c>
      <c r="E791" s="15" t="s">
        <v>983</v>
      </c>
      <c r="F791" s="15" t="s">
        <v>992</v>
      </c>
      <c r="G791" s="15" t="s">
        <v>62</v>
      </c>
      <c r="H791" s="15" t="s">
        <v>63</v>
      </c>
      <c r="I791" s="15" t="s">
        <v>246</v>
      </c>
    </row>
    <row r="792" customFormat="false" ht="23.25" hidden="false" customHeight="true" outlineLevel="0" collapsed="false">
      <c r="A792" s="14" t="n">
        <v>791</v>
      </c>
      <c r="B792" s="14" t="s">
        <v>993</v>
      </c>
      <c r="C792" s="14" t="s">
        <v>489</v>
      </c>
      <c r="D792" s="15" t="s">
        <v>994</v>
      </c>
      <c r="E792" s="15" t="s">
        <v>995</v>
      </c>
      <c r="F792" s="15" t="s">
        <v>134</v>
      </c>
      <c r="G792" s="15" t="s">
        <v>62</v>
      </c>
      <c r="H792" s="15" t="s">
        <v>63</v>
      </c>
      <c r="I792" s="15" t="s">
        <v>246</v>
      </c>
    </row>
    <row r="793" customFormat="false" ht="23.25" hidden="false" customHeight="true" outlineLevel="0" collapsed="false">
      <c r="A793" s="14" t="n">
        <v>792</v>
      </c>
      <c r="B793" s="14" t="s">
        <v>993</v>
      </c>
      <c r="C793" s="14" t="s">
        <v>489</v>
      </c>
      <c r="D793" s="15" t="s">
        <v>994</v>
      </c>
      <c r="E793" s="15" t="s">
        <v>995</v>
      </c>
      <c r="F793" s="15" t="s">
        <v>137</v>
      </c>
      <c r="G793" s="15" t="s">
        <v>62</v>
      </c>
      <c r="H793" s="15" t="s">
        <v>63</v>
      </c>
      <c r="I793" s="15" t="s">
        <v>246</v>
      </c>
    </row>
    <row r="794" customFormat="false" ht="23.25" hidden="false" customHeight="true" outlineLevel="0" collapsed="false">
      <c r="A794" s="14" t="n">
        <v>793</v>
      </c>
      <c r="B794" s="14" t="s">
        <v>993</v>
      </c>
      <c r="C794" s="14" t="s">
        <v>489</v>
      </c>
      <c r="D794" s="15" t="s">
        <v>994</v>
      </c>
      <c r="E794" s="15" t="s">
        <v>995</v>
      </c>
      <c r="F794" s="15" t="s">
        <v>139</v>
      </c>
      <c r="G794" s="15" t="s">
        <v>62</v>
      </c>
      <c r="H794" s="15" t="s">
        <v>63</v>
      </c>
      <c r="I794" s="15" t="s">
        <v>246</v>
      </c>
    </row>
    <row r="795" customFormat="false" ht="23.25" hidden="false" customHeight="true" outlineLevel="0" collapsed="false">
      <c r="A795" s="14" t="n">
        <v>794</v>
      </c>
      <c r="B795" s="14" t="s">
        <v>993</v>
      </c>
      <c r="C795" s="14" t="s">
        <v>489</v>
      </c>
      <c r="D795" s="15" t="s">
        <v>994</v>
      </c>
      <c r="E795" s="15" t="s">
        <v>995</v>
      </c>
      <c r="F795" s="15" t="s">
        <v>996</v>
      </c>
      <c r="G795" s="15" t="s">
        <v>62</v>
      </c>
      <c r="H795" s="15" t="s">
        <v>63</v>
      </c>
      <c r="I795" s="15" t="s">
        <v>246</v>
      </c>
    </row>
    <row r="796" customFormat="false" ht="23.25" hidden="false" customHeight="true" outlineLevel="0" collapsed="false">
      <c r="A796" s="14" t="n">
        <v>795</v>
      </c>
      <c r="B796" s="14" t="s">
        <v>993</v>
      </c>
      <c r="C796" s="14" t="s">
        <v>489</v>
      </c>
      <c r="D796" s="15" t="s">
        <v>994</v>
      </c>
      <c r="E796" s="15" t="s">
        <v>995</v>
      </c>
      <c r="F796" s="15" t="s">
        <v>226</v>
      </c>
      <c r="G796" s="15" t="s">
        <v>62</v>
      </c>
      <c r="H796" s="15" t="s">
        <v>63</v>
      </c>
      <c r="I796" s="15" t="s">
        <v>246</v>
      </c>
    </row>
    <row r="797" customFormat="false" ht="23.25" hidden="false" customHeight="true" outlineLevel="0" collapsed="false">
      <c r="A797" s="14" t="n">
        <v>796</v>
      </c>
      <c r="B797" s="14" t="s">
        <v>993</v>
      </c>
      <c r="C797" s="14" t="s">
        <v>489</v>
      </c>
      <c r="D797" s="15" t="s">
        <v>994</v>
      </c>
      <c r="E797" s="15" t="s">
        <v>995</v>
      </c>
      <c r="F797" s="15" t="s">
        <v>144</v>
      </c>
      <c r="G797" s="15" t="s">
        <v>62</v>
      </c>
      <c r="H797" s="15" t="s">
        <v>63</v>
      </c>
      <c r="I797" s="15" t="s">
        <v>246</v>
      </c>
    </row>
    <row r="798" customFormat="false" ht="23.25" hidden="false" customHeight="true" outlineLevel="0" collapsed="false">
      <c r="A798" s="14" t="n">
        <v>797</v>
      </c>
      <c r="B798" s="14" t="s">
        <v>993</v>
      </c>
      <c r="C798" s="14" t="s">
        <v>489</v>
      </c>
      <c r="D798" s="15" t="s">
        <v>994</v>
      </c>
      <c r="E798" s="15" t="s">
        <v>995</v>
      </c>
      <c r="F798" s="15" t="s">
        <v>67</v>
      </c>
      <c r="G798" s="15" t="s">
        <v>62</v>
      </c>
      <c r="H798" s="15" t="s">
        <v>63</v>
      </c>
      <c r="I798" s="15" t="s">
        <v>246</v>
      </c>
    </row>
    <row r="799" customFormat="false" ht="23.25" hidden="false" customHeight="true" outlineLevel="0" collapsed="false">
      <c r="A799" s="14" t="n">
        <v>798</v>
      </c>
      <c r="B799" s="14" t="s">
        <v>993</v>
      </c>
      <c r="C799" s="14" t="s">
        <v>489</v>
      </c>
      <c r="D799" s="15" t="s">
        <v>994</v>
      </c>
      <c r="E799" s="15" t="s">
        <v>995</v>
      </c>
      <c r="F799" s="15" t="s">
        <v>703</v>
      </c>
      <c r="G799" s="15" t="s">
        <v>62</v>
      </c>
      <c r="H799" s="15" t="s">
        <v>63</v>
      </c>
      <c r="I799" s="15" t="s">
        <v>246</v>
      </c>
    </row>
    <row r="800" customFormat="false" ht="23.25" hidden="false" customHeight="true" outlineLevel="0" collapsed="false">
      <c r="A800" s="14" t="n">
        <v>799</v>
      </c>
      <c r="B800" s="14" t="s">
        <v>993</v>
      </c>
      <c r="C800" s="14" t="s">
        <v>489</v>
      </c>
      <c r="D800" s="15" t="s">
        <v>994</v>
      </c>
      <c r="E800" s="15" t="s">
        <v>995</v>
      </c>
      <c r="F800" s="15" t="s">
        <v>997</v>
      </c>
      <c r="G800" s="15" t="s">
        <v>62</v>
      </c>
      <c r="H800" s="15" t="s">
        <v>63</v>
      </c>
      <c r="I800" s="15" t="s">
        <v>246</v>
      </c>
    </row>
    <row r="801" customFormat="false" ht="23.25" hidden="false" customHeight="true" outlineLevel="0" collapsed="false">
      <c r="A801" s="14" t="n">
        <v>800</v>
      </c>
      <c r="B801" s="14" t="s">
        <v>993</v>
      </c>
      <c r="C801" s="14" t="s">
        <v>489</v>
      </c>
      <c r="D801" s="15" t="s">
        <v>994</v>
      </c>
      <c r="E801" s="15" t="s">
        <v>995</v>
      </c>
      <c r="F801" s="15" t="s">
        <v>998</v>
      </c>
      <c r="G801" s="15" t="s">
        <v>62</v>
      </c>
      <c r="H801" s="15" t="s">
        <v>63</v>
      </c>
      <c r="I801" s="15" t="s">
        <v>246</v>
      </c>
    </row>
    <row r="802" customFormat="false" ht="23.25" hidden="false" customHeight="true" outlineLevel="0" collapsed="false">
      <c r="A802" s="14" t="n">
        <v>801</v>
      </c>
      <c r="B802" s="14" t="s">
        <v>993</v>
      </c>
      <c r="C802" s="14" t="s">
        <v>489</v>
      </c>
      <c r="D802" s="15" t="s">
        <v>994</v>
      </c>
      <c r="E802" s="15" t="s">
        <v>995</v>
      </c>
      <c r="F802" s="15" t="s">
        <v>239</v>
      </c>
      <c r="G802" s="15" t="s">
        <v>62</v>
      </c>
      <c r="H802" s="15" t="s">
        <v>63</v>
      </c>
      <c r="I802" s="15" t="s">
        <v>246</v>
      </c>
    </row>
    <row r="803" customFormat="false" ht="23.25" hidden="false" customHeight="true" outlineLevel="0" collapsed="false">
      <c r="A803" s="14" t="n">
        <v>802</v>
      </c>
      <c r="B803" s="14" t="s">
        <v>993</v>
      </c>
      <c r="C803" s="14" t="s">
        <v>489</v>
      </c>
      <c r="D803" s="15" t="s">
        <v>994</v>
      </c>
      <c r="E803" s="15" t="s">
        <v>995</v>
      </c>
      <c r="F803" s="15" t="s">
        <v>465</v>
      </c>
      <c r="G803" s="15" t="s">
        <v>62</v>
      </c>
      <c r="H803" s="15" t="s">
        <v>63</v>
      </c>
      <c r="I803" s="15" t="s">
        <v>246</v>
      </c>
    </row>
    <row r="804" customFormat="false" ht="23.25" hidden="false" customHeight="true" outlineLevel="0" collapsed="false">
      <c r="A804" s="14" t="n">
        <v>803</v>
      </c>
      <c r="B804" s="14" t="s">
        <v>993</v>
      </c>
      <c r="C804" s="14" t="s">
        <v>489</v>
      </c>
      <c r="D804" s="15" t="s">
        <v>994</v>
      </c>
      <c r="E804" s="15" t="s">
        <v>995</v>
      </c>
      <c r="F804" s="15" t="s">
        <v>671</v>
      </c>
      <c r="G804" s="15" t="s">
        <v>62</v>
      </c>
      <c r="H804" s="15" t="s">
        <v>63</v>
      </c>
      <c r="I804" s="15" t="s">
        <v>246</v>
      </c>
    </row>
    <row r="805" customFormat="false" ht="23.25" hidden="false" customHeight="true" outlineLevel="0" collapsed="false">
      <c r="A805" s="14" t="n">
        <v>804</v>
      </c>
      <c r="B805" s="14" t="s">
        <v>993</v>
      </c>
      <c r="C805" s="14" t="s">
        <v>489</v>
      </c>
      <c r="D805" s="15" t="s">
        <v>994</v>
      </c>
      <c r="E805" s="15" t="s">
        <v>995</v>
      </c>
      <c r="F805" s="15" t="s">
        <v>999</v>
      </c>
      <c r="G805" s="15" t="s">
        <v>62</v>
      </c>
      <c r="H805" s="15" t="s">
        <v>63</v>
      </c>
      <c r="I805" s="15" t="s">
        <v>246</v>
      </c>
    </row>
    <row r="806" customFormat="false" ht="23.25" hidden="false" customHeight="true" outlineLevel="0" collapsed="false">
      <c r="A806" s="14" t="n">
        <v>805</v>
      </c>
      <c r="B806" s="14" t="s">
        <v>993</v>
      </c>
      <c r="C806" s="14" t="s">
        <v>489</v>
      </c>
      <c r="D806" s="15" t="s">
        <v>994</v>
      </c>
      <c r="E806" s="15" t="s">
        <v>995</v>
      </c>
      <c r="F806" s="15" t="s">
        <v>24</v>
      </c>
      <c r="G806" s="15" t="s">
        <v>62</v>
      </c>
      <c r="H806" s="15" t="s">
        <v>63</v>
      </c>
      <c r="I806" s="15" t="s">
        <v>246</v>
      </c>
    </row>
    <row r="807" customFormat="false" ht="23.25" hidden="false" customHeight="true" outlineLevel="0" collapsed="false">
      <c r="A807" s="14" t="n">
        <v>806</v>
      </c>
      <c r="B807" s="14" t="s">
        <v>993</v>
      </c>
      <c r="C807" s="14" t="s">
        <v>489</v>
      </c>
      <c r="D807" s="15" t="s">
        <v>994</v>
      </c>
      <c r="E807" s="15" t="s">
        <v>995</v>
      </c>
      <c r="F807" s="15" t="s">
        <v>1000</v>
      </c>
      <c r="G807" s="15" t="s">
        <v>62</v>
      </c>
      <c r="H807" s="15" t="s">
        <v>63</v>
      </c>
      <c r="I807" s="15" t="s">
        <v>246</v>
      </c>
    </row>
    <row r="808" customFormat="false" ht="23.25" hidden="false" customHeight="true" outlineLevel="0" collapsed="false">
      <c r="A808" s="14" t="n">
        <v>807</v>
      </c>
      <c r="B808" s="14" t="s">
        <v>993</v>
      </c>
      <c r="C808" s="14" t="s">
        <v>489</v>
      </c>
      <c r="D808" s="15" t="s">
        <v>994</v>
      </c>
      <c r="E808" s="15" t="s">
        <v>995</v>
      </c>
      <c r="F808" s="15" t="s">
        <v>1001</v>
      </c>
      <c r="G808" s="15" t="s">
        <v>62</v>
      </c>
      <c r="H808" s="15" t="s">
        <v>63</v>
      </c>
      <c r="I808" s="15" t="s">
        <v>246</v>
      </c>
    </row>
    <row r="809" customFormat="false" ht="23.25" hidden="false" customHeight="true" outlineLevel="0" collapsed="false">
      <c r="A809" s="14" t="n">
        <v>808</v>
      </c>
      <c r="B809" s="14" t="s">
        <v>993</v>
      </c>
      <c r="C809" s="14" t="s">
        <v>489</v>
      </c>
      <c r="D809" s="15" t="s">
        <v>994</v>
      </c>
      <c r="E809" s="15" t="s">
        <v>995</v>
      </c>
      <c r="F809" s="15" t="s">
        <v>1002</v>
      </c>
      <c r="G809" s="15" t="s">
        <v>62</v>
      </c>
      <c r="H809" s="15" t="s">
        <v>63</v>
      </c>
      <c r="I809" s="15" t="s">
        <v>246</v>
      </c>
    </row>
    <row r="810" customFormat="false" ht="23.25" hidden="false" customHeight="true" outlineLevel="0" collapsed="false">
      <c r="A810" s="14" t="n">
        <v>809</v>
      </c>
      <c r="B810" s="14" t="s">
        <v>993</v>
      </c>
      <c r="C810" s="14" t="s">
        <v>489</v>
      </c>
      <c r="D810" s="15" t="s">
        <v>994</v>
      </c>
      <c r="E810" s="15" t="s">
        <v>995</v>
      </c>
      <c r="F810" s="15" t="s">
        <v>1003</v>
      </c>
      <c r="G810" s="15" t="s">
        <v>62</v>
      </c>
      <c r="H810" s="15" t="s">
        <v>63</v>
      </c>
      <c r="I810" s="15" t="s">
        <v>246</v>
      </c>
    </row>
    <row r="811" customFormat="false" ht="23.25" hidden="false" customHeight="true" outlineLevel="0" collapsed="false">
      <c r="A811" s="14" t="n">
        <v>810</v>
      </c>
      <c r="B811" s="14" t="s">
        <v>993</v>
      </c>
      <c r="C811" s="14" t="s">
        <v>489</v>
      </c>
      <c r="D811" s="15" t="s">
        <v>994</v>
      </c>
      <c r="E811" s="15" t="s">
        <v>995</v>
      </c>
      <c r="F811" s="15" t="s">
        <v>1004</v>
      </c>
      <c r="G811" s="15" t="s">
        <v>62</v>
      </c>
      <c r="H811" s="15" t="s">
        <v>63</v>
      </c>
      <c r="I811" s="15" t="s">
        <v>246</v>
      </c>
    </row>
    <row r="812" customFormat="false" ht="23.25" hidden="false" customHeight="true" outlineLevel="0" collapsed="false">
      <c r="A812" s="14" t="n">
        <v>811</v>
      </c>
      <c r="B812" s="14" t="s">
        <v>993</v>
      </c>
      <c r="C812" s="14" t="s">
        <v>489</v>
      </c>
      <c r="D812" s="15" t="s">
        <v>994</v>
      </c>
      <c r="E812" s="15" t="s">
        <v>995</v>
      </c>
      <c r="F812" s="15" t="s">
        <v>1005</v>
      </c>
      <c r="G812" s="15" t="s">
        <v>62</v>
      </c>
      <c r="H812" s="15" t="s">
        <v>63</v>
      </c>
      <c r="I812" s="15" t="s">
        <v>246</v>
      </c>
    </row>
    <row r="813" customFormat="false" ht="23.25" hidden="false" customHeight="true" outlineLevel="0" collapsed="false">
      <c r="A813" s="14" t="n">
        <v>812</v>
      </c>
      <c r="B813" s="14" t="s">
        <v>993</v>
      </c>
      <c r="C813" s="14" t="s">
        <v>489</v>
      </c>
      <c r="D813" s="15" t="s">
        <v>994</v>
      </c>
      <c r="E813" s="15" t="s">
        <v>995</v>
      </c>
      <c r="F813" s="15" t="s">
        <v>1006</v>
      </c>
      <c r="G813" s="15" t="s">
        <v>62</v>
      </c>
      <c r="H813" s="15" t="s">
        <v>63</v>
      </c>
      <c r="I813" s="15" t="s">
        <v>246</v>
      </c>
    </row>
    <row r="814" customFormat="false" ht="23.25" hidden="false" customHeight="true" outlineLevel="0" collapsed="false">
      <c r="A814" s="14" t="n">
        <v>813</v>
      </c>
      <c r="B814" s="14" t="s">
        <v>993</v>
      </c>
      <c r="C814" s="14" t="s">
        <v>489</v>
      </c>
      <c r="D814" s="15" t="s">
        <v>994</v>
      </c>
      <c r="E814" s="15" t="s">
        <v>995</v>
      </c>
      <c r="F814" s="15" t="s">
        <v>393</v>
      </c>
      <c r="G814" s="15" t="s">
        <v>62</v>
      </c>
      <c r="H814" s="15" t="s">
        <v>63</v>
      </c>
      <c r="I814" s="15" t="s">
        <v>246</v>
      </c>
    </row>
    <row r="815" customFormat="false" ht="23.25" hidden="false" customHeight="true" outlineLevel="0" collapsed="false">
      <c r="A815" s="14" t="n">
        <v>814</v>
      </c>
      <c r="B815" s="14" t="s">
        <v>993</v>
      </c>
      <c r="C815" s="14" t="s">
        <v>489</v>
      </c>
      <c r="D815" s="15" t="s">
        <v>994</v>
      </c>
      <c r="E815" s="15" t="s">
        <v>995</v>
      </c>
      <c r="F815" s="15" t="s">
        <v>403</v>
      </c>
      <c r="G815" s="15" t="s">
        <v>62</v>
      </c>
      <c r="H815" s="15" t="s">
        <v>63</v>
      </c>
      <c r="I815" s="15" t="s">
        <v>246</v>
      </c>
    </row>
    <row r="816" customFormat="false" ht="23.25" hidden="false" customHeight="true" outlineLevel="0" collapsed="false">
      <c r="A816" s="14" t="n">
        <v>815</v>
      </c>
      <c r="B816" s="14" t="s">
        <v>993</v>
      </c>
      <c r="C816" s="14" t="s">
        <v>489</v>
      </c>
      <c r="D816" s="15" t="s">
        <v>994</v>
      </c>
      <c r="E816" s="15" t="s">
        <v>995</v>
      </c>
      <c r="F816" s="15" t="s">
        <v>402</v>
      </c>
      <c r="G816" s="15" t="s">
        <v>62</v>
      </c>
      <c r="H816" s="15" t="s">
        <v>63</v>
      </c>
      <c r="I816" s="15" t="s">
        <v>246</v>
      </c>
    </row>
    <row r="817" customFormat="false" ht="23.25" hidden="false" customHeight="true" outlineLevel="0" collapsed="false">
      <c r="A817" s="14" t="n">
        <v>816</v>
      </c>
      <c r="B817" s="14" t="s">
        <v>993</v>
      </c>
      <c r="C817" s="14" t="s">
        <v>489</v>
      </c>
      <c r="D817" s="15" t="s">
        <v>994</v>
      </c>
      <c r="E817" s="15" t="s">
        <v>995</v>
      </c>
      <c r="F817" s="15" t="s">
        <v>404</v>
      </c>
      <c r="G817" s="15" t="s">
        <v>62</v>
      </c>
      <c r="H817" s="15" t="s">
        <v>63</v>
      </c>
      <c r="I817" s="15" t="s">
        <v>246</v>
      </c>
    </row>
    <row r="818" customFormat="false" ht="23.25" hidden="false" customHeight="true" outlineLevel="0" collapsed="false">
      <c r="A818" s="14" t="n">
        <v>817</v>
      </c>
      <c r="B818" s="14" t="s">
        <v>993</v>
      </c>
      <c r="C818" s="14" t="s">
        <v>489</v>
      </c>
      <c r="D818" s="15" t="s">
        <v>994</v>
      </c>
      <c r="E818" s="15" t="s">
        <v>995</v>
      </c>
      <c r="F818" s="15" t="s">
        <v>535</v>
      </c>
      <c r="G818" s="15" t="s">
        <v>62</v>
      </c>
      <c r="H818" s="15" t="s">
        <v>63</v>
      </c>
      <c r="I818" s="15" t="s">
        <v>246</v>
      </c>
    </row>
    <row r="819" customFormat="false" ht="23.25" hidden="false" customHeight="true" outlineLevel="0" collapsed="false">
      <c r="A819" s="14" t="n">
        <v>818</v>
      </c>
      <c r="B819" s="14" t="s">
        <v>993</v>
      </c>
      <c r="C819" s="14" t="s">
        <v>489</v>
      </c>
      <c r="D819" s="15" t="s">
        <v>994</v>
      </c>
      <c r="E819" s="15" t="s">
        <v>995</v>
      </c>
      <c r="F819" s="15" t="s">
        <v>1007</v>
      </c>
      <c r="G819" s="15" t="s">
        <v>62</v>
      </c>
      <c r="H819" s="15" t="s">
        <v>63</v>
      </c>
      <c r="I819" s="15" t="s">
        <v>246</v>
      </c>
    </row>
    <row r="820" customFormat="false" ht="23.25" hidden="false" customHeight="true" outlineLevel="0" collapsed="false">
      <c r="A820" s="14" t="n">
        <v>819</v>
      </c>
      <c r="B820" s="14" t="s">
        <v>993</v>
      </c>
      <c r="C820" s="14" t="s">
        <v>489</v>
      </c>
      <c r="D820" s="15" t="s">
        <v>994</v>
      </c>
      <c r="E820" s="15" t="s">
        <v>995</v>
      </c>
      <c r="F820" s="15" t="s">
        <v>1008</v>
      </c>
      <c r="G820" s="15" t="s">
        <v>62</v>
      </c>
      <c r="H820" s="15" t="s">
        <v>63</v>
      </c>
      <c r="I820" s="15" t="s">
        <v>246</v>
      </c>
    </row>
    <row r="821" customFormat="false" ht="23.25" hidden="false" customHeight="true" outlineLevel="0" collapsed="false">
      <c r="A821" s="14" t="n">
        <v>820</v>
      </c>
      <c r="B821" s="14" t="s">
        <v>993</v>
      </c>
      <c r="C821" s="14" t="s">
        <v>489</v>
      </c>
      <c r="D821" s="15" t="s">
        <v>994</v>
      </c>
      <c r="E821" s="15" t="s">
        <v>995</v>
      </c>
      <c r="F821" s="15" t="s">
        <v>484</v>
      </c>
      <c r="G821" s="15" t="s">
        <v>62</v>
      </c>
      <c r="H821" s="15" t="s">
        <v>63</v>
      </c>
      <c r="I821" s="15" t="s">
        <v>246</v>
      </c>
    </row>
    <row r="822" customFormat="false" ht="23.25" hidden="false" customHeight="true" outlineLevel="0" collapsed="false">
      <c r="A822" s="14" t="n">
        <v>821</v>
      </c>
      <c r="B822" s="14" t="s">
        <v>993</v>
      </c>
      <c r="C822" s="14" t="s">
        <v>489</v>
      </c>
      <c r="D822" s="15" t="s">
        <v>994</v>
      </c>
      <c r="E822" s="15" t="s">
        <v>995</v>
      </c>
      <c r="F822" s="15" t="s">
        <v>1009</v>
      </c>
      <c r="G822" s="15" t="s">
        <v>62</v>
      </c>
      <c r="H822" s="15" t="s">
        <v>63</v>
      </c>
      <c r="I822" s="15" t="s">
        <v>246</v>
      </c>
    </row>
    <row r="823" customFormat="false" ht="23.25" hidden="false" customHeight="true" outlineLevel="0" collapsed="false">
      <c r="A823" s="14" t="n">
        <v>822</v>
      </c>
      <c r="B823" s="14" t="s">
        <v>1010</v>
      </c>
      <c r="C823" s="14" t="s">
        <v>1011</v>
      </c>
      <c r="D823" s="15" t="s">
        <v>1012</v>
      </c>
      <c r="E823" s="15" t="s">
        <v>1013</v>
      </c>
      <c r="F823" s="15" t="s">
        <v>134</v>
      </c>
      <c r="G823" s="15" t="s">
        <v>62</v>
      </c>
      <c r="H823" s="15" t="s">
        <v>63</v>
      </c>
      <c r="I823" s="15" t="s">
        <v>1014</v>
      </c>
    </row>
    <row r="824" customFormat="false" ht="23.25" hidden="false" customHeight="true" outlineLevel="0" collapsed="false">
      <c r="A824" s="14" t="n">
        <v>823</v>
      </c>
      <c r="B824" s="14" t="s">
        <v>1010</v>
      </c>
      <c r="C824" s="14" t="s">
        <v>1011</v>
      </c>
      <c r="D824" s="15" t="s">
        <v>1012</v>
      </c>
      <c r="E824" s="15" t="s">
        <v>1013</v>
      </c>
      <c r="F824" s="15" t="s">
        <v>138</v>
      </c>
      <c r="G824" s="15" t="s">
        <v>62</v>
      </c>
      <c r="H824" s="15" t="s">
        <v>63</v>
      </c>
      <c r="I824" s="15" t="s">
        <v>1014</v>
      </c>
    </row>
    <row r="825" customFormat="false" ht="23.25" hidden="false" customHeight="true" outlineLevel="0" collapsed="false">
      <c r="A825" s="14" t="n">
        <v>824</v>
      </c>
      <c r="B825" s="14" t="s">
        <v>1010</v>
      </c>
      <c r="C825" s="14" t="s">
        <v>1011</v>
      </c>
      <c r="D825" s="15" t="s">
        <v>1012</v>
      </c>
      <c r="E825" s="15" t="s">
        <v>1013</v>
      </c>
      <c r="F825" s="15" t="s">
        <v>1015</v>
      </c>
      <c r="G825" s="15" t="s">
        <v>62</v>
      </c>
      <c r="H825" s="15" t="s">
        <v>63</v>
      </c>
      <c r="I825" s="15" t="s">
        <v>1014</v>
      </c>
    </row>
    <row r="826" customFormat="false" ht="23.25" hidden="false" customHeight="true" outlineLevel="0" collapsed="false">
      <c r="A826" s="14" t="n">
        <v>825</v>
      </c>
      <c r="B826" s="14" t="s">
        <v>1010</v>
      </c>
      <c r="C826" s="14" t="s">
        <v>1011</v>
      </c>
      <c r="D826" s="15" t="s">
        <v>1012</v>
      </c>
      <c r="E826" s="15" t="s">
        <v>1013</v>
      </c>
      <c r="F826" s="15" t="s">
        <v>1016</v>
      </c>
      <c r="G826" s="15" t="s">
        <v>62</v>
      </c>
      <c r="H826" s="15" t="s">
        <v>63</v>
      </c>
      <c r="I826" s="15" t="s">
        <v>1014</v>
      </c>
    </row>
    <row r="827" customFormat="false" ht="23.25" hidden="false" customHeight="true" outlineLevel="0" collapsed="false">
      <c r="A827" s="14" t="n">
        <v>826</v>
      </c>
      <c r="B827" s="14" t="s">
        <v>1010</v>
      </c>
      <c r="C827" s="14" t="s">
        <v>1011</v>
      </c>
      <c r="D827" s="15" t="s">
        <v>1012</v>
      </c>
      <c r="E827" s="15" t="s">
        <v>1013</v>
      </c>
      <c r="F827" s="15" t="s">
        <v>1017</v>
      </c>
      <c r="G827" s="15" t="s">
        <v>62</v>
      </c>
      <c r="H827" s="15" t="s">
        <v>63</v>
      </c>
      <c r="I827" s="15" t="s">
        <v>1014</v>
      </c>
    </row>
    <row r="828" customFormat="false" ht="23.25" hidden="false" customHeight="true" outlineLevel="0" collapsed="false">
      <c r="A828" s="14" t="n">
        <v>827</v>
      </c>
      <c r="B828" s="14" t="s">
        <v>1010</v>
      </c>
      <c r="C828" s="14" t="s">
        <v>1011</v>
      </c>
      <c r="D828" s="15" t="s">
        <v>1012</v>
      </c>
      <c r="E828" s="15" t="s">
        <v>1013</v>
      </c>
      <c r="F828" s="15" t="s">
        <v>460</v>
      </c>
      <c r="G828" s="15" t="s">
        <v>62</v>
      </c>
      <c r="H828" s="15" t="s">
        <v>63</v>
      </c>
      <c r="I828" s="15" t="s">
        <v>1014</v>
      </c>
    </row>
    <row r="829" customFormat="false" ht="23.25" hidden="false" customHeight="true" outlineLevel="0" collapsed="false">
      <c r="A829" s="14" t="n">
        <v>828</v>
      </c>
      <c r="B829" s="14" t="s">
        <v>1010</v>
      </c>
      <c r="C829" s="14" t="s">
        <v>1011</v>
      </c>
      <c r="D829" s="15" t="s">
        <v>1012</v>
      </c>
      <c r="E829" s="15" t="s">
        <v>1013</v>
      </c>
      <c r="F829" s="15" t="s">
        <v>346</v>
      </c>
      <c r="G829" s="15" t="s">
        <v>62</v>
      </c>
      <c r="H829" s="15" t="s">
        <v>63</v>
      </c>
      <c r="I829" s="15" t="s">
        <v>1014</v>
      </c>
    </row>
    <row r="830" customFormat="false" ht="23.25" hidden="false" customHeight="true" outlineLevel="0" collapsed="false">
      <c r="A830" s="14" t="n">
        <v>829</v>
      </c>
      <c r="B830" s="14" t="s">
        <v>1010</v>
      </c>
      <c r="C830" s="14" t="s">
        <v>1011</v>
      </c>
      <c r="D830" s="15" t="s">
        <v>1012</v>
      </c>
      <c r="E830" s="15" t="s">
        <v>1013</v>
      </c>
      <c r="F830" s="15" t="s">
        <v>67</v>
      </c>
      <c r="G830" s="15" t="s">
        <v>62</v>
      </c>
      <c r="H830" s="15" t="s">
        <v>63</v>
      </c>
      <c r="I830" s="15" t="s">
        <v>1014</v>
      </c>
    </row>
    <row r="831" customFormat="false" ht="23.25" hidden="false" customHeight="true" outlineLevel="0" collapsed="false">
      <c r="A831" s="14" t="n">
        <v>830</v>
      </c>
      <c r="B831" s="14" t="s">
        <v>1010</v>
      </c>
      <c r="C831" s="14" t="s">
        <v>1011</v>
      </c>
      <c r="D831" s="15" t="s">
        <v>1012</v>
      </c>
      <c r="E831" s="15" t="s">
        <v>1013</v>
      </c>
      <c r="F831" s="15" t="s">
        <v>139</v>
      </c>
      <c r="G831" s="15" t="s">
        <v>62</v>
      </c>
      <c r="H831" s="15" t="s">
        <v>63</v>
      </c>
      <c r="I831" s="15" t="s">
        <v>1014</v>
      </c>
    </row>
    <row r="832" customFormat="false" ht="23.25" hidden="false" customHeight="true" outlineLevel="0" collapsed="false">
      <c r="A832" s="14" t="n">
        <v>831</v>
      </c>
      <c r="B832" s="14" t="s">
        <v>1010</v>
      </c>
      <c r="C832" s="14" t="s">
        <v>1011</v>
      </c>
      <c r="D832" s="15" t="s">
        <v>1012</v>
      </c>
      <c r="E832" s="15" t="s">
        <v>1013</v>
      </c>
      <c r="F832" s="15" t="s">
        <v>225</v>
      </c>
      <c r="G832" s="15" t="s">
        <v>62</v>
      </c>
      <c r="H832" s="15" t="s">
        <v>63</v>
      </c>
      <c r="I832" s="15" t="s">
        <v>1014</v>
      </c>
    </row>
    <row r="833" customFormat="false" ht="23.25" hidden="false" customHeight="true" outlineLevel="0" collapsed="false">
      <c r="A833" s="14" t="n">
        <v>832</v>
      </c>
      <c r="B833" s="14" t="s">
        <v>1010</v>
      </c>
      <c r="C833" s="14" t="s">
        <v>1011</v>
      </c>
      <c r="D833" s="15" t="s">
        <v>1012</v>
      </c>
      <c r="E833" s="15" t="s">
        <v>1013</v>
      </c>
      <c r="F833" s="15" t="s">
        <v>1018</v>
      </c>
      <c r="G833" s="15" t="s">
        <v>62</v>
      </c>
      <c r="H833" s="15" t="s">
        <v>63</v>
      </c>
      <c r="I833" s="15" t="s">
        <v>1014</v>
      </c>
    </row>
    <row r="834" customFormat="false" ht="23.25" hidden="false" customHeight="true" outlineLevel="0" collapsed="false">
      <c r="A834" s="14" t="n">
        <v>833</v>
      </c>
      <c r="B834" s="14" t="s">
        <v>1010</v>
      </c>
      <c r="C834" s="14" t="s">
        <v>1011</v>
      </c>
      <c r="D834" s="15" t="s">
        <v>1012</v>
      </c>
      <c r="E834" s="15" t="s">
        <v>1013</v>
      </c>
      <c r="F834" s="15" t="s">
        <v>639</v>
      </c>
      <c r="G834" s="15" t="s">
        <v>62</v>
      </c>
      <c r="H834" s="15" t="s">
        <v>63</v>
      </c>
      <c r="I834" s="15" t="s">
        <v>1014</v>
      </c>
    </row>
    <row r="835" customFormat="false" ht="23.25" hidden="false" customHeight="true" outlineLevel="0" collapsed="false">
      <c r="A835" s="14" t="n">
        <v>834</v>
      </c>
      <c r="B835" s="14" t="s">
        <v>1010</v>
      </c>
      <c r="C835" s="14" t="s">
        <v>1011</v>
      </c>
      <c r="D835" s="15" t="s">
        <v>1012</v>
      </c>
      <c r="E835" s="15" t="s">
        <v>1013</v>
      </c>
      <c r="F835" s="15" t="s">
        <v>1019</v>
      </c>
      <c r="G835" s="15" t="s">
        <v>62</v>
      </c>
      <c r="H835" s="15" t="s">
        <v>63</v>
      </c>
      <c r="I835" s="15" t="s">
        <v>1014</v>
      </c>
    </row>
    <row r="836" customFormat="false" ht="23.25" hidden="false" customHeight="true" outlineLevel="0" collapsed="false">
      <c r="A836" s="14" t="n">
        <v>835</v>
      </c>
      <c r="B836" s="14" t="s">
        <v>1010</v>
      </c>
      <c r="C836" s="14" t="s">
        <v>1011</v>
      </c>
      <c r="D836" s="15" t="s">
        <v>1012</v>
      </c>
      <c r="E836" s="15" t="s">
        <v>1013</v>
      </c>
      <c r="F836" s="15" t="s">
        <v>1020</v>
      </c>
      <c r="G836" s="15" t="s">
        <v>62</v>
      </c>
      <c r="H836" s="15" t="s">
        <v>63</v>
      </c>
      <c r="I836" s="15" t="s">
        <v>1014</v>
      </c>
    </row>
    <row r="837" customFormat="false" ht="23.25" hidden="false" customHeight="true" outlineLevel="0" collapsed="false">
      <c r="A837" s="14" t="n">
        <v>836</v>
      </c>
      <c r="B837" s="14" t="s">
        <v>1010</v>
      </c>
      <c r="C837" s="14" t="s">
        <v>1011</v>
      </c>
      <c r="D837" s="15" t="s">
        <v>1012</v>
      </c>
      <c r="E837" s="15" t="s">
        <v>1013</v>
      </c>
      <c r="F837" s="15" t="s">
        <v>232</v>
      </c>
      <c r="G837" s="15" t="s">
        <v>62</v>
      </c>
      <c r="H837" s="15" t="s">
        <v>63</v>
      </c>
      <c r="I837" s="15" t="s">
        <v>1014</v>
      </c>
    </row>
    <row r="838" customFormat="false" ht="23.25" hidden="false" customHeight="true" outlineLevel="0" collapsed="false">
      <c r="A838" s="14" t="n">
        <v>837</v>
      </c>
      <c r="B838" s="14" t="s">
        <v>1010</v>
      </c>
      <c r="C838" s="14" t="s">
        <v>1011</v>
      </c>
      <c r="D838" s="15" t="s">
        <v>1012</v>
      </c>
      <c r="E838" s="15" t="s">
        <v>1013</v>
      </c>
      <c r="F838" s="15" t="s">
        <v>1021</v>
      </c>
      <c r="G838" s="15" t="s">
        <v>62</v>
      </c>
      <c r="H838" s="15" t="s">
        <v>63</v>
      </c>
      <c r="I838" s="15" t="s">
        <v>1014</v>
      </c>
    </row>
    <row r="839" customFormat="false" ht="23.25" hidden="false" customHeight="true" outlineLevel="0" collapsed="false">
      <c r="A839" s="14" t="n">
        <v>838</v>
      </c>
      <c r="B839" s="14" t="s">
        <v>1010</v>
      </c>
      <c r="C839" s="14" t="s">
        <v>1011</v>
      </c>
      <c r="D839" s="15" t="s">
        <v>1012</v>
      </c>
      <c r="E839" s="15" t="s">
        <v>1013</v>
      </c>
      <c r="F839" s="15" t="s">
        <v>425</v>
      </c>
      <c r="G839" s="15" t="s">
        <v>62</v>
      </c>
      <c r="H839" s="15" t="s">
        <v>63</v>
      </c>
      <c r="I839" s="15" t="s">
        <v>1014</v>
      </c>
    </row>
    <row r="840" customFormat="false" ht="23.25" hidden="false" customHeight="true" outlineLevel="0" collapsed="false">
      <c r="A840" s="14" t="n">
        <v>839</v>
      </c>
      <c r="B840" s="14" t="s">
        <v>1010</v>
      </c>
      <c r="C840" s="14" t="s">
        <v>1011</v>
      </c>
      <c r="D840" s="15" t="s">
        <v>1012</v>
      </c>
      <c r="E840" s="15" t="s">
        <v>1013</v>
      </c>
      <c r="F840" s="15" t="s">
        <v>1022</v>
      </c>
      <c r="G840" s="15" t="s">
        <v>62</v>
      </c>
      <c r="H840" s="15" t="s">
        <v>63</v>
      </c>
      <c r="I840" s="15" t="s">
        <v>1014</v>
      </c>
    </row>
    <row r="841" customFormat="false" ht="23.25" hidden="false" customHeight="true" outlineLevel="0" collapsed="false">
      <c r="A841" s="14" t="n">
        <v>840</v>
      </c>
      <c r="B841" s="14" t="s">
        <v>1010</v>
      </c>
      <c r="C841" s="14" t="s">
        <v>1011</v>
      </c>
      <c r="D841" s="15" t="s">
        <v>1012</v>
      </c>
      <c r="E841" s="15" t="s">
        <v>1013</v>
      </c>
      <c r="F841" s="15" t="s">
        <v>1023</v>
      </c>
      <c r="G841" s="15" t="s">
        <v>62</v>
      </c>
      <c r="H841" s="15" t="s">
        <v>63</v>
      </c>
      <c r="I841" s="15" t="s">
        <v>1014</v>
      </c>
    </row>
    <row r="842" customFormat="false" ht="23.25" hidden="false" customHeight="true" outlineLevel="0" collapsed="false">
      <c r="A842" s="14" t="n">
        <v>841</v>
      </c>
      <c r="B842" s="14" t="s">
        <v>1010</v>
      </c>
      <c r="C842" s="14" t="s">
        <v>1011</v>
      </c>
      <c r="D842" s="15" t="s">
        <v>1012</v>
      </c>
      <c r="E842" s="15" t="s">
        <v>1013</v>
      </c>
      <c r="F842" s="15" t="s">
        <v>1024</v>
      </c>
      <c r="G842" s="15" t="s">
        <v>62</v>
      </c>
      <c r="H842" s="15" t="s">
        <v>63</v>
      </c>
      <c r="I842" s="15" t="s">
        <v>1014</v>
      </c>
    </row>
    <row r="843" customFormat="false" ht="23.25" hidden="false" customHeight="true" outlineLevel="0" collapsed="false">
      <c r="A843" s="14" t="n">
        <v>842</v>
      </c>
      <c r="B843" s="14" t="s">
        <v>1010</v>
      </c>
      <c r="C843" s="14" t="s">
        <v>1011</v>
      </c>
      <c r="D843" s="15" t="s">
        <v>1012</v>
      </c>
      <c r="E843" s="15" t="s">
        <v>1013</v>
      </c>
      <c r="F843" s="15" t="s">
        <v>1025</v>
      </c>
      <c r="G843" s="15" t="s">
        <v>62</v>
      </c>
      <c r="H843" s="15" t="s">
        <v>63</v>
      </c>
      <c r="I843" s="15" t="s">
        <v>1014</v>
      </c>
    </row>
    <row r="844" customFormat="false" ht="23.25" hidden="false" customHeight="true" outlineLevel="0" collapsed="false">
      <c r="A844" s="14" t="n">
        <v>843</v>
      </c>
      <c r="B844" s="14" t="s">
        <v>1010</v>
      </c>
      <c r="C844" s="14" t="s">
        <v>1011</v>
      </c>
      <c r="D844" s="15" t="s">
        <v>1012</v>
      </c>
      <c r="E844" s="15" t="s">
        <v>1013</v>
      </c>
      <c r="F844" s="15" t="s">
        <v>24</v>
      </c>
      <c r="G844" s="15" t="s">
        <v>62</v>
      </c>
      <c r="H844" s="15" t="s">
        <v>63</v>
      </c>
      <c r="I844" s="15" t="s">
        <v>1014</v>
      </c>
    </row>
    <row r="845" customFormat="false" ht="23.25" hidden="false" customHeight="true" outlineLevel="0" collapsed="false">
      <c r="A845" s="14" t="n">
        <v>844</v>
      </c>
      <c r="B845" s="14" t="s">
        <v>1010</v>
      </c>
      <c r="C845" s="14" t="s">
        <v>1011</v>
      </c>
      <c r="D845" s="15" t="s">
        <v>1012</v>
      </c>
      <c r="E845" s="15" t="s">
        <v>1013</v>
      </c>
      <c r="F845" s="15" t="s">
        <v>32</v>
      </c>
      <c r="G845" s="15" t="s">
        <v>62</v>
      </c>
      <c r="H845" s="15" t="s">
        <v>63</v>
      </c>
      <c r="I845" s="15" t="s">
        <v>1014</v>
      </c>
    </row>
    <row r="846" customFormat="false" ht="23.25" hidden="false" customHeight="true" outlineLevel="0" collapsed="false">
      <c r="A846" s="14" t="n">
        <v>845</v>
      </c>
      <c r="B846" s="14" t="s">
        <v>1010</v>
      </c>
      <c r="C846" s="14" t="s">
        <v>1011</v>
      </c>
      <c r="D846" s="15" t="s">
        <v>1012</v>
      </c>
      <c r="E846" s="15" t="s">
        <v>1013</v>
      </c>
      <c r="F846" s="15" t="s">
        <v>227</v>
      </c>
      <c r="G846" s="15" t="s">
        <v>62</v>
      </c>
      <c r="H846" s="15" t="s">
        <v>63</v>
      </c>
      <c r="I846" s="15" t="s">
        <v>1014</v>
      </c>
    </row>
    <row r="847" customFormat="false" ht="23.25" hidden="false" customHeight="true" outlineLevel="0" collapsed="false">
      <c r="A847" s="14" t="n">
        <v>846</v>
      </c>
      <c r="B847" s="14" t="s">
        <v>1010</v>
      </c>
      <c r="C847" s="14" t="s">
        <v>1011</v>
      </c>
      <c r="D847" s="15" t="s">
        <v>1012</v>
      </c>
      <c r="E847" s="15" t="s">
        <v>1013</v>
      </c>
      <c r="F847" s="15" t="s">
        <v>507</v>
      </c>
      <c r="G847" s="15" t="s">
        <v>62</v>
      </c>
      <c r="H847" s="15" t="s">
        <v>63</v>
      </c>
      <c r="I847" s="15" t="s">
        <v>1014</v>
      </c>
    </row>
    <row r="848" customFormat="false" ht="23.25" hidden="false" customHeight="true" outlineLevel="0" collapsed="false">
      <c r="A848" s="14" t="n">
        <v>847</v>
      </c>
      <c r="B848" s="14" t="s">
        <v>1010</v>
      </c>
      <c r="C848" s="14" t="s">
        <v>1011</v>
      </c>
      <c r="D848" s="15" t="s">
        <v>1012</v>
      </c>
      <c r="E848" s="15" t="s">
        <v>1013</v>
      </c>
      <c r="F848" s="15" t="s">
        <v>501</v>
      </c>
      <c r="G848" s="15" t="s">
        <v>62</v>
      </c>
      <c r="H848" s="15" t="s">
        <v>63</v>
      </c>
      <c r="I848" s="15" t="s">
        <v>1014</v>
      </c>
    </row>
    <row r="849" customFormat="false" ht="23.25" hidden="false" customHeight="true" outlineLevel="0" collapsed="false">
      <c r="A849" s="14" t="n">
        <v>848</v>
      </c>
      <c r="B849" s="14" t="s">
        <v>1010</v>
      </c>
      <c r="C849" s="14" t="s">
        <v>1011</v>
      </c>
      <c r="D849" s="15" t="s">
        <v>1012</v>
      </c>
      <c r="E849" s="15" t="s">
        <v>1013</v>
      </c>
      <c r="F849" s="15" t="s">
        <v>1026</v>
      </c>
      <c r="G849" s="15" t="s">
        <v>62</v>
      </c>
      <c r="H849" s="15" t="s">
        <v>63</v>
      </c>
      <c r="I849" s="15" t="s">
        <v>1014</v>
      </c>
    </row>
    <row r="850" customFormat="false" ht="23.25" hidden="false" customHeight="true" outlineLevel="0" collapsed="false">
      <c r="A850" s="14" t="n">
        <v>849</v>
      </c>
      <c r="B850" s="14" t="s">
        <v>1010</v>
      </c>
      <c r="C850" s="14" t="s">
        <v>1011</v>
      </c>
      <c r="D850" s="15" t="s">
        <v>1012</v>
      </c>
      <c r="E850" s="15" t="s">
        <v>1013</v>
      </c>
      <c r="F850" s="15" t="s">
        <v>1027</v>
      </c>
      <c r="G850" s="15" t="s">
        <v>62</v>
      </c>
      <c r="H850" s="15" t="s">
        <v>63</v>
      </c>
      <c r="I850" s="15" t="s">
        <v>1014</v>
      </c>
    </row>
    <row r="851" customFormat="false" ht="23.25" hidden="false" customHeight="true" outlineLevel="0" collapsed="false">
      <c r="A851" s="14" t="n">
        <v>850</v>
      </c>
      <c r="B851" s="14" t="s">
        <v>1010</v>
      </c>
      <c r="C851" s="14" t="s">
        <v>1011</v>
      </c>
      <c r="D851" s="15" t="s">
        <v>1012</v>
      </c>
      <c r="E851" s="15" t="s">
        <v>1013</v>
      </c>
      <c r="F851" s="15" t="s">
        <v>1028</v>
      </c>
      <c r="G851" s="15" t="s">
        <v>62</v>
      </c>
      <c r="H851" s="15" t="s">
        <v>63</v>
      </c>
      <c r="I851" s="15" t="s">
        <v>1014</v>
      </c>
    </row>
    <row r="852" customFormat="false" ht="23.25" hidden="false" customHeight="true" outlineLevel="0" collapsed="false">
      <c r="A852" s="14" t="n">
        <v>851</v>
      </c>
      <c r="B852" s="14" t="s">
        <v>1010</v>
      </c>
      <c r="C852" s="14" t="s">
        <v>1011</v>
      </c>
      <c r="D852" s="15" t="s">
        <v>1012</v>
      </c>
      <c r="E852" s="15" t="s">
        <v>1013</v>
      </c>
      <c r="F852" s="15" t="s">
        <v>1029</v>
      </c>
      <c r="G852" s="15" t="s">
        <v>62</v>
      </c>
      <c r="H852" s="15" t="s">
        <v>63</v>
      </c>
      <c r="I852" s="15" t="s">
        <v>1014</v>
      </c>
    </row>
    <row r="853" customFormat="false" ht="23.25" hidden="false" customHeight="true" outlineLevel="0" collapsed="false">
      <c r="A853" s="14" t="n">
        <v>852</v>
      </c>
      <c r="B853" s="14" t="s">
        <v>1010</v>
      </c>
      <c r="C853" s="14" t="s">
        <v>1011</v>
      </c>
      <c r="D853" s="15" t="s">
        <v>1012</v>
      </c>
      <c r="E853" s="15" t="s">
        <v>1013</v>
      </c>
      <c r="F853" s="15" t="s">
        <v>1030</v>
      </c>
      <c r="G853" s="15" t="s">
        <v>62</v>
      </c>
      <c r="H853" s="15" t="s">
        <v>63</v>
      </c>
      <c r="I853" s="15" t="s">
        <v>1014</v>
      </c>
    </row>
    <row r="854" customFormat="false" ht="23.25" hidden="false" customHeight="true" outlineLevel="0" collapsed="false">
      <c r="A854" s="14" t="n">
        <v>853</v>
      </c>
      <c r="B854" s="14" t="s">
        <v>1010</v>
      </c>
      <c r="C854" s="14" t="s">
        <v>1011</v>
      </c>
      <c r="D854" s="15" t="s">
        <v>1012</v>
      </c>
      <c r="E854" s="15" t="s">
        <v>1013</v>
      </c>
      <c r="F854" s="15" t="s">
        <v>337</v>
      </c>
      <c r="G854" s="15" t="s">
        <v>62</v>
      </c>
      <c r="H854" s="15" t="s">
        <v>63</v>
      </c>
      <c r="I854" s="15" t="s">
        <v>1014</v>
      </c>
    </row>
    <row r="855" customFormat="false" ht="23.25" hidden="false" customHeight="true" outlineLevel="0" collapsed="false">
      <c r="A855" s="14" t="n">
        <v>854</v>
      </c>
      <c r="B855" s="14" t="s">
        <v>1031</v>
      </c>
      <c r="C855" s="14" t="s">
        <v>242</v>
      </c>
      <c r="D855" s="15" t="s">
        <v>1032</v>
      </c>
      <c r="E855" s="15" t="s">
        <v>1033</v>
      </c>
      <c r="F855" s="15" t="s">
        <v>1034</v>
      </c>
      <c r="G855" s="15" t="s">
        <v>1035</v>
      </c>
      <c r="H855" s="15" t="s">
        <v>63</v>
      </c>
      <c r="I855" s="15" t="s">
        <v>1036</v>
      </c>
    </row>
    <row r="856" customFormat="false" ht="15" hidden="false" customHeight="true" outlineLevel="0" collapsed="false">
      <c r="A856" s="14" t="n">
        <v>855</v>
      </c>
      <c r="B856" s="14" t="s">
        <v>1031</v>
      </c>
      <c r="C856" s="14" t="s">
        <v>242</v>
      </c>
      <c r="D856" s="15" t="s">
        <v>1032</v>
      </c>
      <c r="E856" s="15" t="s">
        <v>1033</v>
      </c>
      <c r="F856" s="15" t="s">
        <v>935</v>
      </c>
      <c r="G856" s="15" t="s">
        <v>268</v>
      </c>
      <c r="H856" s="15" t="s">
        <v>586</v>
      </c>
      <c r="I856" s="15" t="s">
        <v>1036</v>
      </c>
    </row>
    <row r="857" customFormat="false" ht="23.25" hidden="false" customHeight="true" outlineLevel="0" collapsed="false">
      <c r="A857" s="14" t="n">
        <v>856</v>
      </c>
      <c r="B857" s="14" t="s">
        <v>1031</v>
      </c>
      <c r="C857" s="14" t="s">
        <v>242</v>
      </c>
      <c r="D857" s="15" t="s">
        <v>1032</v>
      </c>
      <c r="E857" s="15" t="s">
        <v>1033</v>
      </c>
      <c r="F857" s="15" t="s">
        <v>1037</v>
      </c>
      <c r="G857" s="15" t="s">
        <v>62</v>
      </c>
      <c r="H857" s="15" t="s">
        <v>63</v>
      </c>
      <c r="I857" s="15" t="s">
        <v>1036</v>
      </c>
    </row>
    <row r="858" customFormat="false" ht="23.25" hidden="false" customHeight="true" outlineLevel="0" collapsed="false">
      <c r="A858" s="14" t="n">
        <v>857</v>
      </c>
      <c r="B858" s="14" t="s">
        <v>1031</v>
      </c>
      <c r="C858" s="14" t="s">
        <v>242</v>
      </c>
      <c r="D858" s="15" t="s">
        <v>1032</v>
      </c>
      <c r="E858" s="15" t="s">
        <v>1033</v>
      </c>
      <c r="F858" s="15" t="s">
        <v>67</v>
      </c>
      <c r="G858" s="15" t="s">
        <v>62</v>
      </c>
      <c r="H858" s="15" t="s">
        <v>63</v>
      </c>
      <c r="I858" s="15" t="s">
        <v>1036</v>
      </c>
    </row>
    <row r="859" customFormat="false" ht="23.25" hidden="false" customHeight="true" outlineLevel="0" collapsed="false">
      <c r="A859" s="14" t="n">
        <v>858</v>
      </c>
      <c r="B859" s="14" t="s">
        <v>1031</v>
      </c>
      <c r="C859" s="14" t="s">
        <v>242</v>
      </c>
      <c r="D859" s="15" t="s">
        <v>1032</v>
      </c>
      <c r="E859" s="15" t="s">
        <v>1033</v>
      </c>
      <c r="F859" s="15" t="s">
        <v>1038</v>
      </c>
      <c r="G859" s="15" t="s">
        <v>62</v>
      </c>
      <c r="H859" s="15" t="s">
        <v>63</v>
      </c>
      <c r="I859" s="15" t="s">
        <v>1036</v>
      </c>
    </row>
    <row r="860" customFormat="false" ht="23.25" hidden="false" customHeight="true" outlineLevel="0" collapsed="false">
      <c r="A860" s="14" t="n">
        <v>859</v>
      </c>
      <c r="B860" s="14" t="s">
        <v>1031</v>
      </c>
      <c r="C860" s="14" t="s">
        <v>242</v>
      </c>
      <c r="D860" s="15" t="s">
        <v>1032</v>
      </c>
      <c r="E860" s="15" t="s">
        <v>1033</v>
      </c>
      <c r="F860" s="15" t="s">
        <v>1039</v>
      </c>
      <c r="G860" s="15" t="s">
        <v>62</v>
      </c>
      <c r="H860" s="15" t="s">
        <v>63</v>
      </c>
      <c r="I860" s="15" t="s">
        <v>1036</v>
      </c>
    </row>
    <row r="861" customFormat="false" ht="23.25" hidden="false" customHeight="true" outlineLevel="0" collapsed="false">
      <c r="A861" s="14" t="n">
        <v>860</v>
      </c>
      <c r="B861" s="14" t="s">
        <v>1031</v>
      </c>
      <c r="C861" s="14" t="s">
        <v>242</v>
      </c>
      <c r="D861" s="15" t="s">
        <v>1032</v>
      </c>
      <c r="E861" s="15" t="s">
        <v>1033</v>
      </c>
      <c r="F861" s="15" t="s">
        <v>1040</v>
      </c>
      <c r="G861" s="15" t="s">
        <v>62</v>
      </c>
      <c r="H861" s="15" t="s">
        <v>63</v>
      </c>
      <c r="I861" s="15" t="s">
        <v>1036</v>
      </c>
    </row>
    <row r="862" customFormat="false" ht="23.25" hidden="false" customHeight="true" outlineLevel="0" collapsed="false">
      <c r="A862" s="14" t="n">
        <v>861</v>
      </c>
      <c r="B862" s="14" t="s">
        <v>1031</v>
      </c>
      <c r="C862" s="14" t="s">
        <v>242</v>
      </c>
      <c r="D862" s="15" t="s">
        <v>1032</v>
      </c>
      <c r="E862" s="15" t="s">
        <v>1033</v>
      </c>
      <c r="F862" s="15" t="s">
        <v>486</v>
      </c>
      <c r="G862" s="15" t="s">
        <v>62</v>
      </c>
      <c r="H862" s="15" t="s">
        <v>63</v>
      </c>
      <c r="I862" s="15" t="s">
        <v>1036</v>
      </c>
    </row>
    <row r="863" customFormat="false" ht="15" hidden="false" customHeight="true" outlineLevel="0" collapsed="false">
      <c r="A863" s="14" t="n">
        <v>862</v>
      </c>
      <c r="B863" s="14" t="s">
        <v>1041</v>
      </c>
      <c r="C863" s="14" t="s">
        <v>1042</v>
      </c>
      <c r="D863" s="15" t="s">
        <v>1043</v>
      </c>
      <c r="E863" s="15" t="s">
        <v>1044</v>
      </c>
      <c r="F863" s="15" t="s">
        <v>134</v>
      </c>
      <c r="G863" s="15" t="s">
        <v>759</v>
      </c>
      <c r="H863" s="15" t="s">
        <v>63</v>
      </c>
      <c r="I863" s="15" t="s">
        <v>246</v>
      </c>
    </row>
    <row r="864" customFormat="false" ht="15" hidden="false" customHeight="true" outlineLevel="0" collapsed="false">
      <c r="A864" s="14" t="n">
        <v>863</v>
      </c>
      <c r="B864" s="14" t="s">
        <v>1041</v>
      </c>
      <c r="C864" s="14" t="s">
        <v>1042</v>
      </c>
      <c r="D864" s="15" t="s">
        <v>1043</v>
      </c>
      <c r="E864" s="15" t="s">
        <v>1044</v>
      </c>
      <c r="F864" s="15" t="s">
        <v>225</v>
      </c>
      <c r="G864" s="15" t="s">
        <v>1045</v>
      </c>
      <c r="H864" s="15" t="s">
        <v>63</v>
      </c>
      <c r="I864" s="15" t="s">
        <v>246</v>
      </c>
    </row>
    <row r="865" customFormat="false" ht="15" hidden="false" customHeight="true" outlineLevel="0" collapsed="false">
      <c r="A865" s="14" t="n">
        <v>864</v>
      </c>
      <c r="B865" s="14" t="s">
        <v>1041</v>
      </c>
      <c r="C865" s="14" t="s">
        <v>1042</v>
      </c>
      <c r="D865" s="15" t="s">
        <v>1043</v>
      </c>
      <c r="E865" s="15" t="s">
        <v>1044</v>
      </c>
      <c r="F865" s="15" t="s">
        <v>309</v>
      </c>
      <c r="G865" s="15" t="s">
        <v>1046</v>
      </c>
      <c r="H865" s="15" t="s">
        <v>63</v>
      </c>
      <c r="I865" s="15" t="s">
        <v>246</v>
      </c>
    </row>
    <row r="866" customFormat="false" ht="15" hidden="false" customHeight="true" outlineLevel="0" collapsed="false">
      <c r="A866" s="14" t="n">
        <v>865</v>
      </c>
      <c r="B866" s="14" t="s">
        <v>1041</v>
      </c>
      <c r="C866" s="14" t="s">
        <v>1042</v>
      </c>
      <c r="D866" s="15" t="s">
        <v>1043</v>
      </c>
      <c r="E866" s="15" t="s">
        <v>1044</v>
      </c>
      <c r="F866" s="15" t="s">
        <v>1047</v>
      </c>
      <c r="G866" s="15" t="s">
        <v>1048</v>
      </c>
      <c r="H866" s="15" t="s">
        <v>63</v>
      </c>
      <c r="I866" s="15" t="s">
        <v>246</v>
      </c>
    </row>
    <row r="867" customFormat="false" ht="15" hidden="false" customHeight="true" outlineLevel="0" collapsed="false">
      <c r="A867" s="14" t="n">
        <v>866</v>
      </c>
      <c r="B867" s="14" t="s">
        <v>1041</v>
      </c>
      <c r="C867" s="14" t="s">
        <v>1042</v>
      </c>
      <c r="D867" s="15" t="s">
        <v>1043</v>
      </c>
      <c r="E867" s="15" t="s">
        <v>1044</v>
      </c>
      <c r="F867" s="15" t="s">
        <v>1049</v>
      </c>
      <c r="G867" s="15" t="s">
        <v>1048</v>
      </c>
      <c r="H867" s="15" t="s">
        <v>63</v>
      </c>
      <c r="I867" s="15" t="s">
        <v>246</v>
      </c>
    </row>
    <row r="868" customFormat="false" ht="15" hidden="false" customHeight="true" outlineLevel="0" collapsed="false">
      <c r="A868" s="14" t="n">
        <v>867</v>
      </c>
      <c r="B868" s="14" t="s">
        <v>1041</v>
      </c>
      <c r="C868" s="14" t="s">
        <v>1042</v>
      </c>
      <c r="D868" s="15" t="s">
        <v>1043</v>
      </c>
      <c r="E868" s="15" t="s">
        <v>1044</v>
      </c>
      <c r="F868" s="15" t="s">
        <v>36</v>
      </c>
      <c r="G868" s="15" t="s">
        <v>1050</v>
      </c>
      <c r="H868" s="15" t="s">
        <v>63</v>
      </c>
      <c r="I868" s="15" t="s">
        <v>246</v>
      </c>
    </row>
    <row r="869" customFormat="false" ht="15" hidden="false" customHeight="true" outlineLevel="0" collapsed="false">
      <c r="A869" s="14" t="n">
        <v>868</v>
      </c>
      <c r="B869" s="14" t="s">
        <v>1041</v>
      </c>
      <c r="C869" s="14" t="s">
        <v>1042</v>
      </c>
      <c r="D869" s="15" t="s">
        <v>1043</v>
      </c>
      <c r="E869" s="15" t="s">
        <v>1044</v>
      </c>
      <c r="F869" s="15" t="s">
        <v>1051</v>
      </c>
      <c r="G869" s="15" t="s">
        <v>1052</v>
      </c>
      <c r="H869" s="15" t="s">
        <v>63</v>
      </c>
      <c r="I869" s="15" t="s">
        <v>246</v>
      </c>
    </row>
    <row r="870" customFormat="false" ht="15" hidden="false" customHeight="true" outlineLevel="0" collapsed="false">
      <c r="A870" s="14" t="n">
        <v>869</v>
      </c>
      <c r="B870" s="14" t="s">
        <v>1041</v>
      </c>
      <c r="C870" s="14" t="s">
        <v>1042</v>
      </c>
      <c r="D870" s="15" t="s">
        <v>1043</v>
      </c>
      <c r="E870" s="15" t="s">
        <v>1044</v>
      </c>
      <c r="F870" s="15" t="s">
        <v>1053</v>
      </c>
      <c r="G870" s="15" t="s">
        <v>1054</v>
      </c>
      <c r="H870" s="15" t="s">
        <v>63</v>
      </c>
      <c r="I870" s="15" t="s">
        <v>246</v>
      </c>
    </row>
    <row r="871" customFormat="false" ht="15" hidden="false" customHeight="true" outlineLevel="0" collapsed="false">
      <c r="A871" s="14" t="n">
        <v>870</v>
      </c>
      <c r="B871" s="14" t="s">
        <v>1041</v>
      </c>
      <c r="C871" s="14" t="s">
        <v>1042</v>
      </c>
      <c r="D871" s="15" t="s">
        <v>1043</v>
      </c>
      <c r="E871" s="15" t="s">
        <v>1044</v>
      </c>
      <c r="F871" s="15" t="s">
        <v>1055</v>
      </c>
      <c r="G871" s="15" t="s">
        <v>1056</v>
      </c>
      <c r="H871" s="15" t="s">
        <v>63</v>
      </c>
      <c r="I871" s="15" t="s">
        <v>246</v>
      </c>
    </row>
    <row r="872" customFormat="false" ht="15" hidden="false" customHeight="true" outlineLevel="0" collapsed="false">
      <c r="A872" s="14" t="n">
        <v>871</v>
      </c>
      <c r="B872" s="14" t="s">
        <v>1041</v>
      </c>
      <c r="C872" s="14" t="s">
        <v>1042</v>
      </c>
      <c r="D872" s="15" t="s">
        <v>1043</v>
      </c>
      <c r="E872" s="15" t="s">
        <v>1044</v>
      </c>
      <c r="F872" s="15" t="s">
        <v>1057</v>
      </c>
      <c r="G872" s="15" t="s">
        <v>330</v>
      </c>
      <c r="H872" s="15" t="s">
        <v>63</v>
      </c>
      <c r="I872" s="15" t="s">
        <v>246</v>
      </c>
    </row>
    <row r="873" customFormat="false" ht="15" hidden="false" customHeight="true" outlineLevel="0" collapsed="false">
      <c r="A873" s="14" t="n">
        <v>872</v>
      </c>
      <c r="B873" s="14" t="s">
        <v>1041</v>
      </c>
      <c r="C873" s="14" t="s">
        <v>1042</v>
      </c>
      <c r="D873" s="15" t="s">
        <v>1043</v>
      </c>
      <c r="E873" s="15" t="s">
        <v>1044</v>
      </c>
      <c r="F873" s="15" t="s">
        <v>1058</v>
      </c>
      <c r="G873" s="15" t="s">
        <v>1059</v>
      </c>
      <c r="H873" s="15" t="s">
        <v>63</v>
      </c>
      <c r="I873" s="15" t="s">
        <v>246</v>
      </c>
    </row>
    <row r="874" customFormat="false" ht="15" hidden="false" customHeight="true" outlineLevel="0" collapsed="false">
      <c r="A874" s="14" t="n">
        <v>873</v>
      </c>
      <c r="B874" s="14" t="s">
        <v>1041</v>
      </c>
      <c r="C874" s="14" t="s">
        <v>1042</v>
      </c>
      <c r="D874" s="15" t="s">
        <v>1043</v>
      </c>
      <c r="E874" s="15" t="s">
        <v>1044</v>
      </c>
      <c r="F874" s="15" t="s">
        <v>1060</v>
      </c>
      <c r="G874" s="15" t="s">
        <v>796</v>
      </c>
      <c r="H874" s="15" t="s">
        <v>63</v>
      </c>
      <c r="I874" s="15" t="s">
        <v>246</v>
      </c>
    </row>
    <row r="875" customFormat="false" ht="15" hidden="false" customHeight="true" outlineLevel="0" collapsed="false">
      <c r="A875" s="14" t="n">
        <v>874</v>
      </c>
      <c r="B875" s="14" t="s">
        <v>1041</v>
      </c>
      <c r="C875" s="14" t="s">
        <v>1042</v>
      </c>
      <c r="D875" s="15" t="s">
        <v>1043</v>
      </c>
      <c r="E875" s="15" t="s">
        <v>1044</v>
      </c>
      <c r="F875" s="15" t="s">
        <v>1061</v>
      </c>
      <c r="G875" s="15" t="s">
        <v>1062</v>
      </c>
      <c r="H875" s="15" t="s">
        <v>63</v>
      </c>
      <c r="I875" s="15" t="s">
        <v>246</v>
      </c>
    </row>
    <row r="876" customFormat="false" ht="15" hidden="false" customHeight="true" outlineLevel="0" collapsed="false">
      <c r="A876" s="14" t="n">
        <v>875</v>
      </c>
      <c r="B876" s="14" t="s">
        <v>1041</v>
      </c>
      <c r="C876" s="14" t="s">
        <v>1042</v>
      </c>
      <c r="D876" s="15" t="s">
        <v>1043</v>
      </c>
      <c r="E876" s="15" t="s">
        <v>1044</v>
      </c>
      <c r="F876" s="15" t="s">
        <v>1063</v>
      </c>
      <c r="G876" s="15" t="s">
        <v>1064</v>
      </c>
      <c r="H876" s="15" t="s">
        <v>63</v>
      </c>
      <c r="I876" s="15" t="s">
        <v>246</v>
      </c>
    </row>
    <row r="877" customFormat="false" ht="15" hidden="false" customHeight="true" outlineLevel="0" collapsed="false">
      <c r="A877" s="14" t="n">
        <v>876</v>
      </c>
      <c r="B877" s="14" t="s">
        <v>1041</v>
      </c>
      <c r="C877" s="14" t="s">
        <v>1042</v>
      </c>
      <c r="D877" s="15" t="s">
        <v>1043</v>
      </c>
      <c r="E877" s="15" t="s">
        <v>1044</v>
      </c>
      <c r="F877" s="15" t="s">
        <v>1065</v>
      </c>
      <c r="G877" s="15" t="s">
        <v>1066</v>
      </c>
      <c r="H877" s="15" t="s">
        <v>63</v>
      </c>
      <c r="I877" s="15" t="s">
        <v>246</v>
      </c>
    </row>
    <row r="878" customFormat="false" ht="15" hidden="false" customHeight="true" outlineLevel="0" collapsed="false">
      <c r="A878" s="14" t="n">
        <v>877</v>
      </c>
      <c r="B878" s="14" t="s">
        <v>1041</v>
      </c>
      <c r="C878" s="14" t="s">
        <v>1042</v>
      </c>
      <c r="D878" s="15" t="s">
        <v>1043</v>
      </c>
      <c r="E878" s="15" t="s">
        <v>1044</v>
      </c>
      <c r="F878" s="15" t="s">
        <v>1067</v>
      </c>
      <c r="G878" s="15" t="s">
        <v>1068</v>
      </c>
      <c r="H878" s="15" t="s">
        <v>63</v>
      </c>
      <c r="I878" s="15" t="s">
        <v>246</v>
      </c>
    </row>
    <row r="879" customFormat="false" ht="15" hidden="false" customHeight="true" outlineLevel="0" collapsed="false">
      <c r="A879" s="14" t="n">
        <v>878</v>
      </c>
      <c r="B879" s="14" t="s">
        <v>1041</v>
      </c>
      <c r="C879" s="14" t="s">
        <v>1042</v>
      </c>
      <c r="D879" s="15" t="s">
        <v>1043</v>
      </c>
      <c r="E879" s="15" t="s">
        <v>1044</v>
      </c>
      <c r="F879" s="15" t="s">
        <v>359</v>
      </c>
      <c r="G879" s="15" t="s">
        <v>1069</v>
      </c>
      <c r="H879" s="15" t="s">
        <v>63</v>
      </c>
      <c r="I879" s="15" t="s">
        <v>246</v>
      </c>
    </row>
    <row r="880" customFormat="false" ht="15" hidden="false" customHeight="true" outlineLevel="0" collapsed="false">
      <c r="A880" s="14" t="n">
        <v>879</v>
      </c>
      <c r="B880" s="14" t="s">
        <v>1041</v>
      </c>
      <c r="C880" s="14" t="s">
        <v>1042</v>
      </c>
      <c r="D880" s="15" t="s">
        <v>1043</v>
      </c>
      <c r="E880" s="15" t="s">
        <v>1044</v>
      </c>
      <c r="F880" s="15" t="s">
        <v>1070</v>
      </c>
      <c r="G880" s="15" t="s">
        <v>532</v>
      </c>
      <c r="H880" s="15" t="s">
        <v>63</v>
      </c>
      <c r="I880" s="15" t="s">
        <v>246</v>
      </c>
    </row>
    <row r="881" customFormat="false" ht="15" hidden="false" customHeight="true" outlineLevel="0" collapsed="false">
      <c r="A881" s="14" t="n">
        <v>880</v>
      </c>
      <c r="B881" s="14" t="s">
        <v>1041</v>
      </c>
      <c r="C881" s="14" t="s">
        <v>1042</v>
      </c>
      <c r="D881" s="15" t="s">
        <v>1043</v>
      </c>
      <c r="E881" s="15" t="s">
        <v>1044</v>
      </c>
      <c r="F881" s="15" t="s">
        <v>357</v>
      </c>
      <c r="G881" s="15" t="s">
        <v>323</v>
      </c>
      <c r="H881" s="15" t="s">
        <v>63</v>
      </c>
      <c r="I881" s="15" t="s">
        <v>246</v>
      </c>
    </row>
    <row r="882" customFormat="false" ht="15" hidden="false" customHeight="true" outlineLevel="0" collapsed="false">
      <c r="A882" s="14" t="n">
        <v>881</v>
      </c>
      <c r="B882" s="14" t="s">
        <v>1041</v>
      </c>
      <c r="C882" s="14" t="s">
        <v>1042</v>
      </c>
      <c r="D882" s="15" t="s">
        <v>1043</v>
      </c>
      <c r="E882" s="15" t="s">
        <v>1044</v>
      </c>
      <c r="F882" s="15" t="s">
        <v>1071</v>
      </c>
      <c r="G882" s="15" t="s">
        <v>330</v>
      </c>
      <c r="H882" s="15" t="s">
        <v>63</v>
      </c>
      <c r="I882" s="15" t="s">
        <v>246</v>
      </c>
    </row>
    <row r="883" customFormat="false" ht="15" hidden="false" customHeight="true" outlineLevel="0" collapsed="false">
      <c r="A883" s="14" t="n">
        <v>882</v>
      </c>
      <c r="B883" s="14" t="s">
        <v>1041</v>
      </c>
      <c r="C883" s="14" t="s">
        <v>1042</v>
      </c>
      <c r="D883" s="15" t="s">
        <v>1043</v>
      </c>
      <c r="E883" s="15" t="s">
        <v>1044</v>
      </c>
      <c r="F883" s="15" t="s">
        <v>435</v>
      </c>
      <c r="G883" s="15" t="s">
        <v>330</v>
      </c>
      <c r="H883" s="15" t="s">
        <v>63</v>
      </c>
      <c r="I883" s="15" t="s">
        <v>246</v>
      </c>
    </row>
    <row r="884" customFormat="false" ht="15" hidden="false" customHeight="true" outlineLevel="0" collapsed="false">
      <c r="A884" s="14" t="n">
        <v>883</v>
      </c>
      <c r="B884" s="14" t="s">
        <v>1041</v>
      </c>
      <c r="C884" s="14" t="s">
        <v>1042</v>
      </c>
      <c r="D884" s="15" t="s">
        <v>1043</v>
      </c>
      <c r="E884" s="15" t="s">
        <v>1044</v>
      </c>
      <c r="F884" s="15" t="s">
        <v>1072</v>
      </c>
      <c r="G884" s="15" t="s">
        <v>317</v>
      </c>
      <c r="H884" s="15" t="s">
        <v>63</v>
      </c>
      <c r="I884" s="15" t="s">
        <v>246</v>
      </c>
    </row>
    <row r="885" customFormat="false" ht="15" hidden="false" customHeight="true" outlineLevel="0" collapsed="false">
      <c r="A885" s="14" t="n">
        <v>884</v>
      </c>
      <c r="B885" s="14" t="s">
        <v>1041</v>
      </c>
      <c r="C885" s="14" t="s">
        <v>1042</v>
      </c>
      <c r="D885" s="15" t="s">
        <v>1043</v>
      </c>
      <c r="E885" s="15" t="s">
        <v>1044</v>
      </c>
      <c r="F885" s="15" t="s">
        <v>1073</v>
      </c>
      <c r="G885" s="15" t="s">
        <v>317</v>
      </c>
      <c r="H885" s="15" t="s">
        <v>63</v>
      </c>
      <c r="I885" s="15" t="s">
        <v>246</v>
      </c>
    </row>
    <row r="886" customFormat="false" ht="15" hidden="false" customHeight="true" outlineLevel="0" collapsed="false">
      <c r="A886" s="14" t="n">
        <v>885</v>
      </c>
      <c r="B886" s="14" t="s">
        <v>1041</v>
      </c>
      <c r="C886" s="14" t="s">
        <v>1042</v>
      </c>
      <c r="D886" s="15" t="s">
        <v>1043</v>
      </c>
      <c r="E886" s="15" t="s">
        <v>1044</v>
      </c>
      <c r="F886" s="15" t="s">
        <v>1074</v>
      </c>
      <c r="G886" s="15" t="s">
        <v>317</v>
      </c>
      <c r="H886" s="15" t="s">
        <v>63</v>
      </c>
      <c r="I886" s="15" t="s">
        <v>246</v>
      </c>
    </row>
    <row r="887" customFormat="false" ht="15" hidden="false" customHeight="true" outlineLevel="0" collapsed="false">
      <c r="A887" s="14" t="n">
        <v>886</v>
      </c>
      <c r="B887" s="14" t="s">
        <v>1041</v>
      </c>
      <c r="C887" s="14" t="s">
        <v>1042</v>
      </c>
      <c r="D887" s="15" t="s">
        <v>1043</v>
      </c>
      <c r="E887" s="15" t="s">
        <v>1044</v>
      </c>
      <c r="F887" s="15" t="s">
        <v>1075</v>
      </c>
      <c r="G887" s="15" t="s">
        <v>821</v>
      </c>
      <c r="H887" s="15" t="s">
        <v>63</v>
      </c>
      <c r="I887" s="15" t="s">
        <v>246</v>
      </c>
    </row>
    <row r="888" customFormat="false" ht="15" hidden="false" customHeight="true" outlineLevel="0" collapsed="false">
      <c r="A888" s="14" t="n">
        <v>887</v>
      </c>
      <c r="B888" s="14" t="s">
        <v>1041</v>
      </c>
      <c r="C888" s="14" t="s">
        <v>1042</v>
      </c>
      <c r="D888" s="15" t="s">
        <v>1043</v>
      </c>
      <c r="E888" s="15" t="s">
        <v>1044</v>
      </c>
      <c r="F888" s="15" t="s">
        <v>610</v>
      </c>
      <c r="G888" s="15" t="s">
        <v>498</v>
      </c>
      <c r="H888" s="15" t="s">
        <v>63</v>
      </c>
      <c r="I888" s="15" t="s">
        <v>246</v>
      </c>
    </row>
    <row r="889" customFormat="false" ht="15" hidden="false" customHeight="true" outlineLevel="0" collapsed="false">
      <c r="A889" s="14" t="n">
        <v>888</v>
      </c>
      <c r="B889" s="14" t="s">
        <v>1041</v>
      </c>
      <c r="C889" s="14" t="s">
        <v>1042</v>
      </c>
      <c r="D889" s="15" t="s">
        <v>1043</v>
      </c>
      <c r="E889" s="15" t="s">
        <v>1044</v>
      </c>
      <c r="F889" s="15" t="s">
        <v>1076</v>
      </c>
      <c r="G889" s="15" t="s">
        <v>266</v>
      </c>
      <c r="H889" s="15" t="s">
        <v>63</v>
      </c>
      <c r="I889" s="15" t="s">
        <v>246</v>
      </c>
    </row>
    <row r="890" customFormat="false" ht="15" hidden="false" customHeight="true" outlineLevel="0" collapsed="false">
      <c r="A890" s="14" t="n">
        <v>889</v>
      </c>
      <c r="B890" s="14" t="s">
        <v>1041</v>
      </c>
      <c r="C890" s="14" t="s">
        <v>1042</v>
      </c>
      <c r="D890" s="15" t="s">
        <v>1043</v>
      </c>
      <c r="E890" s="15" t="s">
        <v>1044</v>
      </c>
      <c r="F890" s="15" t="s">
        <v>1077</v>
      </c>
      <c r="G890" s="15" t="s">
        <v>268</v>
      </c>
      <c r="H890" s="15" t="s">
        <v>63</v>
      </c>
      <c r="I890" s="15" t="s">
        <v>246</v>
      </c>
    </row>
    <row r="891" customFormat="false" ht="15" hidden="false" customHeight="true" outlineLevel="0" collapsed="false">
      <c r="A891" s="14" t="n">
        <v>890</v>
      </c>
      <c r="B891" s="14" t="s">
        <v>1041</v>
      </c>
      <c r="C891" s="14" t="s">
        <v>1042</v>
      </c>
      <c r="D891" s="15" t="s">
        <v>1043</v>
      </c>
      <c r="E891" s="15" t="s">
        <v>1044</v>
      </c>
      <c r="F891" s="15" t="s">
        <v>1078</v>
      </c>
      <c r="G891" s="15" t="s">
        <v>831</v>
      </c>
      <c r="H891" s="15" t="s">
        <v>63</v>
      </c>
      <c r="I891" s="15" t="s">
        <v>246</v>
      </c>
    </row>
    <row r="892" customFormat="false" ht="15" hidden="false" customHeight="true" outlineLevel="0" collapsed="false">
      <c r="A892" s="14" t="n">
        <v>891</v>
      </c>
      <c r="B892" s="14" t="s">
        <v>1041</v>
      </c>
      <c r="C892" s="14" t="s">
        <v>1042</v>
      </c>
      <c r="D892" s="15" t="s">
        <v>1043</v>
      </c>
      <c r="E892" s="15" t="s">
        <v>1044</v>
      </c>
      <c r="F892" s="15" t="s">
        <v>1079</v>
      </c>
      <c r="G892" s="15" t="s">
        <v>1080</v>
      </c>
      <c r="H892" s="15" t="s">
        <v>63</v>
      </c>
      <c r="I892" s="15" t="s">
        <v>246</v>
      </c>
    </row>
    <row r="893" customFormat="false" ht="15" hidden="false" customHeight="true" outlineLevel="0" collapsed="false">
      <c r="A893" s="14" t="n">
        <v>892</v>
      </c>
      <c r="B893" s="14" t="s">
        <v>1041</v>
      </c>
      <c r="C893" s="14" t="s">
        <v>1042</v>
      </c>
      <c r="D893" s="15" t="s">
        <v>1043</v>
      </c>
      <c r="E893" s="15" t="s">
        <v>1044</v>
      </c>
      <c r="F893" s="15" t="s">
        <v>1081</v>
      </c>
      <c r="G893" s="15" t="s">
        <v>1082</v>
      </c>
      <c r="H893" s="15" t="s">
        <v>63</v>
      </c>
      <c r="I893" s="15" t="s">
        <v>246</v>
      </c>
    </row>
    <row r="894" customFormat="false" ht="15" hidden="false" customHeight="true" outlineLevel="0" collapsed="false">
      <c r="A894" s="14" t="n">
        <v>893</v>
      </c>
      <c r="B894" s="14" t="s">
        <v>1041</v>
      </c>
      <c r="C894" s="14" t="s">
        <v>1042</v>
      </c>
      <c r="D894" s="15" t="s">
        <v>1043</v>
      </c>
      <c r="E894" s="15" t="s">
        <v>1044</v>
      </c>
      <c r="F894" s="15" t="s">
        <v>1083</v>
      </c>
      <c r="G894" s="15" t="s">
        <v>1084</v>
      </c>
      <c r="H894" s="15" t="s">
        <v>63</v>
      </c>
      <c r="I894" s="15" t="s">
        <v>246</v>
      </c>
    </row>
    <row r="895" customFormat="false" ht="15" hidden="false" customHeight="true" outlineLevel="0" collapsed="false">
      <c r="A895" s="14" t="n">
        <v>894</v>
      </c>
      <c r="B895" s="14" t="s">
        <v>1041</v>
      </c>
      <c r="C895" s="14" t="s">
        <v>1042</v>
      </c>
      <c r="D895" s="15" t="s">
        <v>1043</v>
      </c>
      <c r="E895" s="15" t="s">
        <v>1044</v>
      </c>
      <c r="F895" s="15" t="s">
        <v>1085</v>
      </c>
      <c r="G895" s="15" t="s">
        <v>1086</v>
      </c>
      <c r="H895" s="15" t="s">
        <v>63</v>
      </c>
      <c r="I895" s="15" t="s">
        <v>246</v>
      </c>
    </row>
    <row r="896" customFormat="false" ht="15" hidden="false" customHeight="true" outlineLevel="0" collapsed="false">
      <c r="A896" s="14" t="n">
        <v>895</v>
      </c>
      <c r="B896" s="14" t="s">
        <v>1041</v>
      </c>
      <c r="C896" s="14" t="s">
        <v>1042</v>
      </c>
      <c r="D896" s="15" t="s">
        <v>1043</v>
      </c>
      <c r="E896" s="15" t="s">
        <v>1044</v>
      </c>
      <c r="F896" s="15" t="s">
        <v>1087</v>
      </c>
      <c r="G896" s="15" t="s">
        <v>317</v>
      </c>
      <c r="H896" s="15" t="s">
        <v>63</v>
      </c>
      <c r="I896" s="15" t="s">
        <v>246</v>
      </c>
    </row>
    <row r="897" customFormat="false" ht="15" hidden="false" customHeight="true" outlineLevel="0" collapsed="false">
      <c r="A897" s="14" t="n">
        <v>896</v>
      </c>
      <c r="B897" s="14" t="s">
        <v>1041</v>
      </c>
      <c r="C897" s="14" t="s">
        <v>1042</v>
      </c>
      <c r="D897" s="15" t="s">
        <v>1043</v>
      </c>
      <c r="E897" s="15" t="s">
        <v>1044</v>
      </c>
      <c r="F897" s="15" t="s">
        <v>1088</v>
      </c>
      <c r="G897" s="15" t="s">
        <v>498</v>
      </c>
      <c r="H897" s="15" t="s">
        <v>63</v>
      </c>
      <c r="I897" s="15" t="s">
        <v>246</v>
      </c>
    </row>
    <row r="898" customFormat="false" ht="15" hidden="false" customHeight="true" outlineLevel="0" collapsed="false">
      <c r="A898" s="14" t="n">
        <v>897</v>
      </c>
      <c r="B898" s="14" t="s">
        <v>1041</v>
      </c>
      <c r="C898" s="14" t="s">
        <v>1042</v>
      </c>
      <c r="D898" s="15" t="s">
        <v>1043</v>
      </c>
      <c r="E898" s="15" t="s">
        <v>1044</v>
      </c>
      <c r="F898" s="15" t="s">
        <v>467</v>
      </c>
      <c r="G898" s="15" t="s">
        <v>317</v>
      </c>
      <c r="H898" s="15" t="s">
        <v>63</v>
      </c>
      <c r="I898" s="15" t="s">
        <v>246</v>
      </c>
    </row>
    <row r="899" customFormat="false" ht="15" hidden="false" customHeight="true" outlineLevel="0" collapsed="false">
      <c r="A899" s="14" t="n">
        <v>898</v>
      </c>
      <c r="B899" s="14" t="s">
        <v>1041</v>
      </c>
      <c r="C899" s="14" t="s">
        <v>1042</v>
      </c>
      <c r="D899" s="15" t="s">
        <v>1043</v>
      </c>
      <c r="E899" s="15" t="s">
        <v>1044</v>
      </c>
      <c r="F899" s="15" t="s">
        <v>1089</v>
      </c>
      <c r="G899" s="15" t="s">
        <v>327</v>
      </c>
      <c r="H899" s="15" t="s">
        <v>63</v>
      </c>
      <c r="I899" s="15" t="s">
        <v>246</v>
      </c>
    </row>
    <row r="900" customFormat="false" ht="15" hidden="false" customHeight="true" outlineLevel="0" collapsed="false">
      <c r="A900" s="14" t="n">
        <v>899</v>
      </c>
      <c r="B900" s="14" t="s">
        <v>1041</v>
      </c>
      <c r="C900" s="14" t="s">
        <v>1042</v>
      </c>
      <c r="D900" s="15" t="s">
        <v>1043</v>
      </c>
      <c r="E900" s="15" t="s">
        <v>1044</v>
      </c>
      <c r="F900" s="15" t="s">
        <v>1090</v>
      </c>
      <c r="G900" s="15" t="s">
        <v>1091</v>
      </c>
      <c r="H900" s="15" t="s">
        <v>63</v>
      </c>
      <c r="I900" s="15" t="s">
        <v>246</v>
      </c>
    </row>
    <row r="901" customFormat="false" ht="15" hidden="false" customHeight="true" outlineLevel="0" collapsed="false">
      <c r="A901" s="14" t="n">
        <v>900</v>
      </c>
      <c r="B901" s="14" t="s">
        <v>1041</v>
      </c>
      <c r="C901" s="14" t="s">
        <v>1042</v>
      </c>
      <c r="D901" s="15" t="s">
        <v>1043</v>
      </c>
      <c r="E901" s="15" t="s">
        <v>1044</v>
      </c>
      <c r="F901" s="15" t="s">
        <v>1092</v>
      </c>
      <c r="G901" s="15" t="s">
        <v>287</v>
      </c>
      <c r="H901" s="15" t="s">
        <v>63</v>
      </c>
      <c r="I901" s="15" t="s">
        <v>246</v>
      </c>
    </row>
    <row r="902" customFormat="false" ht="15" hidden="false" customHeight="true" outlineLevel="0" collapsed="false">
      <c r="A902" s="14" t="n">
        <v>901</v>
      </c>
      <c r="B902" s="14" t="s">
        <v>1041</v>
      </c>
      <c r="C902" s="14" t="s">
        <v>1042</v>
      </c>
      <c r="D902" s="15" t="s">
        <v>1043</v>
      </c>
      <c r="E902" s="15" t="s">
        <v>1044</v>
      </c>
      <c r="F902" s="15" t="s">
        <v>1093</v>
      </c>
      <c r="G902" s="15" t="s">
        <v>325</v>
      </c>
      <c r="H902" s="15" t="s">
        <v>63</v>
      </c>
      <c r="I902" s="15" t="s">
        <v>246</v>
      </c>
    </row>
    <row r="903" customFormat="false" ht="15" hidden="false" customHeight="true" outlineLevel="0" collapsed="false">
      <c r="A903" s="14" t="n">
        <v>902</v>
      </c>
      <c r="B903" s="14" t="s">
        <v>1041</v>
      </c>
      <c r="C903" s="14" t="s">
        <v>1042</v>
      </c>
      <c r="D903" s="15" t="s">
        <v>1043</v>
      </c>
      <c r="E903" s="15" t="s">
        <v>1044</v>
      </c>
      <c r="F903" s="15" t="s">
        <v>1094</v>
      </c>
      <c r="G903" s="15" t="s">
        <v>327</v>
      </c>
      <c r="H903" s="15" t="s">
        <v>63</v>
      </c>
      <c r="I903" s="15" t="s">
        <v>246</v>
      </c>
    </row>
    <row r="904" customFormat="false" ht="23.25" hidden="false" customHeight="true" outlineLevel="0" collapsed="false">
      <c r="A904" s="14" t="n">
        <v>903</v>
      </c>
      <c r="B904" s="14" t="s">
        <v>1041</v>
      </c>
      <c r="C904" s="14" t="s">
        <v>1042</v>
      </c>
      <c r="D904" s="15" t="s">
        <v>1043</v>
      </c>
      <c r="E904" s="15" t="s">
        <v>1044</v>
      </c>
      <c r="F904" s="15" t="s">
        <v>1095</v>
      </c>
      <c r="G904" s="15" t="s">
        <v>720</v>
      </c>
      <c r="H904" s="15" t="s">
        <v>63</v>
      </c>
      <c r="I904" s="15" t="s">
        <v>246</v>
      </c>
    </row>
    <row r="905" customFormat="false" ht="23.25" hidden="false" customHeight="true" outlineLevel="0" collapsed="false">
      <c r="A905" s="14" t="n">
        <v>904</v>
      </c>
      <c r="B905" s="14" t="s">
        <v>1096</v>
      </c>
      <c r="C905" s="14" t="s">
        <v>302</v>
      </c>
      <c r="D905" s="15" t="s">
        <v>1097</v>
      </c>
      <c r="E905" s="15" t="s">
        <v>1098</v>
      </c>
      <c r="F905" s="15" t="s">
        <v>134</v>
      </c>
      <c r="G905" s="15" t="s">
        <v>1099</v>
      </c>
      <c r="H905" s="15" t="s">
        <v>63</v>
      </c>
      <c r="I905" s="15" t="s">
        <v>246</v>
      </c>
    </row>
    <row r="906" customFormat="false" ht="23.25" hidden="false" customHeight="true" outlineLevel="0" collapsed="false">
      <c r="A906" s="14" t="n">
        <v>905</v>
      </c>
      <c r="B906" s="14" t="s">
        <v>1096</v>
      </c>
      <c r="C906" s="14" t="s">
        <v>302</v>
      </c>
      <c r="D906" s="15" t="s">
        <v>1097</v>
      </c>
      <c r="E906" s="15" t="s">
        <v>1098</v>
      </c>
      <c r="F906" s="15" t="s">
        <v>138</v>
      </c>
      <c r="G906" s="15" t="s">
        <v>1099</v>
      </c>
      <c r="H906" s="15" t="s">
        <v>63</v>
      </c>
      <c r="I906" s="15" t="s">
        <v>246</v>
      </c>
    </row>
    <row r="907" customFormat="false" ht="23.25" hidden="false" customHeight="true" outlineLevel="0" collapsed="false">
      <c r="A907" s="14" t="n">
        <v>906</v>
      </c>
      <c r="B907" s="14" t="s">
        <v>1096</v>
      </c>
      <c r="C907" s="14" t="s">
        <v>302</v>
      </c>
      <c r="D907" s="15" t="s">
        <v>1097</v>
      </c>
      <c r="E907" s="15" t="s">
        <v>1098</v>
      </c>
      <c r="F907" s="15" t="s">
        <v>137</v>
      </c>
      <c r="G907" s="15" t="s">
        <v>1099</v>
      </c>
      <c r="H907" s="15" t="s">
        <v>63</v>
      </c>
      <c r="I907" s="15" t="s">
        <v>246</v>
      </c>
    </row>
    <row r="908" customFormat="false" ht="23.25" hidden="false" customHeight="true" outlineLevel="0" collapsed="false">
      <c r="A908" s="14" t="n">
        <v>907</v>
      </c>
      <c r="B908" s="14" t="s">
        <v>1096</v>
      </c>
      <c r="C908" s="14" t="s">
        <v>302</v>
      </c>
      <c r="D908" s="15" t="s">
        <v>1097</v>
      </c>
      <c r="E908" s="15" t="s">
        <v>1098</v>
      </c>
      <c r="F908" s="15" t="s">
        <v>1100</v>
      </c>
      <c r="G908" s="15" t="s">
        <v>1099</v>
      </c>
      <c r="H908" s="15" t="s">
        <v>63</v>
      </c>
      <c r="I908" s="15" t="s">
        <v>246</v>
      </c>
    </row>
    <row r="909" customFormat="false" ht="23.25" hidden="false" customHeight="true" outlineLevel="0" collapsed="false">
      <c r="A909" s="14" t="n">
        <v>908</v>
      </c>
      <c r="B909" s="14" t="s">
        <v>1096</v>
      </c>
      <c r="C909" s="14" t="s">
        <v>302</v>
      </c>
      <c r="D909" s="15" t="s">
        <v>1097</v>
      </c>
      <c r="E909" s="15" t="s">
        <v>1098</v>
      </c>
      <c r="F909" s="15" t="s">
        <v>226</v>
      </c>
      <c r="G909" s="15" t="s">
        <v>1099</v>
      </c>
      <c r="H909" s="15" t="s">
        <v>63</v>
      </c>
      <c r="I909" s="15" t="s">
        <v>246</v>
      </c>
    </row>
    <row r="910" customFormat="false" ht="23.25" hidden="false" customHeight="true" outlineLevel="0" collapsed="false">
      <c r="A910" s="14" t="n">
        <v>909</v>
      </c>
      <c r="B910" s="14" t="s">
        <v>1096</v>
      </c>
      <c r="C910" s="14" t="s">
        <v>302</v>
      </c>
      <c r="D910" s="15" t="s">
        <v>1097</v>
      </c>
      <c r="E910" s="15" t="s">
        <v>1098</v>
      </c>
      <c r="F910" s="15" t="s">
        <v>144</v>
      </c>
      <c r="G910" s="15" t="s">
        <v>1099</v>
      </c>
      <c r="H910" s="15" t="s">
        <v>63</v>
      </c>
      <c r="I910" s="15" t="s">
        <v>246</v>
      </c>
    </row>
    <row r="911" customFormat="false" ht="23.25" hidden="false" customHeight="true" outlineLevel="0" collapsed="false">
      <c r="A911" s="14" t="n">
        <v>910</v>
      </c>
      <c r="B911" s="14" t="s">
        <v>1096</v>
      </c>
      <c r="C911" s="14" t="s">
        <v>302</v>
      </c>
      <c r="D911" s="15" t="s">
        <v>1097</v>
      </c>
      <c r="E911" s="15" t="s">
        <v>1098</v>
      </c>
      <c r="F911" s="15" t="s">
        <v>67</v>
      </c>
      <c r="G911" s="15" t="s">
        <v>1099</v>
      </c>
      <c r="H911" s="15" t="s">
        <v>63</v>
      </c>
      <c r="I911" s="15" t="s">
        <v>246</v>
      </c>
    </row>
    <row r="912" customFormat="false" ht="23.25" hidden="false" customHeight="true" outlineLevel="0" collapsed="false">
      <c r="A912" s="14" t="n">
        <v>911</v>
      </c>
      <c r="B912" s="14" t="s">
        <v>1096</v>
      </c>
      <c r="C912" s="14" t="s">
        <v>302</v>
      </c>
      <c r="D912" s="15" t="s">
        <v>1097</v>
      </c>
      <c r="E912" s="15" t="s">
        <v>1098</v>
      </c>
      <c r="F912" s="15" t="s">
        <v>36</v>
      </c>
      <c r="G912" s="15" t="s">
        <v>1099</v>
      </c>
      <c r="H912" s="15" t="s">
        <v>63</v>
      </c>
      <c r="I912" s="15" t="s">
        <v>246</v>
      </c>
    </row>
    <row r="913" customFormat="false" ht="23.25" hidden="false" customHeight="true" outlineLevel="0" collapsed="false">
      <c r="A913" s="14" t="n">
        <v>912</v>
      </c>
      <c r="B913" s="14" t="s">
        <v>1096</v>
      </c>
      <c r="C913" s="14" t="s">
        <v>302</v>
      </c>
      <c r="D913" s="15" t="s">
        <v>1097</v>
      </c>
      <c r="E913" s="15" t="s">
        <v>1098</v>
      </c>
      <c r="F913" s="15" t="s">
        <v>1101</v>
      </c>
      <c r="G913" s="15" t="s">
        <v>1099</v>
      </c>
      <c r="H913" s="15" t="s">
        <v>63</v>
      </c>
      <c r="I913" s="15" t="s">
        <v>246</v>
      </c>
    </row>
    <row r="914" customFormat="false" ht="23.25" hidden="false" customHeight="true" outlineLevel="0" collapsed="false">
      <c r="A914" s="14" t="n">
        <v>913</v>
      </c>
      <c r="B914" s="14" t="s">
        <v>1096</v>
      </c>
      <c r="C914" s="14" t="s">
        <v>302</v>
      </c>
      <c r="D914" s="15" t="s">
        <v>1097</v>
      </c>
      <c r="E914" s="15" t="s">
        <v>1098</v>
      </c>
      <c r="F914" s="15" t="s">
        <v>1102</v>
      </c>
      <c r="G914" s="15" t="s">
        <v>1099</v>
      </c>
      <c r="H914" s="15" t="s">
        <v>63</v>
      </c>
      <c r="I914" s="15" t="s">
        <v>246</v>
      </c>
    </row>
    <row r="915" customFormat="false" ht="23.25" hidden="false" customHeight="true" outlineLevel="0" collapsed="false">
      <c r="A915" s="14" t="n">
        <v>914</v>
      </c>
      <c r="B915" s="14" t="s">
        <v>1096</v>
      </c>
      <c r="C915" s="14" t="s">
        <v>302</v>
      </c>
      <c r="D915" s="15" t="s">
        <v>1097</v>
      </c>
      <c r="E915" s="15" t="s">
        <v>1098</v>
      </c>
      <c r="F915" s="15" t="s">
        <v>1103</v>
      </c>
      <c r="G915" s="15" t="s">
        <v>1099</v>
      </c>
      <c r="H915" s="15" t="s">
        <v>63</v>
      </c>
      <c r="I915" s="15" t="s">
        <v>246</v>
      </c>
    </row>
    <row r="916" customFormat="false" ht="23.25" hidden="false" customHeight="true" outlineLevel="0" collapsed="false">
      <c r="A916" s="14" t="n">
        <v>915</v>
      </c>
      <c r="B916" s="14" t="s">
        <v>1096</v>
      </c>
      <c r="C916" s="14" t="s">
        <v>302</v>
      </c>
      <c r="D916" s="15" t="s">
        <v>1097</v>
      </c>
      <c r="E916" s="15" t="s">
        <v>1098</v>
      </c>
      <c r="F916" s="15" t="s">
        <v>396</v>
      </c>
      <c r="G916" s="15" t="s">
        <v>1099</v>
      </c>
      <c r="H916" s="15" t="s">
        <v>63</v>
      </c>
      <c r="I916" s="15" t="s">
        <v>246</v>
      </c>
    </row>
    <row r="917" customFormat="false" ht="23.25" hidden="false" customHeight="true" outlineLevel="0" collapsed="false">
      <c r="A917" s="14" t="n">
        <v>916</v>
      </c>
      <c r="B917" s="14" t="s">
        <v>1096</v>
      </c>
      <c r="C917" s="14" t="s">
        <v>302</v>
      </c>
      <c r="D917" s="15" t="s">
        <v>1097</v>
      </c>
      <c r="E917" s="15" t="s">
        <v>1098</v>
      </c>
      <c r="F917" s="15" t="s">
        <v>1104</v>
      </c>
      <c r="G917" s="15" t="s">
        <v>1099</v>
      </c>
      <c r="H917" s="15" t="s">
        <v>63</v>
      </c>
      <c r="I917" s="15" t="s">
        <v>246</v>
      </c>
    </row>
    <row r="918" customFormat="false" ht="23.25" hidden="false" customHeight="true" outlineLevel="0" collapsed="false">
      <c r="A918" s="14" t="n">
        <v>917</v>
      </c>
      <c r="B918" s="14" t="s">
        <v>1096</v>
      </c>
      <c r="C918" s="14" t="s">
        <v>302</v>
      </c>
      <c r="D918" s="15" t="s">
        <v>1097</v>
      </c>
      <c r="E918" s="15" t="s">
        <v>1098</v>
      </c>
      <c r="F918" s="15" t="s">
        <v>1105</v>
      </c>
      <c r="G918" s="15" t="s">
        <v>1099</v>
      </c>
      <c r="H918" s="15" t="s">
        <v>63</v>
      </c>
      <c r="I918" s="15" t="s">
        <v>246</v>
      </c>
    </row>
    <row r="919" customFormat="false" ht="23.25" hidden="false" customHeight="true" outlineLevel="0" collapsed="false">
      <c r="A919" s="14" t="n">
        <v>918</v>
      </c>
      <c r="B919" s="14" t="s">
        <v>1096</v>
      </c>
      <c r="C919" s="14" t="s">
        <v>302</v>
      </c>
      <c r="D919" s="15" t="s">
        <v>1097</v>
      </c>
      <c r="E919" s="15" t="s">
        <v>1098</v>
      </c>
      <c r="F919" s="15" t="s">
        <v>444</v>
      </c>
      <c r="G919" s="15" t="s">
        <v>1099</v>
      </c>
      <c r="H919" s="15" t="s">
        <v>63</v>
      </c>
      <c r="I919" s="15" t="s">
        <v>246</v>
      </c>
    </row>
    <row r="920" customFormat="false" ht="23.25" hidden="false" customHeight="true" outlineLevel="0" collapsed="false">
      <c r="A920" s="14" t="n">
        <v>919</v>
      </c>
      <c r="B920" s="14" t="s">
        <v>1096</v>
      </c>
      <c r="C920" s="14" t="s">
        <v>302</v>
      </c>
      <c r="D920" s="15" t="s">
        <v>1097</v>
      </c>
      <c r="E920" s="15" t="s">
        <v>1098</v>
      </c>
      <c r="F920" s="15" t="s">
        <v>1106</v>
      </c>
      <c r="G920" s="15" t="s">
        <v>1099</v>
      </c>
      <c r="H920" s="15" t="s">
        <v>63</v>
      </c>
      <c r="I920" s="15" t="s">
        <v>246</v>
      </c>
    </row>
    <row r="921" customFormat="false" ht="23.25" hidden="false" customHeight="true" outlineLevel="0" collapsed="false">
      <c r="A921" s="14" t="n">
        <v>920</v>
      </c>
      <c r="B921" s="14" t="s">
        <v>1096</v>
      </c>
      <c r="C921" s="14" t="s">
        <v>302</v>
      </c>
      <c r="D921" s="15" t="s">
        <v>1097</v>
      </c>
      <c r="E921" s="15" t="s">
        <v>1098</v>
      </c>
      <c r="F921" s="15" t="s">
        <v>1107</v>
      </c>
      <c r="G921" s="15" t="s">
        <v>1099</v>
      </c>
      <c r="H921" s="15" t="s">
        <v>63</v>
      </c>
      <c r="I921" s="15" t="s">
        <v>246</v>
      </c>
    </row>
    <row r="922" customFormat="false" ht="23.25" hidden="false" customHeight="true" outlineLevel="0" collapsed="false">
      <c r="A922" s="14" t="n">
        <v>921</v>
      </c>
      <c r="B922" s="14" t="s">
        <v>1096</v>
      </c>
      <c r="C922" s="14" t="s">
        <v>302</v>
      </c>
      <c r="D922" s="15" t="s">
        <v>1097</v>
      </c>
      <c r="E922" s="15" t="s">
        <v>1098</v>
      </c>
      <c r="F922" s="15" t="s">
        <v>1108</v>
      </c>
      <c r="G922" s="15" t="s">
        <v>1099</v>
      </c>
      <c r="H922" s="15" t="s">
        <v>63</v>
      </c>
      <c r="I922" s="15" t="s">
        <v>246</v>
      </c>
    </row>
    <row r="923" customFormat="false" ht="23.25" hidden="false" customHeight="true" outlineLevel="0" collapsed="false">
      <c r="A923" s="14" t="n">
        <v>922</v>
      </c>
      <c r="B923" s="14" t="s">
        <v>1096</v>
      </c>
      <c r="C923" s="14" t="s">
        <v>302</v>
      </c>
      <c r="D923" s="15" t="s">
        <v>1097</v>
      </c>
      <c r="E923" s="15" t="s">
        <v>1098</v>
      </c>
      <c r="F923" s="15" t="s">
        <v>1109</v>
      </c>
      <c r="G923" s="15" t="s">
        <v>1099</v>
      </c>
      <c r="H923" s="15" t="s">
        <v>63</v>
      </c>
      <c r="I923" s="15" t="s">
        <v>246</v>
      </c>
    </row>
    <row r="924" customFormat="false" ht="23.25" hidden="false" customHeight="true" outlineLevel="0" collapsed="false">
      <c r="A924" s="14" t="n">
        <v>923</v>
      </c>
      <c r="B924" s="14" t="s">
        <v>1096</v>
      </c>
      <c r="C924" s="14" t="s">
        <v>302</v>
      </c>
      <c r="D924" s="15" t="s">
        <v>1097</v>
      </c>
      <c r="E924" s="15" t="s">
        <v>1098</v>
      </c>
      <c r="F924" s="15" t="s">
        <v>1110</v>
      </c>
      <c r="G924" s="15" t="s">
        <v>1099</v>
      </c>
      <c r="H924" s="15" t="s">
        <v>63</v>
      </c>
      <c r="I924" s="15" t="s">
        <v>246</v>
      </c>
    </row>
    <row r="925" customFormat="false" ht="23.25" hidden="false" customHeight="true" outlineLevel="0" collapsed="false">
      <c r="A925" s="14" t="n">
        <v>924</v>
      </c>
      <c r="B925" s="14" t="s">
        <v>1096</v>
      </c>
      <c r="C925" s="14" t="s">
        <v>302</v>
      </c>
      <c r="D925" s="15" t="s">
        <v>1097</v>
      </c>
      <c r="E925" s="15" t="s">
        <v>1098</v>
      </c>
      <c r="F925" s="15" t="s">
        <v>1111</v>
      </c>
      <c r="G925" s="15" t="s">
        <v>1099</v>
      </c>
      <c r="H925" s="15" t="s">
        <v>63</v>
      </c>
      <c r="I925" s="15" t="s">
        <v>246</v>
      </c>
    </row>
    <row r="926" customFormat="false" ht="23.25" hidden="false" customHeight="true" outlineLevel="0" collapsed="false">
      <c r="A926" s="14" t="n">
        <v>925</v>
      </c>
      <c r="B926" s="14" t="s">
        <v>1096</v>
      </c>
      <c r="C926" s="14" t="s">
        <v>302</v>
      </c>
      <c r="D926" s="15" t="s">
        <v>1097</v>
      </c>
      <c r="E926" s="15" t="s">
        <v>1098</v>
      </c>
      <c r="F926" s="15" t="s">
        <v>1112</v>
      </c>
      <c r="G926" s="15" t="s">
        <v>1099</v>
      </c>
      <c r="H926" s="15" t="s">
        <v>63</v>
      </c>
      <c r="I926" s="15" t="s">
        <v>246</v>
      </c>
    </row>
    <row r="927" customFormat="false" ht="23.25" hidden="false" customHeight="true" outlineLevel="0" collapsed="false">
      <c r="A927" s="14" t="n">
        <v>926</v>
      </c>
      <c r="B927" s="14" t="s">
        <v>1096</v>
      </c>
      <c r="C927" s="14" t="s">
        <v>302</v>
      </c>
      <c r="D927" s="15" t="s">
        <v>1097</v>
      </c>
      <c r="E927" s="15" t="s">
        <v>1098</v>
      </c>
      <c r="F927" s="15" t="s">
        <v>639</v>
      </c>
      <c r="G927" s="15" t="s">
        <v>1099</v>
      </c>
      <c r="H927" s="15" t="s">
        <v>63</v>
      </c>
      <c r="I927" s="15" t="s">
        <v>246</v>
      </c>
    </row>
    <row r="928" customFormat="false" ht="23.25" hidden="false" customHeight="true" outlineLevel="0" collapsed="false">
      <c r="A928" s="14" t="n">
        <v>927</v>
      </c>
      <c r="B928" s="14" t="s">
        <v>1096</v>
      </c>
      <c r="C928" s="14" t="s">
        <v>302</v>
      </c>
      <c r="D928" s="15" t="s">
        <v>1097</v>
      </c>
      <c r="E928" s="15" t="s">
        <v>1098</v>
      </c>
      <c r="F928" s="15" t="s">
        <v>874</v>
      </c>
      <c r="G928" s="15" t="s">
        <v>1099</v>
      </c>
      <c r="H928" s="15" t="s">
        <v>63</v>
      </c>
      <c r="I928" s="15" t="s">
        <v>246</v>
      </c>
    </row>
    <row r="929" customFormat="false" ht="23.25" hidden="false" customHeight="true" outlineLevel="0" collapsed="false">
      <c r="A929" s="14" t="n">
        <v>928</v>
      </c>
      <c r="B929" s="14" t="s">
        <v>1096</v>
      </c>
      <c r="C929" s="14" t="s">
        <v>302</v>
      </c>
      <c r="D929" s="15" t="s">
        <v>1097</v>
      </c>
      <c r="E929" s="15" t="s">
        <v>1098</v>
      </c>
      <c r="F929" s="15" t="s">
        <v>864</v>
      </c>
      <c r="G929" s="15" t="s">
        <v>1099</v>
      </c>
      <c r="H929" s="15" t="s">
        <v>63</v>
      </c>
      <c r="I929" s="15" t="s">
        <v>246</v>
      </c>
    </row>
    <row r="930" customFormat="false" ht="23.25" hidden="false" customHeight="true" outlineLevel="0" collapsed="false">
      <c r="A930" s="14" t="n">
        <v>929</v>
      </c>
      <c r="B930" s="14" t="s">
        <v>1096</v>
      </c>
      <c r="C930" s="14" t="s">
        <v>302</v>
      </c>
      <c r="D930" s="15" t="s">
        <v>1097</v>
      </c>
      <c r="E930" s="15" t="s">
        <v>1098</v>
      </c>
      <c r="F930" s="15" t="s">
        <v>1113</v>
      </c>
      <c r="G930" s="15" t="s">
        <v>1099</v>
      </c>
      <c r="H930" s="15" t="s">
        <v>63</v>
      </c>
      <c r="I930" s="15" t="s">
        <v>246</v>
      </c>
    </row>
    <row r="931" customFormat="false" ht="23.25" hidden="false" customHeight="true" outlineLevel="0" collapsed="false">
      <c r="A931" s="14" t="n">
        <v>930</v>
      </c>
      <c r="B931" s="14" t="s">
        <v>1096</v>
      </c>
      <c r="C931" s="14" t="s">
        <v>302</v>
      </c>
      <c r="D931" s="15" t="s">
        <v>1097</v>
      </c>
      <c r="E931" s="15" t="s">
        <v>1098</v>
      </c>
      <c r="F931" s="15" t="s">
        <v>420</v>
      </c>
      <c r="G931" s="15" t="s">
        <v>1099</v>
      </c>
      <c r="H931" s="15" t="s">
        <v>63</v>
      </c>
      <c r="I931" s="15" t="s">
        <v>246</v>
      </c>
    </row>
    <row r="932" customFormat="false" ht="23.25" hidden="false" customHeight="true" outlineLevel="0" collapsed="false">
      <c r="A932" s="14" t="n">
        <v>931</v>
      </c>
      <c r="B932" s="14" t="s">
        <v>1096</v>
      </c>
      <c r="C932" s="14" t="s">
        <v>302</v>
      </c>
      <c r="D932" s="15" t="s">
        <v>1097</v>
      </c>
      <c r="E932" s="15" t="s">
        <v>1098</v>
      </c>
      <c r="F932" s="15" t="s">
        <v>39</v>
      </c>
      <c r="G932" s="15" t="s">
        <v>1099</v>
      </c>
      <c r="H932" s="15" t="s">
        <v>63</v>
      </c>
      <c r="I932" s="15" t="s">
        <v>246</v>
      </c>
    </row>
    <row r="933" customFormat="false" ht="23.25" hidden="false" customHeight="true" outlineLevel="0" collapsed="false">
      <c r="A933" s="14" t="n">
        <v>932</v>
      </c>
      <c r="B933" s="14" t="s">
        <v>1096</v>
      </c>
      <c r="C933" s="14" t="s">
        <v>302</v>
      </c>
      <c r="D933" s="15" t="s">
        <v>1097</v>
      </c>
      <c r="E933" s="15" t="s">
        <v>1098</v>
      </c>
      <c r="F933" s="15" t="s">
        <v>143</v>
      </c>
      <c r="G933" s="15" t="s">
        <v>1099</v>
      </c>
      <c r="H933" s="15" t="s">
        <v>63</v>
      </c>
      <c r="I933" s="15" t="s">
        <v>246</v>
      </c>
    </row>
    <row r="934" customFormat="false" ht="23.25" hidden="false" customHeight="true" outlineLevel="0" collapsed="false">
      <c r="A934" s="14" t="n">
        <v>933</v>
      </c>
      <c r="B934" s="14" t="s">
        <v>1096</v>
      </c>
      <c r="C934" s="14" t="s">
        <v>302</v>
      </c>
      <c r="D934" s="15" t="s">
        <v>1097</v>
      </c>
      <c r="E934" s="15" t="s">
        <v>1098</v>
      </c>
      <c r="F934" s="15" t="s">
        <v>1114</v>
      </c>
      <c r="G934" s="15" t="s">
        <v>1099</v>
      </c>
      <c r="H934" s="15" t="s">
        <v>63</v>
      </c>
      <c r="I934" s="15" t="s">
        <v>246</v>
      </c>
    </row>
    <row r="935" customFormat="false" ht="23.25" hidden="false" customHeight="true" outlineLevel="0" collapsed="false">
      <c r="A935" s="14" t="n">
        <v>934</v>
      </c>
      <c r="B935" s="14" t="s">
        <v>1096</v>
      </c>
      <c r="C935" s="14" t="s">
        <v>302</v>
      </c>
      <c r="D935" s="15" t="s">
        <v>1097</v>
      </c>
      <c r="E935" s="15" t="s">
        <v>1098</v>
      </c>
      <c r="F935" s="15" t="s">
        <v>1115</v>
      </c>
      <c r="G935" s="15" t="s">
        <v>1099</v>
      </c>
      <c r="H935" s="15" t="s">
        <v>63</v>
      </c>
      <c r="I935" s="15" t="s">
        <v>246</v>
      </c>
    </row>
    <row r="936" customFormat="false" ht="23.25" hidden="false" customHeight="true" outlineLevel="0" collapsed="false">
      <c r="A936" s="14" t="n">
        <v>935</v>
      </c>
      <c r="B936" s="14" t="s">
        <v>1096</v>
      </c>
      <c r="C936" s="14" t="s">
        <v>302</v>
      </c>
      <c r="D936" s="15" t="s">
        <v>1097</v>
      </c>
      <c r="E936" s="15" t="s">
        <v>1098</v>
      </c>
      <c r="F936" s="15" t="s">
        <v>1116</v>
      </c>
      <c r="G936" s="15" t="s">
        <v>1099</v>
      </c>
      <c r="H936" s="15" t="s">
        <v>63</v>
      </c>
      <c r="I936" s="15" t="s">
        <v>246</v>
      </c>
    </row>
    <row r="937" customFormat="false" ht="23.25" hidden="false" customHeight="true" outlineLevel="0" collapsed="false">
      <c r="A937" s="14" t="n">
        <v>936</v>
      </c>
      <c r="B937" s="14" t="s">
        <v>1096</v>
      </c>
      <c r="C937" s="14" t="s">
        <v>302</v>
      </c>
      <c r="D937" s="15" t="s">
        <v>1097</v>
      </c>
      <c r="E937" s="15" t="s">
        <v>1098</v>
      </c>
      <c r="F937" s="15" t="s">
        <v>168</v>
      </c>
      <c r="G937" s="15" t="s">
        <v>1099</v>
      </c>
      <c r="H937" s="15" t="s">
        <v>63</v>
      </c>
      <c r="I937" s="15" t="s">
        <v>246</v>
      </c>
    </row>
    <row r="938" customFormat="false" ht="23.25" hidden="false" customHeight="true" outlineLevel="0" collapsed="false">
      <c r="A938" s="14" t="n">
        <v>937</v>
      </c>
      <c r="B938" s="14" t="s">
        <v>1096</v>
      </c>
      <c r="C938" s="14" t="s">
        <v>302</v>
      </c>
      <c r="D938" s="15" t="s">
        <v>1097</v>
      </c>
      <c r="E938" s="15" t="s">
        <v>1098</v>
      </c>
      <c r="F938" s="15" t="s">
        <v>359</v>
      </c>
      <c r="G938" s="15" t="s">
        <v>1099</v>
      </c>
      <c r="H938" s="15" t="s">
        <v>63</v>
      </c>
      <c r="I938" s="15" t="s">
        <v>246</v>
      </c>
    </row>
    <row r="939" customFormat="false" ht="23.25" hidden="false" customHeight="true" outlineLevel="0" collapsed="false">
      <c r="A939" s="14" t="n">
        <v>938</v>
      </c>
      <c r="B939" s="14" t="s">
        <v>1096</v>
      </c>
      <c r="C939" s="14" t="s">
        <v>302</v>
      </c>
      <c r="D939" s="15" t="s">
        <v>1097</v>
      </c>
      <c r="E939" s="15" t="s">
        <v>1098</v>
      </c>
      <c r="F939" s="15" t="s">
        <v>1000</v>
      </c>
      <c r="G939" s="15" t="s">
        <v>1099</v>
      </c>
      <c r="H939" s="15" t="s">
        <v>63</v>
      </c>
      <c r="I939" s="15" t="s">
        <v>246</v>
      </c>
    </row>
    <row r="940" customFormat="false" ht="23.25" hidden="false" customHeight="true" outlineLevel="0" collapsed="false">
      <c r="A940" s="14" t="n">
        <v>939</v>
      </c>
      <c r="B940" s="14" t="s">
        <v>1096</v>
      </c>
      <c r="C940" s="14" t="s">
        <v>302</v>
      </c>
      <c r="D940" s="15" t="s">
        <v>1097</v>
      </c>
      <c r="E940" s="15" t="s">
        <v>1098</v>
      </c>
      <c r="F940" s="15" t="s">
        <v>1117</v>
      </c>
      <c r="G940" s="15" t="s">
        <v>1099</v>
      </c>
      <c r="H940" s="15" t="s">
        <v>63</v>
      </c>
      <c r="I940" s="15" t="s">
        <v>246</v>
      </c>
    </row>
    <row r="941" customFormat="false" ht="23.25" hidden="false" customHeight="true" outlineLevel="0" collapsed="false">
      <c r="A941" s="14" t="n">
        <v>940</v>
      </c>
      <c r="B941" s="14" t="s">
        <v>1096</v>
      </c>
      <c r="C941" s="14" t="s">
        <v>302</v>
      </c>
      <c r="D941" s="15" t="s">
        <v>1097</v>
      </c>
      <c r="E941" s="15" t="s">
        <v>1098</v>
      </c>
      <c r="F941" s="15" t="s">
        <v>1118</v>
      </c>
      <c r="G941" s="15" t="s">
        <v>1099</v>
      </c>
      <c r="H941" s="15" t="s">
        <v>63</v>
      </c>
      <c r="I941" s="15" t="s">
        <v>246</v>
      </c>
    </row>
    <row r="942" customFormat="false" ht="23.25" hidden="false" customHeight="true" outlineLevel="0" collapsed="false">
      <c r="A942" s="14" t="n">
        <v>941</v>
      </c>
      <c r="B942" s="14" t="s">
        <v>1096</v>
      </c>
      <c r="C942" s="14" t="s">
        <v>302</v>
      </c>
      <c r="D942" s="15" t="s">
        <v>1097</v>
      </c>
      <c r="E942" s="15" t="s">
        <v>1098</v>
      </c>
      <c r="F942" s="15" t="s">
        <v>1119</v>
      </c>
      <c r="G942" s="15" t="s">
        <v>1099</v>
      </c>
      <c r="H942" s="15" t="s">
        <v>63</v>
      </c>
      <c r="I942" s="15" t="s">
        <v>246</v>
      </c>
    </row>
    <row r="943" customFormat="false" ht="34.5" hidden="false" customHeight="true" outlineLevel="0" collapsed="false">
      <c r="A943" s="14" t="n">
        <v>942</v>
      </c>
      <c r="B943" s="14" t="s">
        <v>1096</v>
      </c>
      <c r="C943" s="14" t="s">
        <v>302</v>
      </c>
      <c r="D943" s="15" t="s">
        <v>1097</v>
      </c>
      <c r="E943" s="15" t="s">
        <v>1098</v>
      </c>
      <c r="F943" s="15" t="s">
        <v>1120</v>
      </c>
      <c r="G943" s="15" t="s">
        <v>1099</v>
      </c>
      <c r="H943" s="15" t="s">
        <v>63</v>
      </c>
      <c r="I943" s="15" t="s">
        <v>246</v>
      </c>
    </row>
    <row r="944" customFormat="false" ht="23.25" hidden="false" customHeight="true" outlineLevel="0" collapsed="false">
      <c r="A944" s="14" t="n">
        <v>943</v>
      </c>
      <c r="B944" s="14" t="s">
        <v>1096</v>
      </c>
      <c r="C944" s="14" t="s">
        <v>302</v>
      </c>
      <c r="D944" s="15" t="s">
        <v>1097</v>
      </c>
      <c r="E944" s="15" t="s">
        <v>1098</v>
      </c>
      <c r="F944" s="15" t="s">
        <v>875</v>
      </c>
      <c r="G944" s="15" t="s">
        <v>1099</v>
      </c>
      <c r="H944" s="15" t="s">
        <v>63</v>
      </c>
      <c r="I944" s="15" t="s">
        <v>246</v>
      </c>
    </row>
    <row r="945" customFormat="false" ht="23.25" hidden="false" customHeight="true" outlineLevel="0" collapsed="false">
      <c r="A945" s="14" t="n">
        <v>944</v>
      </c>
      <c r="B945" s="14" t="s">
        <v>1096</v>
      </c>
      <c r="C945" s="14" t="s">
        <v>302</v>
      </c>
      <c r="D945" s="15" t="s">
        <v>1097</v>
      </c>
      <c r="E945" s="15" t="s">
        <v>1098</v>
      </c>
      <c r="F945" s="15" t="s">
        <v>230</v>
      </c>
      <c r="G945" s="15" t="s">
        <v>1099</v>
      </c>
      <c r="H945" s="15" t="s">
        <v>63</v>
      </c>
      <c r="I945" s="15" t="s">
        <v>246</v>
      </c>
    </row>
    <row r="946" customFormat="false" ht="23.25" hidden="false" customHeight="true" outlineLevel="0" collapsed="false">
      <c r="A946" s="14" t="n">
        <v>945</v>
      </c>
      <c r="B946" s="14" t="s">
        <v>1096</v>
      </c>
      <c r="C946" s="14" t="s">
        <v>302</v>
      </c>
      <c r="D946" s="15" t="s">
        <v>1097</v>
      </c>
      <c r="E946" s="15" t="s">
        <v>1098</v>
      </c>
      <c r="F946" s="15" t="s">
        <v>1121</v>
      </c>
      <c r="G946" s="15" t="s">
        <v>1099</v>
      </c>
      <c r="H946" s="15" t="s">
        <v>63</v>
      </c>
      <c r="I946" s="15" t="s">
        <v>246</v>
      </c>
    </row>
    <row r="947" customFormat="false" ht="34.5" hidden="false" customHeight="true" outlineLevel="0" collapsed="false">
      <c r="A947" s="14" t="n">
        <v>946</v>
      </c>
      <c r="B947" s="14" t="s">
        <v>1096</v>
      </c>
      <c r="C947" s="14" t="s">
        <v>302</v>
      </c>
      <c r="D947" s="15" t="s">
        <v>1097</v>
      </c>
      <c r="E947" s="15" t="s">
        <v>1098</v>
      </c>
      <c r="F947" s="15" t="s">
        <v>1122</v>
      </c>
      <c r="G947" s="15" t="s">
        <v>1099</v>
      </c>
      <c r="H947" s="15" t="s">
        <v>63</v>
      </c>
      <c r="I947" s="15" t="s">
        <v>246</v>
      </c>
    </row>
    <row r="948" customFormat="false" ht="23.25" hidden="false" customHeight="true" outlineLevel="0" collapsed="false">
      <c r="A948" s="14" t="n">
        <v>947</v>
      </c>
      <c r="B948" s="14" t="s">
        <v>1096</v>
      </c>
      <c r="C948" s="14" t="s">
        <v>302</v>
      </c>
      <c r="D948" s="15" t="s">
        <v>1097</v>
      </c>
      <c r="E948" s="15" t="s">
        <v>1098</v>
      </c>
      <c r="F948" s="15" t="s">
        <v>610</v>
      </c>
      <c r="G948" s="15" t="s">
        <v>1099</v>
      </c>
      <c r="H948" s="15" t="s">
        <v>63</v>
      </c>
      <c r="I948" s="15" t="s">
        <v>246</v>
      </c>
    </row>
    <row r="949" customFormat="false" ht="23.25" hidden="false" customHeight="true" outlineLevel="0" collapsed="false">
      <c r="A949" s="14" t="n">
        <v>948</v>
      </c>
      <c r="B949" s="14" t="s">
        <v>1096</v>
      </c>
      <c r="C949" s="14" t="s">
        <v>302</v>
      </c>
      <c r="D949" s="15" t="s">
        <v>1097</v>
      </c>
      <c r="E949" s="15" t="s">
        <v>1098</v>
      </c>
      <c r="F949" s="15" t="s">
        <v>1123</v>
      </c>
      <c r="G949" s="15" t="s">
        <v>1099</v>
      </c>
      <c r="H949" s="15" t="s">
        <v>63</v>
      </c>
      <c r="I949" s="15" t="s">
        <v>246</v>
      </c>
    </row>
    <row r="950" customFormat="false" ht="23.25" hidden="false" customHeight="true" outlineLevel="0" collapsed="false">
      <c r="A950" s="14" t="n">
        <v>949</v>
      </c>
      <c r="B950" s="14" t="s">
        <v>1096</v>
      </c>
      <c r="C950" s="14" t="s">
        <v>302</v>
      </c>
      <c r="D950" s="15" t="s">
        <v>1097</v>
      </c>
      <c r="E950" s="15" t="s">
        <v>1098</v>
      </c>
      <c r="F950" s="15" t="s">
        <v>1124</v>
      </c>
      <c r="G950" s="15" t="s">
        <v>1099</v>
      </c>
      <c r="H950" s="15" t="s">
        <v>63</v>
      </c>
      <c r="I950" s="15" t="s">
        <v>246</v>
      </c>
    </row>
    <row r="951" customFormat="false" ht="23.25" hidden="false" customHeight="true" outlineLevel="0" collapsed="false">
      <c r="A951" s="14" t="n">
        <v>950</v>
      </c>
      <c r="B951" s="14" t="s">
        <v>1096</v>
      </c>
      <c r="C951" s="14" t="s">
        <v>302</v>
      </c>
      <c r="D951" s="15" t="s">
        <v>1097</v>
      </c>
      <c r="E951" s="15" t="s">
        <v>1098</v>
      </c>
      <c r="F951" s="15" t="s">
        <v>1125</v>
      </c>
      <c r="G951" s="15" t="s">
        <v>1099</v>
      </c>
      <c r="H951" s="15" t="s">
        <v>63</v>
      </c>
      <c r="I951" s="15" t="s">
        <v>246</v>
      </c>
    </row>
    <row r="952" customFormat="false" ht="23.25" hidden="false" customHeight="true" outlineLevel="0" collapsed="false">
      <c r="A952" s="14" t="n">
        <v>951</v>
      </c>
      <c r="B952" s="14" t="s">
        <v>1096</v>
      </c>
      <c r="C952" s="14" t="s">
        <v>302</v>
      </c>
      <c r="D952" s="15" t="s">
        <v>1097</v>
      </c>
      <c r="E952" s="15" t="s">
        <v>1098</v>
      </c>
      <c r="F952" s="15" t="s">
        <v>1126</v>
      </c>
      <c r="G952" s="15" t="s">
        <v>1099</v>
      </c>
      <c r="H952" s="15" t="s">
        <v>63</v>
      </c>
      <c r="I952" s="15" t="s">
        <v>246</v>
      </c>
    </row>
    <row r="953" customFormat="false" ht="23.25" hidden="false" customHeight="true" outlineLevel="0" collapsed="false">
      <c r="A953" s="14" t="n">
        <v>952</v>
      </c>
      <c r="B953" s="14" t="s">
        <v>1096</v>
      </c>
      <c r="C953" s="14" t="s">
        <v>302</v>
      </c>
      <c r="D953" s="15" t="s">
        <v>1097</v>
      </c>
      <c r="E953" s="15" t="s">
        <v>1098</v>
      </c>
      <c r="F953" s="15" t="s">
        <v>1127</v>
      </c>
      <c r="G953" s="15" t="s">
        <v>1099</v>
      </c>
      <c r="H953" s="15" t="s">
        <v>63</v>
      </c>
      <c r="I953" s="15" t="s">
        <v>246</v>
      </c>
    </row>
    <row r="954" customFormat="false" ht="23.25" hidden="false" customHeight="true" outlineLevel="0" collapsed="false">
      <c r="A954" s="14" t="n">
        <v>953</v>
      </c>
      <c r="B954" s="14" t="s">
        <v>1096</v>
      </c>
      <c r="C954" s="14" t="s">
        <v>302</v>
      </c>
      <c r="D954" s="15" t="s">
        <v>1097</v>
      </c>
      <c r="E954" s="15" t="s">
        <v>1098</v>
      </c>
      <c r="F954" s="15" t="s">
        <v>1128</v>
      </c>
      <c r="G954" s="15" t="s">
        <v>1099</v>
      </c>
      <c r="H954" s="15" t="s">
        <v>63</v>
      </c>
      <c r="I954" s="15" t="s">
        <v>246</v>
      </c>
    </row>
    <row r="955" customFormat="false" ht="23.25" hidden="false" customHeight="true" outlineLevel="0" collapsed="false">
      <c r="A955" s="14" t="n">
        <v>954</v>
      </c>
      <c r="B955" s="14" t="s">
        <v>1096</v>
      </c>
      <c r="C955" s="14" t="s">
        <v>302</v>
      </c>
      <c r="D955" s="15" t="s">
        <v>1097</v>
      </c>
      <c r="E955" s="15" t="s">
        <v>1098</v>
      </c>
      <c r="F955" s="15" t="s">
        <v>1129</v>
      </c>
      <c r="G955" s="15" t="s">
        <v>1099</v>
      </c>
      <c r="H955" s="15" t="s">
        <v>63</v>
      </c>
      <c r="I955" s="15" t="s">
        <v>246</v>
      </c>
    </row>
    <row r="956" customFormat="false" ht="23.25" hidden="false" customHeight="true" outlineLevel="0" collapsed="false">
      <c r="A956" s="14" t="n">
        <v>955</v>
      </c>
      <c r="B956" s="14" t="s">
        <v>1096</v>
      </c>
      <c r="C956" s="14" t="s">
        <v>302</v>
      </c>
      <c r="D956" s="15" t="s">
        <v>1097</v>
      </c>
      <c r="E956" s="15" t="s">
        <v>1098</v>
      </c>
      <c r="F956" s="15" t="s">
        <v>1130</v>
      </c>
      <c r="G956" s="15" t="s">
        <v>1099</v>
      </c>
      <c r="H956" s="15" t="s">
        <v>63</v>
      </c>
      <c r="I956" s="15" t="s">
        <v>246</v>
      </c>
    </row>
    <row r="957" customFormat="false" ht="23.25" hidden="false" customHeight="true" outlineLevel="0" collapsed="false">
      <c r="A957" s="14" t="n">
        <v>956</v>
      </c>
      <c r="B957" s="14" t="s">
        <v>1131</v>
      </c>
      <c r="C957" s="14" t="s">
        <v>1132</v>
      </c>
      <c r="D957" s="15" t="s">
        <v>1133</v>
      </c>
      <c r="E957" s="15" t="s">
        <v>1134</v>
      </c>
      <c r="F957" s="15" t="s">
        <v>134</v>
      </c>
      <c r="G957" s="15" t="s">
        <v>759</v>
      </c>
      <c r="H957" s="15" t="s">
        <v>1135</v>
      </c>
      <c r="I957" s="15" t="s">
        <v>1136</v>
      </c>
    </row>
    <row r="958" customFormat="false" ht="23.25" hidden="false" customHeight="true" outlineLevel="0" collapsed="false">
      <c r="A958" s="14" t="n">
        <v>957</v>
      </c>
      <c r="B958" s="14" t="s">
        <v>1131</v>
      </c>
      <c r="C958" s="14" t="s">
        <v>1132</v>
      </c>
      <c r="D958" s="15" t="s">
        <v>1133</v>
      </c>
      <c r="E958" s="15" t="s">
        <v>1134</v>
      </c>
      <c r="F958" s="15" t="s">
        <v>137</v>
      </c>
      <c r="G958" s="15" t="s">
        <v>1137</v>
      </c>
      <c r="H958" s="15" t="s">
        <v>63</v>
      </c>
      <c r="I958" s="15" t="s">
        <v>1136</v>
      </c>
    </row>
    <row r="959" customFormat="false" ht="23.25" hidden="false" customHeight="true" outlineLevel="0" collapsed="false">
      <c r="A959" s="14" t="n">
        <v>958</v>
      </c>
      <c r="B959" s="14" t="s">
        <v>1131</v>
      </c>
      <c r="C959" s="14" t="s">
        <v>1132</v>
      </c>
      <c r="D959" s="15" t="s">
        <v>1133</v>
      </c>
      <c r="E959" s="15" t="s">
        <v>1134</v>
      </c>
      <c r="F959" s="15" t="s">
        <v>139</v>
      </c>
      <c r="G959" s="15" t="s">
        <v>763</v>
      </c>
      <c r="H959" s="15" t="s">
        <v>63</v>
      </c>
      <c r="I959" s="15" t="s">
        <v>1136</v>
      </c>
    </row>
    <row r="960" customFormat="false" ht="23.25" hidden="false" customHeight="true" outlineLevel="0" collapsed="false">
      <c r="A960" s="14" t="n">
        <v>959</v>
      </c>
      <c r="B960" s="14" t="s">
        <v>1131</v>
      </c>
      <c r="C960" s="14" t="s">
        <v>1132</v>
      </c>
      <c r="D960" s="15" t="s">
        <v>1133</v>
      </c>
      <c r="E960" s="15" t="s">
        <v>1134</v>
      </c>
      <c r="F960" s="15" t="s">
        <v>1138</v>
      </c>
      <c r="G960" s="15" t="s">
        <v>1139</v>
      </c>
      <c r="H960" s="15" t="s">
        <v>63</v>
      </c>
      <c r="I960" s="15" t="s">
        <v>1136</v>
      </c>
    </row>
    <row r="961" customFormat="false" ht="23.25" hidden="false" customHeight="true" outlineLevel="0" collapsed="false">
      <c r="A961" s="14" t="n">
        <v>960</v>
      </c>
      <c r="B961" s="14" t="s">
        <v>1131</v>
      </c>
      <c r="C961" s="14" t="s">
        <v>1132</v>
      </c>
      <c r="D961" s="15" t="s">
        <v>1133</v>
      </c>
      <c r="E961" s="15" t="s">
        <v>1134</v>
      </c>
      <c r="F961" s="15" t="s">
        <v>1140</v>
      </c>
      <c r="G961" s="15" t="s">
        <v>1141</v>
      </c>
      <c r="H961" s="15" t="s">
        <v>63</v>
      </c>
      <c r="I961" s="15" t="s">
        <v>1136</v>
      </c>
    </row>
    <row r="962" customFormat="false" ht="23.25" hidden="false" customHeight="true" outlineLevel="0" collapsed="false">
      <c r="A962" s="14" t="n">
        <v>961</v>
      </c>
      <c r="B962" s="14" t="s">
        <v>1131</v>
      </c>
      <c r="C962" s="14" t="s">
        <v>1132</v>
      </c>
      <c r="D962" s="15" t="s">
        <v>1133</v>
      </c>
      <c r="E962" s="15" t="s">
        <v>1134</v>
      </c>
      <c r="F962" s="15" t="s">
        <v>1142</v>
      </c>
      <c r="G962" s="15" t="s">
        <v>1143</v>
      </c>
      <c r="H962" s="15" t="s">
        <v>63</v>
      </c>
      <c r="I962" s="15" t="s">
        <v>1136</v>
      </c>
    </row>
    <row r="963" customFormat="false" ht="23.25" hidden="false" customHeight="true" outlineLevel="0" collapsed="false">
      <c r="A963" s="14" t="n">
        <v>962</v>
      </c>
      <c r="B963" s="14" t="s">
        <v>1131</v>
      </c>
      <c r="C963" s="14" t="s">
        <v>1132</v>
      </c>
      <c r="D963" s="15" t="s">
        <v>1133</v>
      </c>
      <c r="E963" s="15" t="s">
        <v>1134</v>
      </c>
      <c r="F963" s="15" t="s">
        <v>780</v>
      </c>
      <c r="G963" s="15" t="s">
        <v>1144</v>
      </c>
      <c r="H963" s="15" t="s">
        <v>63</v>
      </c>
      <c r="I963" s="15" t="s">
        <v>1136</v>
      </c>
    </row>
    <row r="964" customFormat="false" ht="23.25" hidden="false" customHeight="true" outlineLevel="0" collapsed="false">
      <c r="A964" s="14" t="n">
        <v>963</v>
      </c>
      <c r="B964" s="14" t="s">
        <v>1131</v>
      </c>
      <c r="C964" s="14" t="s">
        <v>1132</v>
      </c>
      <c r="D964" s="15" t="s">
        <v>1133</v>
      </c>
      <c r="E964" s="15" t="s">
        <v>1134</v>
      </c>
      <c r="F964" s="15" t="s">
        <v>1145</v>
      </c>
      <c r="G964" s="15" t="s">
        <v>1146</v>
      </c>
      <c r="H964" s="15" t="s">
        <v>63</v>
      </c>
      <c r="I964" s="15" t="s">
        <v>1136</v>
      </c>
    </row>
    <row r="965" customFormat="false" ht="23.25" hidden="false" customHeight="true" outlineLevel="0" collapsed="false">
      <c r="A965" s="14" t="n">
        <v>964</v>
      </c>
      <c r="B965" s="14" t="s">
        <v>1131</v>
      </c>
      <c r="C965" s="14" t="s">
        <v>1132</v>
      </c>
      <c r="D965" s="15" t="s">
        <v>1133</v>
      </c>
      <c r="E965" s="15" t="s">
        <v>1134</v>
      </c>
      <c r="F965" s="15" t="s">
        <v>935</v>
      </c>
      <c r="G965" s="15" t="s">
        <v>1147</v>
      </c>
      <c r="H965" s="15" t="s">
        <v>63</v>
      </c>
      <c r="I965" s="15" t="s">
        <v>1136</v>
      </c>
    </row>
    <row r="966" customFormat="false" ht="23.25" hidden="false" customHeight="true" outlineLevel="0" collapsed="false">
      <c r="A966" s="14" t="n">
        <v>965</v>
      </c>
      <c r="B966" s="14" t="s">
        <v>1131</v>
      </c>
      <c r="C966" s="14" t="s">
        <v>1132</v>
      </c>
      <c r="D966" s="15" t="s">
        <v>1133</v>
      </c>
      <c r="E966" s="15" t="s">
        <v>1134</v>
      </c>
      <c r="F966" s="15" t="s">
        <v>1148</v>
      </c>
      <c r="G966" s="15" t="s">
        <v>1149</v>
      </c>
      <c r="H966" s="15" t="s">
        <v>63</v>
      </c>
      <c r="I966" s="15" t="s">
        <v>1136</v>
      </c>
    </row>
    <row r="967" customFormat="false" ht="23.25" hidden="false" customHeight="true" outlineLevel="0" collapsed="false">
      <c r="A967" s="14" t="n">
        <v>966</v>
      </c>
      <c r="B967" s="14" t="s">
        <v>1131</v>
      </c>
      <c r="C967" s="14" t="s">
        <v>1132</v>
      </c>
      <c r="D967" s="15" t="s">
        <v>1133</v>
      </c>
      <c r="E967" s="15" t="s">
        <v>1134</v>
      </c>
      <c r="F967" s="15" t="s">
        <v>232</v>
      </c>
      <c r="G967" s="15" t="s">
        <v>1150</v>
      </c>
      <c r="H967" s="15" t="s">
        <v>63</v>
      </c>
      <c r="I967" s="15" t="s">
        <v>1136</v>
      </c>
    </row>
    <row r="968" customFormat="false" ht="23.25" hidden="false" customHeight="true" outlineLevel="0" collapsed="false">
      <c r="A968" s="14" t="n">
        <v>967</v>
      </c>
      <c r="B968" s="14" t="s">
        <v>1131</v>
      </c>
      <c r="C968" s="14" t="s">
        <v>1132</v>
      </c>
      <c r="D968" s="15" t="s">
        <v>1133</v>
      </c>
      <c r="E968" s="15" t="s">
        <v>1134</v>
      </c>
      <c r="F968" s="15" t="s">
        <v>1151</v>
      </c>
      <c r="G968" s="15" t="s">
        <v>1152</v>
      </c>
      <c r="H968" s="15" t="s">
        <v>63</v>
      </c>
      <c r="I968" s="15" t="s">
        <v>1136</v>
      </c>
    </row>
    <row r="969" customFormat="false" ht="23.25" hidden="false" customHeight="true" outlineLevel="0" collapsed="false">
      <c r="A969" s="14" t="n">
        <v>968</v>
      </c>
      <c r="B969" s="14" t="s">
        <v>1131</v>
      </c>
      <c r="C969" s="14" t="s">
        <v>1132</v>
      </c>
      <c r="D969" s="15" t="s">
        <v>1133</v>
      </c>
      <c r="E969" s="15" t="s">
        <v>1134</v>
      </c>
      <c r="F969" s="15" t="s">
        <v>1153</v>
      </c>
      <c r="G969" s="15" t="s">
        <v>87</v>
      </c>
      <c r="H969" s="15" t="s">
        <v>63</v>
      </c>
      <c r="I969" s="15" t="s">
        <v>1136</v>
      </c>
    </row>
    <row r="970" customFormat="false" ht="23.25" hidden="false" customHeight="true" outlineLevel="0" collapsed="false">
      <c r="A970" s="14" t="n">
        <v>969</v>
      </c>
      <c r="B970" s="14" t="s">
        <v>1131</v>
      </c>
      <c r="C970" s="14" t="s">
        <v>1132</v>
      </c>
      <c r="D970" s="15" t="s">
        <v>1133</v>
      </c>
      <c r="E970" s="15" t="s">
        <v>1134</v>
      </c>
      <c r="F970" s="15" t="s">
        <v>32</v>
      </c>
      <c r="G970" s="15" t="s">
        <v>831</v>
      </c>
      <c r="H970" s="15" t="s">
        <v>63</v>
      </c>
      <c r="I970" s="15" t="s">
        <v>1136</v>
      </c>
    </row>
    <row r="971" customFormat="false" ht="23.25" hidden="false" customHeight="true" outlineLevel="0" collapsed="false">
      <c r="A971" s="14" t="n">
        <v>970</v>
      </c>
      <c r="B971" s="14" t="s">
        <v>1131</v>
      </c>
      <c r="C971" s="14" t="s">
        <v>1132</v>
      </c>
      <c r="D971" s="15" t="s">
        <v>1133</v>
      </c>
      <c r="E971" s="15" t="s">
        <v>1134</v>
      </c>
      <c r="F971" s="15" t="s">
        <v>1154</v>
      </c>
      <c r="G971" s="15" t="s">
        <v>1155</v>
      </c>
      <c r="H971" s="15" t="s">
        <v>63</v>
      </c>
      <c r="I971" s="15" t="s">
        <v>1136</v>
      </c>
    </row>
    <row r="972" customFormat="false" ht="23.25" hidden="false" customHeight="true" outlineLevel="0" collapsed="false">
      <c r="A972" s="14" t="n">
        <v>971</v>
      </c>
      <c r="B972" s="14" t="s">
        <v>1131</v>
      </c>
      <c r="C972" s="14" t="s">
        <v>1132</v>
      </c>
      <c r="D972" s="15" t="s">
        <v>1133</v>
      </c>
      <c r="E972" s="15" t="s">
        <v>1134</v>
      </c>
      <c r="F972" s="15" t="s">
        <v>422</v>
      </c>
      <c r="G972" s="15" t="s">
        <v>821</v>
      </c>
      <c r="H972" s="15" t="s">
        <v>63</v>
      </c>
      <c r="I972" s="15" t="s">
        <v>1136</v>
      </c>
    </row>
    <row r="973" customFormat="false" ht="23.25" hidden="false" customHeight="true" outlineLevel="0" collapsed="false">
      <c r="A973" s="14" t="n">
        <v>972</v>
      </c>
      <c r="B973" s="14" t="s">
        <v>1131</v>
      </c>
      <c r="C973" s="14" t="s">
        <v>1132</v>
      </c>
      <c r="D973" s="15" t="s">
        <v>1133</v>
      </c>
      <c r="E973" s="15" t="s">
        <v>1134</v>
      </c>
      <c r="F973" s="15" t="s">
        <v>36</v>
      </c>
      <c r="G973" s="15" t="s">
        <v>802</v>
      </c>
      <c r="H973" s="15" t="s">
        <v>63</v>
      </c>
      <c r="I973" s="15" t="s">
        <v>1136</v>
      </c>
    </row>
    <row r="974" customFormat="false" ht="23.25" hidden="false" customHeight="true" outlineLevel="0" collapsed="false">
      <c r="A974" s="14" t="n">
        <v>973</v>
      </c>
      <c r="B974" s="14" t="s">
        <v>1131</v>
      </c>
      <c r="C974" s="14" t="s">
        <v>1132</v>
      </c>
      <c r="D974" s="15" t="s">
        <v>1133</v>
      </c>
      <c r="E974" s="15" t="s">
        <v>1134</v>
      </c>
      <c r="F974" s="15" t="s">
        <v>67</v>
      </c>
      <c r="G974" s="15" t="s">
        <v>323</v>
      </c>
      <c r="H974" s="15" t="s">
        <v>63</v>
      </c>
      <c r="I974" s="15" t="s">
        <v>1136</v>
      </c>
    </row>
    <row r="975" customFormat="false" ht="23.25" hidden="false" customHeight="true" outlineLevel="0" collapsed="false">
      <c r="A975" s="14" t="n">
        <v>974</v>
      </c>
      <c r="B975" s="14" t="s">
        <v>1131</v>
      </c>
      <c r="C975" s="14" t="s">
        <v>1132</v>
      </c>
      <c r="D975" s="15" t="s">
        <v>1133</v>
      </c>
      <c r="E975" s="15" t="s">
        <v>1134</v>
      </c>
      <c r="F975" s="15" t="s">
        <v>1156</v>
      </c>
      <c r="G975" s="15" t="s">
        <v>323</v>
      </c>
      <c r="H975" s="15" t="s">
        <v>63</v>
      </c>
      <c r="I975" s="15" t="s">
        <v>1136</v>
      </c>
    </row>
    <row r="976" customFormat="false" ht="23.25" hidden="false" customHeight="true" outlineLevel="0" collapsed="false">
      <c r="A976" s="14" t="n">
        <v>975</v>
      </c>
      <c r="B976" s="14" t="s">
        <v>1131</v>
      </c>
      <c r="C976" s="14" t="s">
        <v>1132</v>
      </c>
      <c r="D976" s="15" t="s">
        <v>1133</v>
      </c>
      <c r="E976" s="15" t="s">
        <v>1134</v>
      </c>
      <c r="F976" s="15" t="s">
        <v>1157</v>
      </c>
      <c r="G976" s="15" t="s">
        <v>1158</v>
      </c>
      <c r="H976" s="15" t="s">
        <v>63</v>
      </c>
      <c r="I976" s="15" t="s">
        <v>1136</v>
      </c>
    </row>
    <row r="977" customFormat="false" ht="23.25" hidden="false" customHeight="true" outlineLevel="0" collapsed="false">
      <c r="A977" s="14" t="n">
        <v>976</v>
      </c>
      <c r="B977" s="14" t="s">
        <v>1131</v>
      </c>
      <c r="C977" s="14" t="s">
        <v>1132</v>
      </c>
      <c r="D977" s="15" t="s">
        <v>1133</v>
      </c>
      <c r="E977" s="15" t="s">
        <v>1134</v>
      </c>
      <c r="F977" s="15" t="s">
        <v>1159</v>
      </c>
      <c r="G977" s="15" t="s">
        <v>1160</v>
      </c>
      <c r="H977" s="15" t="s">
        <v>63</v>
      </c>
      <c r="I977" s="15" t="s">
        <v>1136</v>
      </c>
    </row>
    <row r="978" customFormat="false" ht="23.25" hidden="false" customHeight="true" outlineLevel="0" collapsed="false">
      <c r="A978" s="14" t="n">
        <v>977</v>
      </c>
      <c r="B978" s="14" t="s">
        <v>1131</v>
      </c>
      <c r="C978" s="14" t="s">
        <v>1132</v>
      </c>
      <c r="D978" s="15" t="s">
        <v>1133</v>
      </c>
      <c r="E978" s="15" t="s">
        <v>1134</v>
      </c>
      <c r="F978" s="15" t="s">
        <v>1161</v>
      </c>
      <c r="G978" s="15" t="s">
        <v>504</v>
      </c>
      <c r="H978" s="15" t="s">
        <v>63</v>
      </c>
      <c r="I978" s="15" t="s">
        <v>1136</v>
      </c>
    </row>
    <row r="979" customFormat="false" ht="23.25" hidden="false" customHeight="true" outlineLevel="0" collapsed="false">
      <c r="A979" s="14" t="n">
        <v>978</v>
      </c>
      <c r="B979" s="14" t="s">
        <v>1131</v>
      </c>
      <c r="C979" s="14" t="s">
        <v>1132</v>
      </c>
      <c r="D979" s="15" t="s">
        <v>1133</v>
      </c>
      <c r="E979" s="15" t="s">
        <v>1134</v>
      </c>
      <c r="F979" s="15" t="s">
        <v>456</v>
      </c>
      <c r="G979" s="15" t="s">
        <v>802</v>
      </c>
      <c r="H979" s="15" t="s">
        <v>63</v>
      </c>
      <c r="I979" s="15" t="s">
        <v>1136</v>
      </c>
    </row>
    <row r="980" customFormat="false" ht="23.25" hidden="false" customHeight="true" outlineLevel="0" collapsed="false">
      <c r="A980" s="14" t="n">
        <v>979</v>
      </c>
      <c r="B980" s="14" t="s">
        <v>1131</v>
      </c>
      <c r="C980" s="14" t="s">
        <v>1132</v>
      </c>
      <c r="D980" s="15" t="s">
        <v>1133</v>
      </c>
      <c r="E980" s="15" t="s">
        <v>1134</v>
      </c>
      <c r="F980" s="15" t="s">
        <v>1107</v>
      </c>
      <c r="G980" s="15" t="s">
        <v>330</v>
      </c>
      <c r="H980" s="15" t="s">
        <v>63</v>
      </c>
      <c r="I980" s="15" t="s">
        <v>1136</v>
      </c>
    </row>
    <row r="981" customFormat="false" ht="23.25" hidden="false" customHeight="true" outlineLevel="0" collapsed="false">
      <c r="A981" s="14" t="n">
        <v>980</v>
      </c>
      <c r="B981" s="14" t="s">
        <v>1131</v>
      </c>
      <c r="C981" s="14" t="s">
        <v>1132</v>
      </c>
      <c r="D981" s="15" t="s">
        <v>1133</v>
      </c>
      <c r="E981" s="15" t="s">
        <v>1134</v>
      </c>
      <c r="F981" s="15" t="s">
        <v>1162</v>
      </c>
      <c r="G981" s="15" t="s">
        <v>1163</v>
      </c>
      <c r="H981" s="15" t="s">
        <v>63</v>
      </c>
      <c r="I981" s="15" t="s">
        <v>1136</v>
      </c>
    </row>
    <row r="982" customFormat="false" ht="23.25" hidden="false" customHeight="true" outlineLevel="0" collapsed="false">
      <c r="A982" s="14" t="n">
        <v>981</v>
      </c>
      <c r="B982" s="14" t="s">
        <v>1131</v>
      </c>
      <c r="C982" s="14" t="s">
        <v>1132</v>
      </c>
      <c r="D982" s="15" t="s">
        <v>1133</v>
      </c>
      <c r="E982" s="15" t="s">
        <v>1134</v>
      </c>
      <c r="F982" s="15" t="s">
        <v>1164</v>
      </c>
      <c r="G982" s="15" t="s">
        <v>1141</v>
      </c>
      <c r="H982" s="15" t="s">
        <v>63</v>
      </c>
      <c r="I982" s="15" t="s">
        <v>1136</v>
      </c>
    </row>
    <row r="983" customFormat="false" ht="23.25" hidden="false" customHeight="true" outlineLevel="0" collapsed="false">
      <c r="A983" s="14" t="n">
        <v>982</v>
      </c>
      <c r="B983" s="14" t="s">
        <v>1131</v>
      </c>
      <c r="C983" s="14" t="s">
        <v>1132</v>
      </c>
      <c r="D983" s="15" t="s">
        <v>1133</v>
      </c>
      <c r="E983" s="15" t="s">
        <v>1134</v>
      </c>
      <c r="F983" s="15" t="s">
        <v>1165</v>
      </c>
      <c r="G983" s="15" t="s">
        <v>1166</v>
      </c>
      <c r="H983" s="15" t="s">
        <v>63</v>
      </c>
      <c r="I983" s="15" t="s">
        <v>1136</v>
      </c>
    </row>
    <row r="984" customFormat="false" ht="23.25" hidden="false" customHeight="true" outlineLevel="0" collapsed="false">
      <c r="A984" s="14" t="n">
        <v>983</v>
      </c>
      <c r="B984" s="14" t="s">
        <v>1131</v>
      </c>
      <c r="C984" s="14" t="s">
        <v>1132</v>
      </c>
      <c r="D984" s="15" t="s">
        <v>1133</v>
      </c>
      <c r="E984" s="15" t="s">
        <v>1134</v>
      </c>
      <c r="F984" s="15" t="s">
        <v>1167</v>
      </c>
      <c r="G984" s="15" t="s">
        <v>1168</v>
      </c>
      <c r="H984" s="15" t="s">
        <v>63</v>
      </c>
      <c r="I984" s="15" t="s">
        <v>1136</v>
      </c>
    </row>
    <row r="985" customFormat="false" ht="23.25" hidden="false" customHeight="true" outlineLevel="0" collapsed="false">
      <c r="A985" s="14" t="n">
        <v>984</v>
      </c>
      <c r="B985" s="14" t="s">
        <v>1131</v>
      </c>
      <c r="C985" s="14" t="s">
        <v>1132</v>
      </c>
      <c r="D985" s="15" t="s">
        <v>1133</v>
      </c>
      <c r="E985" s="15" t="s">
        <v>1134</v>
      </c>
      <c r="F985" s="15" t="s">
        <v>624</v>
      </c>
      <c r="G985" s="15" t="s">
        <v>1168</v>
      </c>
      <c r="H985" s="15" t="s">
        <v>63</v>
      </c>
      <c r="I985" s="15" t="s">
        <v>1136</v>
      </c>
    </row>
    <row r="986" customFormat="false" ht="23.25" hidden="false" customHeight="true" outlineLevel="0" collapsed="false">
      <c r="A986" s="14" t="n">
        <v>985</v>
      </c>
      <c r="B986" s="14" t="s">
        <v>1131</v>
      </c>
      <c r="C986" s="14" t="s">
        <v>1132</v>
      </c>
      <c r="D986" s="15" t="s">
        <v>1133</v>
      </c>
      <c r="E986" s="15" t="s">
        <v>1134</v>
      </c>
      <c r="F986" s="15" t="s">
        <v>672</v>
      </c>
      <c r="G986" s="15" t="s">
        <v>1169</v>
      </c>
      <c r="H986" s="15" t="s">
        <v>63</v>
      </c>
      <c r="I986" s="15" t="s">
        <v>1136</v>
      </c>
    </row>
    <row r="987" customFormat="false" ht="23.25" hidden="false" customHeight="true" outlineLevel="0" collapsed="false">
      <c r="A987" s="14" t="n">
        <v>986</v>
      </c>
      <c r="B987" s="14" t="s">
        <v>1131</v>
      </c>
      <c r="C987" s="14" t="s">
        <v>1132</v>
      </c>
      <c r="D987" s="15" t="s">
        <v>1133</v>
      </c>
      <c r="E987" s="15" t="s">
        <v>1134</v>
      </c>
      <c r="F987" s="15" t="s">
        <v>1170</v>
      </c>
      <c r="G987" s="15" t="s">
        <v>1171</v>
      </c>
      <c r="H987" s="15" t="s">
        <v>63</v>
      </c>
      <c r="I987" s="15" t="s">
        <v>1136</v>
      </c>
    </row>
    <row r="988" customFormat="false" ht="23.25" hidden="false" customHeight="true" outlineLevel="0" collapsed="false">
      <c r="A988" s="14" t="n">
        <v>987</v>
      </c>
      <c r="B988" s="14" t="s">
        <v>1131</v>
      </c>
      <c r="C988" s="14" t="s">
        <v>1132</v>
      </c>
      <c r="D988" s="15" t="s">
        <v>1133</v>
      </c>
      <c r="E988" s="15" t="s">
        <v>1134</v>
      </c>
      <c r="F988" s="15" t="s">
        <v>1172</v>
      </c>
      <c r="G988" s="15" t="s">
        <v>1171</v>
      </c>
      <c r="H988" s="15" t="s">
        <v>63</v>
      </c>
      <c r="I988" s="15" t="s">
        <v>1136</v>
      </c>
    </row>
    <row r="989" customFormat="false" ht="23.25" hidden="false" customHeight="true" outlineLevel="0" collapsed="false">
      <c r="A989" s="14" t="n">
        <v>988</v>
      </c>
      <c r="B989" s="14" t="s">
        <v>1131</v>
      </c>
      <c r="C989" s="14" t="s">
        <v>1132</v>
      </c>
      <c r="D989" s="15" t="s">
        <v>1133</v>
      </c>
      <c r="E989" s="15" t="s">
        <v>1134</v>
      </c>
      <c r="F989" s="15" t="s">
        <v>1092</v>
      </c>
      <c r="G989" s="15" t="s">
        <v>504</v>
      </c>
      <c r="H989" s="15" t="s">
        <v>63</v>
      </c>
      <c r="I989" s="15" t="s">
        <v>1136</v>
      </c>
    </row>
    <row r="990" customFormat="false" ht="23.25" hidden="false" customHeight="true" outlineLevel="0" collapsed="false">
      <c r="A990" s="14" t="n">
        <v>989</v>
      </c>
      <c r="B990" s="14" t="s">
        <v>1131</v>
      </c>
      <c r="C990" s="14" t="s">
        <v>1132</v>
      </c>
      <c r="D990" s="15" t="s">
        <v>1133</v>
      </c>
      <c r="E990" s="15" t="s">
        <v>1134</v>
      </c>
      <c r="F990" s="15" t="s">
        <v>1093</v>
      </c>
      <c r="G990" s="15" t="s">
        <v>287</v>
      </c>
      <c r="H990" s="15" t="s">
        <v>63</v>
      </c>
      <c r="I990" s="15" t="s">
        <v>1136</v>
      </c>
    </row>
    <row r="991" customFormat="false" ht="23.25" hidden="false" customHeight="true" outlineLevel="0" collapsed="false">
      <c r="A991" s="14" t="n">
        <v>990</v>
      </c>
      <c r="B991" s="14" t="s">
        <v>1131</v>
      </c>
      <c r="C991" s="14" t="s">
        <v>1132</v>
      </c>
      <c r="D991" s="15" t="s">
        <v>1133</v>
      </c>
      <c r="E991" s="15" t="s">
        <v>1134</v>
      </c>
      <c r="F991" s="15" t="s">
        <v>1094</v>
      </c>
      <c r="G991" s="15" t="s">
        <v>317</v>
      </c>
      <c r="H991" s="15" t="s">
        <v>63</v>
      </c>
      <c r="I991" s="15" t="s">
        <v>1136</v>
      </c>
    </row>
    <row r="992" customFormat="false" ht="23.25" hidden="false" customHeight="true" outlineLevel="0" collapsed="false">
      <c r="A992" s="14" t="n">
        <v>991</v>
      </c>
      <c r="B992" s="14" t="s">
        <v>1131</v>
      </c>
      <c r="C992" s="14" t="s">
        <v>1132</v>
      </c>
      <c r="D992" s="15" t="s">
        <v>1133</v>
      </c>
      <c r="E992" s="15" t="s">
        <v>1134</v>
      </c>
      <c r="F992" s="15" t="s">
        <v>1173</v>
      </c>
      <c r="G992" s="15" t="s">
        <v>325</v>
      </c>
      <c r="H992" s="15" t="s">
        <v>63</v>
      </c>
      <c r="I992" s="15" t="s">
        <v>1136</v>
      </c>
    </row>
    <row r="993" customFormat="false" ht="23.25" hidden="false" customHeight="true" outlineLevel="0" collapsed="false">
      <c r="A993" s="14" t="n">
        <v>992</v>
      </c>
      <c r="B993" s="14" t="s">
        <v>1131</v>
      </c>
      <c r="C993" s="14" t="s">
        <v>1132</v>
      </c>
      <c r="D993" s="15" t="s">
        <v>1133</v>
      </c>
      <c r="E993" s="15" t="s">
        <v>1134</v>
      </c>
      <c r="F993" s="15" t="s">
        <v>1174</v>
      </c>
      <c r="G993" s="15" t="s">
        <v>330</v>
      </c>
      <c r="H993" s="15" t="s">
        <v>63</v>
      </c>
      <c r="I993" s="15" t="s">
        <v>1136</v>
      </c>
    </row>
    <row r="994" customFormat="false" ht="23.25" hidden="false" customHeight="true" outlineLevel="0" collapsed="false">
      <c r="A994" s="14" t="n">
        <v>993</v>
      </c>
      <c r="B994" s="14" t="s">
        <v>1131</v>
      </c>
      <c r="C994" s="14" t="s">
        <v>1132</v>
      </c>
      <c r="D994" s="15" t="s">
        <v>1133</v>
      </c>
      <c r="E994" s="15" t="s">
        <v>1134</v>
      </c>
      <c r="F994" s="15" t="s">
        <v>1175</v>
      </c>
      <c r="G994" s="15" t="s">
        <v>327</v>
      </c>
      <c r="H994" s="15" t="s">
        <v>63</v>
      </c>
      <c r="I994" s="15" t="s">
        <v>1136</v>
      </c>
    </row>
    <row r="995" customFormat="false" ht="23.25" hidden="false" customHeight="true" outlineLevel="0" collapsed="false">
      <c r="A995" s="14" t="n">
        <v>994</v>
      </c>
      <c r="B995" s="14" t="s">
        <v>1131</v>
      </c>
      <c r="C995" s="14" t="s">
        <v>1132</v>
      </c>
      <c r="D995" s="15" t="s">
        <v>1133</v>
      </c>
      <c r="E995" s="15" t="s">
        <v>1134</v>
      </c>
      <c r="F995" s="15" t="s">
        <v>1176</v>
      </c>
      <c r="G995" s="15" t="s">
        <v>1177</v>
      </c>
      <c r="H995" s="15" t="s">
        <v>63</v>
      </c>
      <c r="I995" s="15" t="s">
        <v>1136</v>
      </c>
    </row>
    <row r="996" customFormat="false" ht="23.25" hidden="false" customHeight="true" outlineLevel="0" collapsed="false">
      <c r="A996" s="14" t="n">
        <v>995</v>
      </c>
      <c r="B996" s="14" t="s">
        <v>1131</v>
      </c>
      <c r="C996" s="14" t="s">
        <v>1132</v>
      </c>
      <c r="D996" s="15" t="s">
        <v>1133</v>
      </c>
      <c r="E996" s="15" t="s">
        <v>1134</v>
      </c>
      <c r="F996" s="15" t="s">
        <v>1178</v>
      </c>
      <c r="G996" s="15" t="s">
        <v>1179</v>
      </c>
      <c r="H996" s="15" t="s">
        <v>63</v>
      </c>
      <c r="I996" s="15" t="s">
        <v>1136</v>
      </c>
    </row>
    <row r="997" customFormat="false" ht="23.25" hidden="false" customHeight="true" outlineLevel="0" collapsed="false">
      <c r="A997" s="14" t="n">
        <v>996</v>
      </c>
      <c r="B997" s="14" t="s">
        <v>1180</v>
      </c>
      <c r="C997" s="14" t="s">
        <v>1181</v>
      </c>
      <c r="D997" s="15" t="s">
        <v>1182</v>
      </c>
      <c r="E997" s="15" t="s">
        <v>1183</v>
      </c>
      <c r="F997" s="15" t="s">
        <v>1184</v>
      </c>
      <c r="G997" s="15" t="s">
        <v>62</v>
      </c>
      <c r="H997" s="15" t="s">
        <v>63</v>
      </c>
      <c r="I997" s="15" t="s">
        <v>1185</v>
      </c>
    </row>
    <row r="998" customFormat="false" ht="23.25" hidden="false" customHeight="true" outlineLevel="0" collapsed="false">
      <c r="A998" s="14" t="n">
        <v>997</v>
      </c>
      <c r="B998" s="14" t="s">
        <v>1180</v>
      </c>
      <c r="C998" s="14" t="s">
        <v>1181</v>
      </c>
      <c r="D998" s="15" t="s">
        <v>1182</v>
      </c>
      <c r="E998" s="15" t="s">
        <v>1183</v>
      </c>
      <c r="F998" s="15" t="s">
        <v>511</v>
      </c>
      <c r="G998" s="15" t="s">
        <v>62</v>
      </c>
      <c r="H998" s="15" t="s">
        <v>63</v>
      </c>
      <c r="I998" s="15" t="s">
        <v>1185</v>
      </c>
    </row>
    <row r="999" customFormat="false" ht="23.25" hidden="false" customHeight="true" outlineLevel="0" collapsed="false">
      <c r="A999" s="14" t="n">
        <v>998</v>
      </c>
      <c r="B999" s="14" t="s">
        <v>1180</v>
      </c>
      <c r="C999" s="14" t="s">
        <v>1181</v>
      </c>
      <c r="D999" s="15" t="s">
        <v>1182</v>
      </c>
      <c r="E999" s="15" t="s">
        <v>1183</v>
      </c>
      <c r="F999" s="15" t="s">
        <v>24</v>
      </c>
      <c r="G999" s="15" t="s">
        <v>62</v>
      </c>
      <c r="H999" s="15" t="s">
        <v>63</v>
      </c>
      <c r="I999" s="15" t="s">
        <v>1185</v>
      </c>
    </row>
    <row r="1000" customFormat="false" ht="23.25" hidden="false" customHeight="true" outlineLevel="0" collapsed="false">
      <c r="A1000" s="14" t="n">
        <v>999</v>
      </c>
      <c r="B1000" s="14" t="s">
        <v>1180</v>
      </c>
      <c r="C1000" s="14" t="s">
        <v>1181</v>
      </c>
      <c r="D1000" s="15" t="s">
        <v>1182</v>
      </c>
      <c r="E1000" s="15" t="s">
        <v>1183</v>
      </c>
      <c r="F1000" s="15" t="s">
        <v>1186</v>
      </c>
      <c r="G1000" s="15" t="s">
        <v>62</v>
      </c>
      <c r="H1000" s="15" t="s">
        <v>63</v>
      </c>
      <c r="I1000" s="15" t="s">
        <v>1185</v>
      </c>
    </row>
    <row r="1001" customFormat="false" ht="23.25" hidden="false" customHeight="true" outlineLevel="0" collapsed="false">
      <c r="A1001" s="14" t="n">
        <v>1000</v>
      </c>
      <c r="B1001" s="14" t="s">
        <v>1180</v>
      </c>
      <c r="C1001" s="14" t="s">
        <v>1181</v>
      </c>
      <c r="D1001" s="15" t="s">
        <v>1182</v>
      </c>
      <c r="E1001" s="15" t="s">
        <v>1183</v>
      </c>
      <c r="F1001" s="15" t="s">
        <v>1187</v>
      </c>
      <c r="G1001" s="15" t="s">
        <v>62</v>
      </c>
      <c r="H1001" s="15" t="s">
        <v>63</v>
      </c>
      <c r="I1001" s="15" t="s">
        <v>1185</v>
      </c>
    </row>
    <row r="1002" customFormat="false" ht="23.25" hidden="false" customHeight="true" outlineLevel="0" collapsed="false">
      <c r="A1002" s="14" t="n">
        <v>1001</v>
      </c>
      <c r="B1002" s="14" t="s">
        <v>1180</v>
      </c>
      <c r="C1002" s="14" t="s">
        <v>1181</v>
      </c>
      <c r="D1002" s="15" t="s">
        <v>1182</v>
      </c>
      <c r="E1002" s="15" t="s">
        <v>1183</v>
      </c>
      <c r="F1002" s="15" t="s">
        <v>1188</v>
      </c>
      <c r="G1002" s="15" t="s">
        <v>62</v>
      </c>
      <c r="H1002" s="15" t="s">
        <v>63</v>
      </c>
      <c r="I1002" s="15" t="s">
        <v>1185</v>
      </c>
    </row>
    <row r="1003" customFormat="false" ht="23.25" hidden="false" customHeight="true" outlineLevel="0" collapsed="false">
      <c r="A1003" s="14" t="n">
        <v>1002</v>
      </c>
      <c r="B1003" s="14" t="s">
        <v>1180</v>
      </c>
      <c r="C1003" s="14" t="s">
        <v>1181</v>
      </c>
      <c r="D1003" s="15" t="s">
        <v>1182</v>
      </c>
      <c r="E1003" s="15" t="s">
        <v>1183</v>
      </c>
      <c r="F1003" s="15" t="s">
        <v>1189</v>
      </c>
      <c r="G1003" s="15" t="s">
        <v>62</v>
      </c>
      <c r="H1003" s="15" t="s">
        <v>63</v>
      </c>
      <c r="I1003" s="15" t="s">
        <v>1185</v>
      </c>
    </row>
    <row r="1004" customFormat="false" ht="23.25" hidden="false" customHeight="true" outlineLevel="0" collapsed="false">
      <c r="A1004" s="14" t="n">
        <v>1003</v>
      </c>
      <c r="B1004" s="14" t="s">
        <v>1180</v>
      </c>
      <c r="C1004" s="14" t="s">
        <v>1181</v>
      </c>
      <c r="D1004" s="15" t="s">
        <v>1182</v>
      </c>
      <c r="E1004" s="15" t="s">
        <v>1183</v>
      </c>
      <c r="F1004" s="15" t="s">
        <v>1190</v>
      </c>
      <c r="G1004" s="15" t="s">
        <v>62</v>
      </c>
      <c r="H1004" s="15" t="s">
        <v>63</v>
      </c>
      <c r="I1004" s="15" t="s">
        <v>1185</v>
      </c>
    </row>
    <row r="1005" customFormat="false" ht="23.25" hidden="false" customHeight="true" outlineLevel="0" collapsed="false">
      <c r="A1005" s="14" t="n">
        <v>1004</v>
      </c>
      <c r="B1005" s="14" t="s">
        <v>1180</v>
      </c>
      <c r="C1005" s="14" t="s">
        <v>1181</v>
      </c>
      <c r="D1005" s="15" t="s">
        <v>1182</v>
      </c>
      <c r="E1005" s="15" t="s">
        <v>1183</v>
      </c>
      <c r="F1005" s="15" t="s">
        <v>610</v>
      </c>
      <c r="G1005" s="15" t="s">
        <v>62</v>
      </c>
      <c r="H1005" s="15" t="s">
        <v>63</v>
      </c>
      <c r="I1005" s="15" t="s">
        <v>1185</v>
      </c>
    </row>
    <row r="1006" customFormat="false" ht="23.25" hidden="false" customHeight="true" outlineLevel="0" collapsed="false">
      <c r="A1006" s="14" t="n">
        <v>1005</v>
      </c>
      <c r="B1006" s="14" t="s">
        <v>1180</v>
      </c>
      <c r="C1006" s="14" t="s">
        <v>1181</v>
      </c>
      <c r="D1006" s="15" t="s">
        <v>1182</v>
      </c>
      <c r="E1006" s="15" t="s">
        <v>1183</v>
      </c>
      <c r="F1006" s="15" t="s">
        <v>1191</v>
      </c>
      <c r="G1006" s="15" t="s">
        <v>62</v>
      </c>
      <c r="H1006" s="15" t="s">
        <v>63</v>
      </c>
      <c r="I1006" s="15" t="s">
        <v>1185</v>
      </c>
    </row>
    <row r="1007" customFormat="false" ht="23.25" hidden="false" customHeight="true" outlineLevel="0" collapsed="false">
      <c r="A1007" s="14" t="n">
        <v>1006</v>
      </c>
      <c r="B1007" s="14" t="s">
        <v>1180</v>
      </c>
      <c r="C1007" s="14" t="s">
        <v>1181</v>
      </c>
      <c r="D1007" s="15" t="s">
        <v>1182</v>
      </c>
      <c r="E1007" s="15" t="s">
        <v>1183</v>
      </c>
      <c r="F1007" s="15" t="s">
        <v>1192</v>
      </c>
      <c r="G1007" s="15" t="s">
        <v>62</v>
      </c>
      <c r="H1007" s="15" t="s">
        <v>63</v>
      </c>
      <c r="I1007" s="15" t="s">
        <v>1185</v>
      </c>
    </row>
    <row r="1008" customFormat="false" ht="23.25" hidden="false" customHeight="true" outlineLevel="0" collapsed="false">
      <c r="A1008" s="14" t="n">
        <v>1007</v>
      </c>
      <c r="B1008" s="14" t="s">
        <v>1180</v>
      </c>
      <c r="C1008" s="14" t="s">
        <v>1181</v>
      </c>
      <c r="D1008" s="15" t="s">
        <v>1182</v>
      </c>
      <c r="E1008" s="15" t="s">
        <v>1183</v>
      </c>
      <c r="F1008" s="15" t="s">
        <v>67</v>
      </c>
      <c r="G1008" s="15" t="s">
        <v>62</v>
      </c>
      <c r="H1008" s="15" t="s">
        <v>63</v>
      </c>
      <c r="I1008" s="15" t="s">
        <v>1185</v>
      </c>
    </row>
    <row r="1009" customFormat="false" ht="23.25" hidden="false" customHeight="true" outlineLevel="0" collapsed="false">
      <c r="A1009" s="14" t="n">
        <v>1008</v>
      </c>
      <c r="B1009" s="14" t="s">
        <v>1180</v>
      </c>
      <c r="C1009" s="14" t="s">
        <v>1181</v>
      </c>
      <c r="D1009" s="15" t="s">
        <v>1182</v>
      </c>
      <c r="E1009" s="15" t="s">
        <v>1183</v>
      </c>
      <c r="F1009" s="15" t="s">
        <v>1193</v>
      </c>
      <c r="G1009" s="15" t="s">
        <v>62</v>
      </c>
      <c r="H1009" s="15" t="s">
        <v>63</v>
      </c>
      <c r="I1009" s="15" t="s">
        <v>1185</v>
      </c>
    </row>
    <row r="1010" customFormat="false" ht="23.25" hidden="false" customHeight="true" outlineLevel="0" collapsed="false">
      <c r="A1010" s="14" t="n">
        <v>1009</v>
      </c>
      <c r="B1010" s="14" t="s">
        <v>1180</v>
      </c>
      <c r="C1010" s="14" t="s">
        <v>1181</v>
      </c>
      <c r="D1010" s="15" t="s">
        <v>1182</v>
      </c>
      <c r="E1010" s="15" t="s">
        <v>1183</v>
      </c>
      <c r="F1010" s="15" t="s">
        <v>1194</v>
      </c>
      <c r="G1010" s="15" t="s">
        <v>62</v>
      </c>
      <c r="H1010" s="15" t="s">
        <v>63</v>
      </c>
      <c r="I1010" s="15" t="s">
        <v>1185</v>
      </c>
    </row>
    <row r="1011" customFormat="false" ht="23.25" hidden="false" customHeight="true" outlineLevel="0" collapsed="false">
      <c r="A1011" s="14" t="n">
        <v>1010</v>
      </c>
      <c r="B1011" s="14" t="s">
        <v>1180</v>
      </c>
      <c r="C1011" s="14" t="s">
        <v>1181</v>
      </c>
      <c r="D1011" s="15" t="s">
        <v>1182</v>
      </c>
      <c r="E1011" s="15" t="s">
        <v>1183</v>
      </c>
      <c r="F1011" s="15" t="s">
        <v>1195</v>
      </c>
      <c r="G1011" s="15" t="s">
        <v>62</v>
      </c>
      <c r="H1011" s="15" t="s">
        <v>63</v>
      </c>
      <c r="I1011" s="15" t="s">
        <v>1185</v>
      </c>
    </row>
    <row r="1012" customFormat="false" ht="23.25" hidden="false" customHeight="true" outlineLevel="0" collapsed="false">
      <c r="A1012" s="14" t="n">
        <v>1011</v>
      </c>
      <c r="B1012" s="14" t="s">
        <v>1180</v>
      </c>
      <c r="C1012" s="14" t="s">
        <v>1181</v>
      </c>
      <c r="D1012" s="15" t="s">
        <v>1182</v>
      </c>
      <c r="E1012" s="15" t="s">
        <v>1183</v>
      </c>
      <c r="F1012" s="15" t="s">
        <v>1196</v>
      </c>
      <c r="G1012" s="15" t="s">
        <v>62</v>
      </c>
      <c r="H1012" s="15" t="s">
        <v>63</v>
      </c>
      <c r="I1012" s="15" t="s">
        <v>1185</v>
      </c>
    </row>
    <row r="1013" customFormat="false" ht="23.25" hidden="false" customHeight="true" outlineLevel="0" collapsed="false">
      <c r="A1013" s="14" t="n">
        <v>1012</v>
      </c>
      <c r="B1013" s="14" t="s">
        <v>1180</v>
      </c>
      <c r="C1013" s="14" t="s">
        <v>1181</v>
      </c>
      <c r="D1013" s="15" t="s">
        <v>1182</v>
      </c>
      <c r="E1013" s="15" t="s">
        <v>1183</v>
      </c>
      <c r="F1013" s="15" t="s">
        <v>1197</v>
      </c>
      <c r="G1013" s="15" t="s">
        <v>62</v>
      </c>
      <c r="H1013" s="15" t="s">
        <v>63</v>
      </c>
      <c r="I1013" s="15" t="s">
        <v>1185</v>
      </c>
    </row>
    <row r="1014" customFormat="false" ht="23.25" hidden="false" customHeight="true" outlineLevel="0" collapsed="false">
      <c r="A1014" s="14" t="n">
        <v>1013</v>
      </c>
      <c r="B1014" s="14" t="s">
        <v>1180</v>
      </c>
      <c r="C1014" s="14" t="s">
        <v>1181</v>
      </c>
      <c r="D1014" s="15" t="s">
        <v>1182</v>
      </c>
      <c r="E1014" s="15" t="s">
        <v>1183</v>
      </c>
      <c r="F1014" s="15" t="s">
        <v>1198</v>
      </c>
      <c r="G1014" s="15" t="s">
        <v>62</v>
      </c>
      <c r="H1014" s="15" t="s">
        <v>63</v>
      </c>
      <c r="I1014" s="15" t="s">
        <v>1185</v>
      </c>
    </row>
    <row r="1015" customFormat="false" ht="23.25" hidden="false" customHeight="true" outlineLevel="0" collapsed="false">
      <c r="A1015" s="14" t="n">
        <v>1014</v>
      </c>
      <c r="B1015" s="14" t="s">
        <v>1180</v>
      </c>
      <c r="C1015" s="14" t="s">
        <v>1181</v>
      </c>
      <c r="D1015" s="15" t="s">
        <v>1182</v>
      </c>
      <c r="E1015" s="15" t="s">
        <v>1183</v>
      </c>
      <c r="F1015" s="15" t="s">
        <v>1199</v>
      </c>
      <c r="G1015" s="15" t="s">
        <v>62</v>
      </c>
      <c r="H1015" s="15" t="s">
        <v>63</v>
      </c>
      <c r="I1015" s="15" t="s">
        <v>1185</v>
      </c>
    </row>
    <row r="1016" customFormat="false" ht="23.25" hidden="false" customHeight="true" outlineLevel="0" collapsed="false">
      <c r="A1016" s="14" t="n">
        <v>1015</v>
      </c>
      <c r="B1016" s="14" t="s">
        <v>1180</v>
      </c>
      <c r="C1016" s="14" t="s">
        <v>1181</v>
      </c>
      <c r="D1016" s="15" t="s">
        <v>1182</v>
      </c>
      <c r="E1016" s="15" t="s">
        <v>1183</v>
      </c>
      <c r="F1016" s="15" t="s">
        <v>1200</v>
      </c>
      <c r="G1016" s="15" t="s">
        <v>62</v>
      </c>
      <c r="H1016" s="15" t="s">
        <v>63</v>
      </c>
      <c r="I1016" s="15" t="s">
        <v>1185</v>
      </c>
    </row>
    <row r="1017" customFormat="false" ht="23.25" hidden="false" customHeight="true" outlineLevel="0" collapsed="false">
      <c r="A1017" s="14" t="n">
        <v>1016</v>
      </c>
      <c r="B1017" s="14" t="s">
        <v>1180</v>
      </c>
      <c r="C1017" s="14" t="s">
        <v>1181</v>
      </c>
      <c r="D1017" s="15" t="s">
        <v>1182</v>
      </c>
      <c r="E1017" s="15" t="s">
        <v>1183</v>
      </c>
      <c r="F1017" s="15" t="s">
        <v>1201</v>
      </c>
      <c r="G1017" s="15" t="s">
        <v>62</v>
      </c>
      <c r="H1017" s="15" t="s">
        <v>63</v>
      </c>
      <c r="I1017" s="15" t="s">
        <v>1185</v>
      </c>
    </row>
    <row r="1018" customFormat="false" ht="23.25" hidden="false" customHeight="true" outlineLevel="0" collapsed="false">
      <c r="A1018" s="14" t="n">
        <v>1017</v>
      </c>
      <c r="B1018" s="14" t="s">
        <v>1180</v>
      </c>
      <c r="C1018" s="14" t="s">
        <v>1181</v>
      </c>
      <c r="D1018" s="15" t="s">
        <v>1182</v>
      </c>
      <c r="E1018" s="15" t="s">
        <v>1183</v>
      </c>
      <c r="F1018" s="15" t="s">
        <v>1202</v>
      </c>
      <c r="G1018" s="15" t="s">
        <v>62</v>
      </c>
      <c r="H1018" s="15" t="s">
        <v>63</v>
      </c>
      <c r="I1018" s="15" t="s">
        <v>1185</v>
      </c>
    </row>
    <row r="1019" customFormat="false" ht="23.25" hidden="false" customHeight="true" outlineLevel="0" collapsed="false">
      <c r="A1019" s="14" t="n">
        <v>1018</v>
      </c>
      <c r="B1019" s="14" t="s">
        <v>1180</v>
      </c>
      <c r="C1019" s="14" t="s">
        <v>1181</v>
      </c>
      <c r="D1019" s="15" t="s">
        <v>1182</v>
      </c>
      <c r="E1019" s="15" t="s">
        <v>1183</v>
      </c>
      <c r="F1019" s="15" t="s">
        <v>1203</v>
      </c>
      <c r="G1019" s="15" t="s">
        <v>62</v>
      </c>
      <c r="H1019" s="15" t="s">
        <v>63</v>
      </c>
      <c r="I1019" s="15" t="s">
        <v>1185</v>
      </c>
    </row>
    <row r="1020" customFormat="false" ht="23.25" hidden="false" customHeight="true" outlineLevel="0" collapsed="false">
      <c r="A1020" s="14" t="n">
        <v>1019</v>
      </c>
      <c r="B1020" s="14" t="s">
        <v>1180</v>
      </c>
      <c r="C1020" s="14" t="s">
        <v>1181</v>
      </c>
      <c r="D1020" s="15" t="s">
        <v>1182</v>
      </c>
      <c r="E1020" s="15" t="s">
        <v>1183</v>
      </c>
      <c r="F1020" s="15" t="s">
        <v>1204</v>
      </c>
      <c r="G1020" s="15" t="s">
        <v>62</v>
      </c>
      <c r="H1020" s="15" t="s">
        <v>63</v>
      </c>
      <c r="I1020" s="15" t="s">
        <v>1185</v>
      </c>
    </row>
    <row r="1021" customFormat="false" ht="23.25" hidden="false" customHeight="true" outlineLevel="0" collapsed="false">
      <c r="A1021" s="14" t="n">
        <v>1020</v>
      </c>
      <c r="B1021" s="14" t="s">
        <v>1180</v>
      </c>
      <c r="C1021" s="14" t="s">
        <v>1181</v>
      </c>
      <c r="D1021" s="15" t="s">
        <v>1182</v>
      </c>
      <c r="E1021" s="15" t="s">
        <v>1183</v>
      </c>
      <c r="F1021" s="15" t="s">
        <v>1205</v>
      </c>
      <c r="G1021" s="15" t="s">
        <v>62</v>
      </c>
      <c r="H1021" s="15" t="s">
        <v>63</v>
      </c>
      <c r="I1021" s="15" t="s">
        <v>1185</v>
      </c>
    </row>
    <row r="1022" customFormat="false" ht="23.25" hidden="false" customHeight="true" outlineLevel="0" collapsed="false">
      <c r="A1022" s="14" t="n">
        <v>1021</v>
      </c>
      <c r="B1022" s="14" t="s">
        <v>1180</v>
      </c>
      <c r="C1022" s="14" t="s">
        <v>1181</v>
      </c>
      <c r="D1022" s="15" t="s">
        <v>1182</v>
      </c>
      <c r="E1022" s="15" t="s">
        <v>1183</v>
      </c>
      <c r="F1022" s="15" t="s">
        <v>1206</v>
      </c>
      <c r="G1022" s="15" t="s">
        <v>62</v>
      </c>
      <c r="H1022" s="15" t="s">
        <v>63</v>
      </c>
      <c r="I1022" s="15" t="s">
        <v>1185</v>
      </c>
    </row>
    <row r="1023" customFormat="false" ht="23.25" hidden="false" customHeight="true" outlineLevel="0" collapsed="false">
      <c r="A1023" s="14" t="n">
        <v>1022</v>
      </c>
      <c r="B1023" s="14" t="s">
        <v>1180</v>
      </c>
      <c r="C1023" s="14" t="s">
        <v>1181</v>
      </c>
      <c r="D1023" s="15" t="s">
        <v>1182</v>
      </c>
      <c r="E1023" s="15" t="s">
        <v>1183</v>
      </c>
      <c r="F1023" s="15" t="s">
        <v>1207</v>
      </c>
      <c r="G1023" s="15" t="s">
        <v>62</v>
      </c>
      <c r="H1023" s="15" t="s">
        <v>63</v>
      </c>
      <c r="I1023" s="15" t="s">
        <v>1185</v>
      </c>
    </row>
    <row r="1024" customFormat="false" ht="23.25" hidden="false" customHeight="true" outlineLevel="0" collapsed="false">
      <c r="A1024" s="14" t="n">
        <v>1023</v>
      </c>
      <c r="B1024" s="14" t="s">
        <v>1180</v>
      </c>
      <c r="C1024" s="14" t="s">
        <v>1181</v>
      </c>
      <c r="D1024" s="15" t="s">
        <v>1182</v>
      </c>
      <c r="E1024" s="15" t="s">
        <v>1183</v>
      </c>
      <c r="F1024" s="15" t="s">
        <v>1208</v>
      </c>
      <c r="G1024" s="15" t="s">
        <v>62</v>
      </c>
      <c r="H1024" s="15" t="s">
        <v>63</v>
      </c>
      <c r="I1024" s="15" t="s">
        <v>1185</v>
      </c>
    </row>
    <row r="1025" customFormat="false" ht="23.25" hidden="false" customHeight="true" outlineLevel="0" collapsed="false">
      <c r="A1025" s="14" t="n">
        <v>1024</v>
      </c>
      <c r="B1025" s="14" t="s">
        <v>1180</v>
      </c>
      <c r="C1025" s="14" t="s">
        <v>1181</v>
      </c>
      <c r="D1025" s="15" t="s">
        <v>1182</v>
      </c>
      <c r="E1025" s="15" t="s">
        <v>1183</v>
      </c>
      <c r="F1025" s="15" t="s">
        <v>1209</v>
      </c>
      <c r="G1025" s="15" t="s">
        <v>62</v>
      </c>
      <c r="H1025" s="15" t="s">
        <v>63</v>
      </c>
      <c r="I1025" s="15" t="s">
        <v>1185</v>
      </c>
    </row>
    <row r="1026" customFormat="false" ht="23.25" hidden="false" customHeight="true" outlineLevel="0" collapsed="false">
      <c r="A1026" s="14" t="n">
        <v>1025</v>
      </c>
      <c r="B1026" s="14" t="s">
        <v>1180</v>
      </c>
      <c r="C1026" s="14" t="s">
        <v>1181</v>
      </c>
      <c r="D1026" s="15" t="s">
        <v>1182</v>
      </c>
      <c r="E1026" s="15" t="s">
        <v>1183</v>
      </c>
      <c r="F1026" s="15" t="s">
        <v>1210</v>
      </c>
      <c r="G1026" s="15" t="s">
        <v>62</v>
      </c>
      <c r="H1026" s="15" t="s">
        <v>63</v>
      </c>
      <c r="I1026" s="15" t="s">
        <v>1185</v>
      </c>
    </row>
    <row r="1027" customFormat="false" ht="23.25" hidden="false" customHeight="true" outlineLevel="0" collapsed="false">
      <c r="A1027" s="14" t="n">
        <v>1026</v>
      </c>
      <c r="B1027" s="14" t="s">
        <v>1180</v>
      </c>
      <c r="C1027" s="14" t="s">
        <v>1181</v>
      </c>
      <c r="D1027" s="15" t="s">
        <v>1182</v>
      </c>
      <c r="E1027" s="15" t="s">
        <v>1183</v>
      </c>
      <c r="F1027" s="15" t="s">
        <v>1211</v>
      </c>
      <c r="G1027" s="15" t="s">
        <v>62</v>
      </c>
      <c r="H1027" s="15" t="s">
        <v>63</v>
      </c>
      <c r="I1027" s="15" t="s">
        <v>1185</v>
      </c>
    </row>
    <row r="1028" customFormat="false" ht="23.25" hidden="false" customHeight="true" outlineLevel="0" collapsed="false">
      <c r="A1028" s="14" t="n">
        <v>1027</v>
      </c>
      <c r="B1028" s="14" t="s">
        <v>1180</v>
      </c>
      <c r="C1028" s="14" t="s">
        <v>1181</v>
      </c>
      <c r="D1028" s="15" t="s">
        <v>1182</v>
      </c>
      <c r="E1028" s="15" t="s">
        <v>1183</v>
      </c>
      <c r="F1028" s="15" t="s">
        <v>1212</v>
      </c>
      <c r="G1028" s="15" t="s">
        <v>62</v>
      </c>
      <c r="H1028" s="15" t="s">
        <v>63</v>
      </c>
      <c r="I1028" s="15" t="s">
        <v>1185</v>
      </c>
    </row>
    <row r="1029" customFormat="false" ht="23.25" hidden="false" customHeight="true" outlineLevel="0" collapsed="false">
      <c r="A1029" s="14" t="n">
        <v>1028</v>
      </c>
      <c r="B1029" s="14" t="s">
        <v>1180</v>
      </c>
      <c r="C1029" s="14" t="s">
        <v>1181</v>
      </c>
      <c r="D1029" s="15" t="s">
        <v>1182</v>
      </c>
      <c r="E1029" s="15" t="s">
        <v>1183</v>
      </c>
      <c r="F1029" s="15" t="s">
        <v>1213</v>
      </c>
      <c r="G1029" s="15" t="s">
        <v>62</v>
      </c>
      <c r="H1029" s="15" t="s">
        <v>63</v>
      </c>
      <c r="I1029" s="15" t="s">
        <v>1185</v>
      </c>
    </row>
    <row r="1030" customFormat="false" ht="23.25" hidden="false" customHeight="true" outlineLevel="0" collapsed="false">
      <c r="A1030" s="14" t="n">
        <v>1029</v>
      </c>
      <c r="B1030" s="14" t="s">
        <v>1180</v>
      </c>
      <c r="C1030" s="14" t="s">
        <v>1181</v>
      </c>
      <c r="D1030" s="15" t="s">
        <v>1182</v>
      </c>
      <c r="E1030" s="15" t="s">
        <v>1183</v>
      </c>
      <c r="F1030" s="15" t="s">
        <v>1214</v>
      </c>
      <c r="G1030" s="15" t="s">
        <v>62</v>
      </c>
      <c r="H1030" s="15" t="s">
        <v>63</v>
      </c>
      <c r="I1030" s="15" t="s">
        <v>1185</v>
      </c>
    </row>
    <row r="1031" customFormat="false" ht="34.5" hidden="false" customHeight="true" outlineLevel="0" collapsed="false">
      <c r="A1031" s="14" t="n">
        <v>1030</v>
      </c>
      <c r="B1031" s="14" t="s">
        <v>1215</v>
      </c>
      <c r="C1031" s="14" t="s">
        <v>1216</v>
      </c>
      <c r="D1031" s="15" t="s">
        <v>1217</v>
      </c>
      <c r="E1031" s="15" t="s">
        <v>1218</v>
      </c>
      <c r="F1031" s="15" t="s">
        <v>1219</v>
      </c>
      <c r="G1031" s="15" t="s">
        <v>62</v>
      </c>
      <c r="H1031" s="15" t="s">
        <v>1220</v>
      </c>
      <c r="I1031" s="15" t="s">
        <v>246</v>
      </c>
    </row>
    <row r="1032" customFormat="false" ht="34.5" hidden="false" customHeight="true" outlineLevel="0" collapsed="false">
      <c r="A1032" s="14" t="n">
        <v>1031</v>
      </c>
      <c r="B1032" s="14" t="s">
        <v>1215</v>
      </c>
      <c r="C1032" s="14" t="s">
        <v>1216</v>
      </c>
      <c r="D1032" s="15" t="s">
        <v>1217</v>
      </c>
      <c r="E1032" s="15" t="s">
        <v>1218</v>
      </c>
      <c r="F1032" s="15" t="s">
        <v>419</v>
      </c>
      <c r="G1032" s="15" t="s">
        <v>62</v>
      </c>
      <c r="H1032" s="15" t="s">
        <v>1220</v>
      </c>
      <c r="I1032" s="15" t="s">
        <v>246</v>
      </c>
    </row>
    <row r="1033" customFormat="false" ht="34.5" hidden="false" customHeight="true" outlineLevel="0" collapsed="false">
      <c r="A1033" s="14" t="n">
        <v>1032</v>
      </c>
      <c r="B1033" s="14" t="s">
        <v>1215</v>
      </c>
      <c r="C1033" s="14" t="s">
        <v>1216</v>
      </c>
      <c r="D1033" s="15" t="s">
        <v>1217</v>
      </c>
      <c r="E1033" s="15" t="s">
        <v>1218</v>
      </c>
      <c r="F1033" s="15" t="s">
        <v>1221</v>
      </c>
      <c r="G1033" s="15" t="s">
        <v>62</v>
      </c>
      <c r="H1033" s="15" t="s">
        <v>1220</v>
      </c>
      <c r="I1033" s="15" t="s">
        <v>246</v>
      </c>
    </row>
    <row r="1034" customFormat="false" ht="34.5" hidden="false" customHeight="true" outlineLevel="0" collapsed="false">
      <c r="A1034" s="14" t="n">
        <v>1033</v>
      </c>
      <c r="B1034" s="14" t="s">
        <v>1215</v>
      </c>
      <c r="C1034" s="14" t="s">
        <v>1216</v>
      </c>
      <c r="D1034" s="15" t="s">
        <v>1217</v>
      </c>
      <c r="E1034" s="15" t="s">
        <v>1218</v>
      </c>
      <c r="F1034" s="15" t="s">
        <v>36</v>
      </c>
      <c r="G1034" s="15" t="s">
        <v>62</v>
      </c>
      <c r="H1034" s="15" t="s">
        <v>1220</v>
      </c>
      <c r="I1034" s="15" t="s">
        <v>246</v>
      </c>
    </row>
    <row r="1035" customFormat="false" ht="34.5" hidden="false" customHeight="true" outlineLevel="0" collapsed="false">
      <c r="A1035" s="14" t="n">
        <v>1034</v>
      </c>
      <c r="B1035" s="14" t="s">
        <v>1215</v>
      </c>
      <c r="C1035" s="14" t="s">
        <v>1216</v>
      </c>
      <c r="D1035" s="15" t="s">
        <v>1217</v>
      </c>
      <c r="E1035" s="15" t="s">
        <v>1218</v>
      </c>
      <c r="F1035" s="15" t="s">
        <v>32</v>
      </c>
      <c r="G1035" s="15" t="s">
        <v>62</v>
      </c>
      <c r="H1035" s="15" t="s">
        <v>1220</v>
      </c>
      <c r="I1035" s="15" t="s">
        <v>246</v>
      </c>
    </row>
    <row r="1036" customFormat="false" ht="34.5" hidden="false" customHeight="true" outlineLevel="0" collapsed="false">
      <c r="A1036" s="14" t="n">
        <v>1035</v>
      </c>
      <c r="B1036" s="14" t="s">
        <v>1215</v>
      </c>
      <c r="C1036" s="14" t="s">
        <v>1216</v>
      </c>
      <c r="D1036" s="15" t="s">
        <v>1217</v>
      </c>
      <c r="E1036" s="15" t="s">
        <v>1218</v>
      </c>
      <c r="F1036" s="15" t="s">
        <v>470</v>
      </c>
      <c r="G1036" s="15" t="s">
        <v>62</v>
      </c>
      <c r="H1036" s="15" t="s">
        <v>1220</v>
      </c>
      <c r="I1036" s="15" t="s">
        <v>246</v>
      </c>
    </row>
    <row r="1037" customFormat="false" ht="34.5" hidden="false" customHeight="true" outlineLevel="0" collapsed="false">
      <c r="A1037" s="14" t="n">
        <v>1036</v>
      </c>
      <c r="B1037" s="14" t="s">
        <v>1215</v>
      </c>
      <c r="C1037" s="14" t="s">
        <v>1216</v>
      </c>
      <c r="D1037" s="15" t="s">
        <v>1217</v>
      </c>
      <c r="E1037" s="15" t="s">
        <v>1218</v>
      </c>
      <c r="F1037" s="15" t="s">
        <v>705</v>
      </c>
      <c r="G1037" s="15" t="s">
        <v>62</v>
      </c>
      <c r="H1037" s="15" t="s">
        <v>1220</v>
      </c>
      <c r="I1037" s="15" t="s">
        <v>246</v>
      </c>
    </row>
    <row r="1038" customFormat="false" ht="34.5" hidden="false" customHeight="true" outlineLevel="0" collapsed="false">
      <c r="A1038" s="14" t="n">
        <v>1037</v>
      </c>
      <c r="B1038" s="14" t="s">
        <v>1215</v>
      </c>
      <c r="C1038" s="14" t="s">
        <v>1216</v>
      </c>
      <c r="D1038" s="15" t="s">
        <v>1217</v>
      </c>
      <c r="E1038" s="15" t="s">
        <v>1218</v>
      </c>
      <c r="F1038" s="15" t="s">
        <v>1222</v>
      </c>
      <c r="G1038" s="15" t="s">
        <v>62</v>
      </c>
      <c r="H1038" s="15" t="s">
        <v>1220</v>
      </c>
      <c r="I1038" s="15" t="s">
        <v>246</v>
      </c>
    </row>
    <row r="1039" customFormat="false" ht="34.5" hidden="false" customHeight="true" outlineLevel="0" collapsed="false">
      <c r="A1039" s="14" t="n">
        <v>1038</v>
      </c>
      <c r="B1039" s="14" t="s">
        <v>1215</v>
      </c>
      <c r="C1039" s="14" t="s">
        <v>1216</v>
      </c>
      <c r="D1039" s="15" t="s">
        <v>1217</v>
      </c>
      <c r="E1039" s="15" t="s">
        <v>1218</v>
      </c>
      <c r="F1039" s="15" t="s">
        <v>337</v>
      </c>
      <c r="G1039" s="15" t="s">
        <v>62</v>
      </c>
      <c r="H1039" s="15" t="s">
        <v>1220</v>
      </c>
      <c r="I1039" s="15" t="s">
        <v>246</v>
      </c>
    </row>
    <row r="1040" customFormat="false" ht="34.5" hidden="false" customHeight="true" outlineLevel="0" collapsed="false">
      <c r="A1040" s="14" t="n">
        <v>1039</v>
      </c>
      <c r="B1040" s="14" t="s">
        <v>1215</v>
      </c>
      <c r="C1040" s="14" t="s">
        <v>1216</v>
      </c>
      <c r="D1040" s="15" t="s">
        <v>1217</v>
      </c>
      <c r="E1040" s="15" t="s">
        <v>1218</v>
      </c>
      <c r="F1040" s="15" t="s">
        <v>1223</v>
      </c>
      <c r="G1040" s="15" t="s">
        <v>62</v>
      </c>
      <c r="H1040" s="15" t="s">
        <v>1220</v>
      </c>
      <c r="I1040" s="15" t="s">
        <v>246</v>
      </c>
    </row>
    <row r="1041" customFormat="false" ht="34.5" hidden="false" customHeight="true" outlineLevel="0" collapsed="false">
      <c r="A1041" s="14" t="n">
        <v>1040</v>
      </c>
      <c r="B1041" s="14" t="s">
        <v>1215</v>
      </c>
      <c r="C1041" s="14" t="s">
        <v>1216</v>
      </c>
      <c r="D1041" s="15" t="s">
        <v>1217</v>
      </c>
      <c r="E1041" s="15" t="s">
        <v>1218</v>
      </c>
      <c r="F1041" s="15" t="s">
        <v>24</v>
      </c>
      <c r="G1041" s="15" t="s">
        <v>62</v>
      </c>
      <c r="H1041" s="15" t="s">
        <v>1220</v>
      </c>
      <c r="I1041" s="15" t="s">
        <v>246</v>
      </c>
    </row>
    <row r="1042" customFormat="false" ht="34.5" hidden="false" customHeight="true" outlineLevel="0" collapsed="false">
      <c r="A1042" s="14" t="n">
        <v>1041</v>
      </c>
      <c r="B1042" s="14" t="s">
        <v>1215</v>
      </c>
      <c r="C1042" s="14" t="s">
        <v>1216</v>
      </c>
      <c r="D1042" s="15" t="s">
        <v>1217</v>
      </c>
      <c r="E1042" s="15" t="s">
        <v>1218</v>
      </c>
      <c r="F1042" s="15" t="s">
        <v>1224</v>
      </c>
      <c r="G1042" s="15" t="s">
        <v>62</v>
      </c>
      <c r="H1042" s="15" t="s">
        <v>1220</v>
      </c>
      <c r="I1042" s="15" t="s">
        <v>246</v>
      </c>
    </row>
    <row r="1043" customFormat="false" ht="34.5" hidden="false" customHeight="true" outlineLevel="0" collapsed="false">
      <c r="A1043" s="14" t="n">
        <v>1042</v>
      </c>
      <c r="B1043" s="14" t="s">
        <v>1215</v>
      </c>
      <c r="C1043" s="14" t="s">
        <v>1216</v>
      </c>
      <c r="D1043" s="15" t="s">
        <v>1217</v>
      </c>
      <c r="E1043" s="15" t="s">
        <v>1218</v>
      </c>
      <c r="F1043" s="15" t="s">
        <v>535</v>
      </c>
      <c r="G1043" s="15" t="s">
        <v>62</v>
      </c>
      <c r="H1043" s="15" t="s">
        <v>1220</v>
      </c>
      <c r="I1043" s="15" t="s">
        <v>246</v>
      </c>
    </row>
    <row r="1044" customFormat="false" ht="34.5" hidden="false" customHeight="true" outlineLevel="0" collapsed="false">
      <c r="A1044" s="14" t="n">
        <v>1043</v>
      </c>
      <c r="B1044" s="14" t="s">
        <v>1215</v>
      </c>
      <c r="C1044" s="14" t="s">
        <v>1216</v>
      </c>
      <c r="D1044" s="15" t="s">
        <v>1217</v>
      </c>
      <c r="E1044" s="15" t="s">
        <v>1218</v>
      </c>
      <c r="F1044" s="15" t="s">
        <v>1225</v>
      </c>
      <c r="G1044" s="15" t="s">
        <v>62</v>
      </c>
      <c r="H1044" s="15" t="s">
        <v>1220</v>
      </c>
      <c r="I1044" s="15" t="s">
        <v>246</v>
      </c>
    </row>
    <row r="1045" customFormat="false" ht="34.5" hidden="false" customHeight="true" outlineLevel="0" collapsed="false">
      <c r="A1045" s="14" t="n">
        <v>1044</v>
      </c>
      <c r="B1045" s="14" t="s">
        <v>1215</v>
      </c>
      <c r="C1045" s="14" t="s">
        <v>1216</v>
      </c>
      <c r="D1045" s="15" t="s">
        <v>1217</v>
      </c>
      <c r="E1045" s="15" t="s">
        <v>1218</v>
      </c>
      <c r="F1045" s="15" t="s">
        <v>1226</v>
      </c>
      <c r="G1045" s="15" t="s">
        <v>62</v>
      </c>
      <c r="H1045" s="15" t="s">
        <v>1220</v>
      </c>
      <c r="I1045" s="15" t="s">
        <v>246</v>
      </c>
    </row>
    <row r="1046" customFormat="false" ht="34.5" hidden="false" customHeight="true" outlineLevel="0" collapsed="false">
      <c r="A1046" s="14" t="n">
        <v>1045</v>
      </c>
      <c r="B1046" s="14" t="s">
        <v>1215</v>
      </c>
      <c r="C1046" s="14" t="s">
        <v>1216</v>
      </c>
      <c r="D1046" s="15" t="s">
        <v>1217</v>
      </c>
      <c r="E1046" s="15" t="s">
        <v>1218</v>
      </c>
      <c r="F1046" s="15" t="s">
        <v>486</v>
      </c>
      <c r="G1046" s="15" t="s">
        <v>62</v>
      </c>
      <c r="H1046" s="15" t="s">
        <v>1220</v>
      </c>
      <c r="I1046" s="15" t="s">
        <v>246</v>
      </c>
    </row>
    <row r="1047" customFormat="false" ht="23.25" hidden="false" customHeight="true" outlineLevel="0" collapsed="false">
      <c r="A1047" s="14" t="n">
        <v>1046</v>
      </c>
      <c r="B1047" s="14" t="s">
        <v>1227</v>
      </c>
      <c r="C1047" s="14" t="s">
        <v>302</v>
      </c>
      <c r="D1047" s="15" t="s">
        <v>1228</v>
      </c>
      <c r="E1047" s="15" t="s">
        <v>1229</v>
      </c>
      <c r="F1047" s="15" t="s">
        <v>134</v>
      </c>
      <c r="G1047" s="15" t="s">
        <v>62</v>
      </c>
      <c r="H1047" s="15" t="s">
        <v>63</v>
      </c>
      <c r="I1047" s="15" t="s">
        <v>1230</v>
      </c>
    </row>
    <row r="1048" customFormat="false" ht="23.25" hidden="false" customHeight="true" outlineLevel="0" collapsed="false">
      <c r="A1048" s="14" t="n">
        <v>1047</v>
      </c>
      <c r="B1048" s="14" t="s">
        <v>1227</v>
      </c>
      <c r="C1048" s="14" t="s">
        <v>302</v>
      </c>
      <c r="D1048" s="15" t="s">
        <v>1228</v>
      </c>
      <c r="E1048" s="15" t="s">
        <v>1229</v>
      </c>
      <c r="F1048" s="15" t="s">
        <v>225</v>
      </c>
      <c r="G1048" s="15" t="s">
        <v>62</v>
      </c>
      <c r="H1048" s="15" t="s">
        <v>63</v>
      </c>
      <c r="I1048" s="15" t="s">
        <v>1230</v>
      </c>
    </row>
    <row r="1049" customFormat="false" ht="23.25" hidden="false" customHeight="true" outlineLevel="0" collapsed="false">
      <c r="A1049" s="14" t="n">
        <v>1048</v>
      </c>
      <c r="B1049" s="14" t="s">
        <v>1227</v>
      </c>
      <c r="C1049" s="14" t="s">
        <v>302</v>
      </c>
      <c r="D1049" s="15" t="s">
        <v>1228</v>
      </c>
      <c r="E1049" s="15" t="s">
        <v>1229</v>
      </c>
      <c r="F1049" s="15" t="s">
        <v>226</v>
      </c>
      <c r="G1049" s="15" t="s">
        <v>62</v>
      </c>
      <c r="H1049" s="15" t="s">
        <v>63</v>
      </c>
      <c r="I1049" s="15" t="s">
        <v>1230</v>
      </c>
    </row>
    <row r="1050" customFormat="false" ht="23.25" hidden="false" customHeight="true" outlineLevel="0" collapsed="false">
      <c r="A1050" s="14" t="n">
        <v>1049</v>
      </c>
      <c r="B1050" s="14" t="s">
        <v>1227</v>
      </c>
      <c r="C1050" s="14" t="s">
        <v>302</v>
      </c>
      <c r="D1050" s="15" t="s">
        <v>1228</v>
      </c>
      <c r="E1050" s="15" t="s">
        <v>1229</v>
      </c>
      <c r="F1050" s="15" t="s">
        <v>309</v>
      </c>
      <c r="G1050" s="15" t="s">
        <v>62</v>
      </c>
      <c r="H1050" s="15" t="s">
        <v>63</v>
      </c>
      <c r="I1050" s="15" t="s">
        <v>1230</v>
      </c>
    </row>
    <row r="1051" customFormat="false" ht="23.25" hidden="false" customHeight="true" outlineLevel="0" collapsed="false">
      <c r="A1051" s="14" t="n">
        <v>1050</v>
      </c>
      <c r="B1051" s="14" t="s">
        <v>1227</v>
      </c>
      <c r="C1051" s="14" t="s">
        <v>302</v>
      </c>
      <c r="D1051" s="15" t="s">
        <v>1228</v>
      </c>
      <c r="E1051" s="15" t="s">
        <v>1229</v>
      </c>
      <c r="F1051" s="15" t="s">
        <v>1231</v>
      </c>
      <c r="G1051" s="15" t="s">
        <v>62</v>
      </c>
      <c r="H1051" s="15" t="s">
        <v>63</v>
      </c>
      <c r="I1051" s="15" t="s">
        <v>1230</v>
      </c>
    </row>
    <row r="1052" customFormat="false" ht="23.25" hidden="false" customHeight="true" outlineLevel="0" collapsed="false">
      <c r="A1052" s="14" t="n">
        <v>1051</v>
      </c>
      <c r="B1052" s="14" t="s">
        <v>1227</v>
      </c>
      <c r="C1052" s="14" t="s">
        <v>302</v>
      </c>
      <c r="D1052" s="15" t="s">
        <v>1228</v>
      </c>
      <c r="E1052" s="15" t="s">
        <v>1229</v>
      </c>
      <c r="F1052" s="15" t="s">
        <v>1232</v>
      </c>
      <c r="G1052" s="15" t="s">
        <v>62</v>
      </c>
      <c r="H1052" s="15" t="s">
        <v>63</v>
      </c>
      <c r="I1052" s="15" t="s">
        <v>1230</v>
      </c>
    </row>
    <row r="1053" customFormat="false" ht="23.25" hidden="false" customHeight="true" outlineLevel="0" collapsed="false">
      <c r="A1053" s="14" t="n">
        <v>1052</v>
      </c>
      <c r="B1053" s="14" t="s">
        <v>1227</v>
      </c>
      <c r="C1053" s="14" t="s">
        <v>302</v>
      </c>
      <c r="D1053" s="15" t="s">
        <v>1228</v>
      </c>
      <c r="E1053" s="15" t="s">
        <v>1229</v>
      </c>
      <c r="F1053" s="15" t="s">
        <v>1233</v>
      </c>
      <c r="G1053" s="15" t="s">
        <v>62</v>
      </c>
      <c r="H1053" s="15" t="s">
        <v>63</v>
      </c>
      <c r="I1053" s="15" t="s">
        <v>1230</v>
      </c>
    </row>
    <row r="1054" customFormat="false" ht="23.25" hidden="false" customHeight="true" outlineLevel="0" collapsed="false">
      <c r="A1054" s="14" t="n">
        <v>1053</v>
      </c>
      <c r="B1054" s="14" t="s">
        <v>1227</v>
      </c>
      <c r="C1054" s="14" t="s">
        <v>302</v>
      </c>
      <c r="D1054" s="15" t="s">
        <v>1228</v>
      </c>
      <c r="E1054" s="15" t="s">
        <v>1229</v>
      </c>
      <c r="F1054" s="15" t="s">
        <v>67</v>
      </c>
      <c r="G1054" s="15" t="s">
        <v>62</v>
      </c>
      <c r="H1054" s="15" t="s">
        <v>63</v>
      </c>
      <c r="I1054" s="15" t="s">
        <v>1230</v>
      </c>
    </row>
    <row r="1055" customFormat="false" ht="23.25" hidden="false" customHeight="true" outlineLevel="0" collapsed="false">
      <c r="A1055" s="14" t="n">
        <v>1054</v>
      </c>
      <c r="B1055" s="14" t="s">
        <v>1227</v>
      </c>
      <c r="C1055" s="14" t="s">
        <v>302</v>
      </c>
      <c r="D1055" s="15" t="s">
        <v>1228</v>
      </c>
      <c r="E1055" s="15" t="s">
        <v>1229</v>
      </c>
      <c r="F1055" s="15" t="s">
        <v>1234</v>
      </c>
      <c r="G1055" s="15" t="s">
        <v>62</v>
      </c>
      <c r="H1055" s="15" t="s">
        <v>63</v>
      </c>
      <c r="I1055" s="15" t="s">
        <v>1230</v>
      </c>
    </row>
    <row r="1056" customFormat="false" ht="23.25" hidden="false" customHeight="true" outlineLevel="0" collapsed="false">
      <c r="A1056" s="14" t="n">
        <v>1055</v>
      </c>
      <c r="B1056" s="14" t="s">
        <v>1227</v>
      </c>
      <c r="C1056" s="14" t="s">
        <v>302</v>
      </c>
      <c r="D1056" s="15" t="s">
        <v>1228</v>
      </c>
      <c r="E1056" s="15" t="s">
        <v>1229</v>
      </c>
      <c r="F1056" s="15" t="s">
        <v>687</v>
      </c>
      <c r="G1056" s="15" t="s">
        <v>62</v>
      </c>
      <c r="H1056" s="15" t="s">
        <v>63</v>
      </c>
      <c r="I1056" s="15" t="s">
        <v>1230</v>
      </c>
    </row>
    <row r="1057" customFormat="false" ht="23.25" hidden="false" customHeight="true" outlineLevel="0" collapsed="false">
      <c r="A1057" s="14" t="n">
        <v>1056</v>
      </c>
      <c r="B1057" s="14" t="s">
        <v>1227</v>
      </c>
      <c r="C1057" s="14" t="s">
        <v>302</v>
      </c>
      <c r="D1057" s="15" t="s">
        <v>1228</v>
      </c>
      <c r="E1057" s="15" t="s">
        <v>1229</v>
      </c>
      <c r="F1057" s="15" t="s">
        <v>137</v>
      </c>
      <c r="G1057" s="15" t="s">
        <v>62</v>
      </c>
      <c r="H1057" s="15" t="s">
        <v>63</v>
      </c>
      <c r="I1057" s="15" t="s">
        <v>1230</v>
      </c>
    </row>
    <row r="1058" customFormat="false" ht="23.25" hidden="false" customHeight="true" outlineLevel="0" collapsed="false">
      <c r="A1058" s="14" t="n">
        <v>1057</v>
      </c>
      <c r="B1058" s="14" t="s">
        <v>1227</v>
      </c>
      <c r="C1058" s="14" t="s">
        <v>302</v>
      </c>
      <c r="D1058" s="15" t="s">
        <v>1228</v>
      </c>
      <c r="E1058" s="15" t="s">
        <v>1229</v>
      </c>
      <c r="F1058" s="15" t="s">
        <v>139</v>
      </c>
      <c r="G1058" s="15" t="s">
        <v>62</v>
      </c>
      <c r="H1058" s="15" t="s">
        <v>63</v>
      </c>
      <c r="I1058" s="15" t="s">
        <v>1230</v>
      </c>
    </row>
    <row r="1059" customFormat="false" ht="23.25" hidden="false" customHeight="true" outlineLevel="0" collapsed="false">
      <c r="A1059" s="14" t="n">
        <v>1058</v>
      </c>
      <c r="B1059" s="14" t="s">
        <v>1227</v>
      </c>
      <c r="C1059" s="14" t="s">
        <v>302</v>
      </c>
      <c r="D1059" s="15" t="s">
        <v>1228</v>
      </c>
      <c r="E1059" s="15" t="s">
        <v>1229</v>
      </c>
      <c r="F1059" s="15" t="s">
        <v>1235</v>
      </c>
      <c r="G1059" s="15" t="s">
        <v>62</v>
      </c>
      <c r="H1059" s="15" t="s">
        <v>63</v>
      </c>
      <c r="I1059" s="15" t="s">
        <v>1230</v>
      </c>
    </row>
    <row r="1060" customFormat="false" ht="23.25" hidden="false" customHeight="true" outlineLevel="0" collapsed="false">
      <c r="A1060" s="14" t="n">
        <v>1059</v>
      </c>
      <c r="B1060" s="14" t="s">
        <v>1227</v>
      </c>
      <c r="C1060" s="14" t="s">
        <v>302</v>
      </c>
      <c r="D1060" s="15" t="s">
        <v>1228</v>
      </c>
      <c r="E1060" s="15" t="s">
        <v>1229</v>
      </c>
      <c r="F1060" s="15" t="s">
        <v>1236</v>
      </c>
      <c r="G1060" s="15" t="s">
        <v>62</v>
      </c>
      <c r="H1060" s="15" t="s">
        <v>63</v>
      </c>
      <c r="I1060" s="15" t="s">
        <v>1230</v>
      </c>
    </row>
    <row r="1061" customFormat="false" ht="23.25" hidden="false" customHeight="true" outlineLevel="0" collapsed="false">
      <c r="A1061" s="14" t="n">
        <v>1060</v>
      </c>
      <c r="B1061" s="14" t="s">
        <v>1227</v>
      </c>
      <c r="C1061" s="14" t="s">
        <v>302</v>
      </c>
      <c r="D1061" s="15" t="s">
        <v>1228</v>
      </c>
      <c r="E1061" s="15" t="s">
        <v>1229</v>
      </c>
      <c r="F1061" s="15" t="s">
        <v>1017</v>
      </c>
      <c r="G1061" s="15" t="s">
        <v>62</v>
      </c>
      <c r="H1061" s="15" t="s">
        <v>63</v>
      </c>
      <c r="I1061" s="15" t="s">
        <v>1230</v>
      </c>
    </row>
    <row r="1062" customFormat="false" ht="23.25" hidden="false" customHeight="true" outlineLevel="0" collapsed="false">
      <c r="A1062" s="14" t="n">
        <v>1061</v>
      </c>
      <c r="B1062" s="14" t="s">
        <v>1227</v>
      </c>
      <c r="C1062" s="14" t="s">
        <v>302</v>
      </c>
      <c r="D1062" s="15" t="s">
        <v>1228</v>
      </c>
      <c r="E1062" s="15" t="s">
        <v>1229</v>
      </c>
      <c r="F1062" s="15" t="s">
        <v>138</v>
      </c>
      <c r="G1062" s="15" t="s">
        <v>62</v>
      </c>
      <c r="H1062" s="15" t="s">
        <v>63</v>
      </c>
      <c r="I1062" s="15" t="s">
        <v>1230</v>
      </c>
    </row>
    <row r="1063" customFormat="false" ht="23.25" hidden="false" customHeight="true" outlineLevel="0" collapsed="false">
      <c r="A1063" s="14" t="n">
        <v>1062</v>
      </c>
      <c r="B1063" s="14" t="s">
        <v>1227</v>
      </c>
      <c r="C1063" s="14" t="s">
        <v>302</v>
      </c>
      <c r="D1063" s="15" t="s">
        <v>1228</v>
      </c>
      <c r="E1063" s="15" t="s">
        <v>1229</v>
      </c>
      <c r="F1063" s="15" t="s">
        <v>1101</v>
      </c>
      <c r="G1063" s="15" t="s">
        <v>62</v>
      </c>
      <c r="H1063" s="15" t="s">
        <v>63</v>
      </c>
      <c r="I1063" s="15" t="s">
        <v>1230</v>
      </c>
    </row>
    <row r="1064" customFormat="false" ht="23.25" hidden="false" customHeight="true" outlineLevel="0" collapsed="false">
      <c r="A1064" s="14" t="n">
        <v>1063</v>
      </c>
      <c r="B1064" s="14" t="s">
        <v>1227</v>
      </c>
      <c r="C1064" s="14" t="s">
        <v>302</v>
      </c>
      <c r="D1064" s="15" t="s">
        <v>1228</v>
      </c>
      <c r="E1064" s="15" t="s">
        <v>1229</v>
      </c>
      <c r="F1064" s="15" t="s">
        <v>639</v>
      </c>
      <c r="G1064" s="15" t="s">
        <v>62</v>
      </c>
      <c r="H1064" s="15" t="s">
        <v>63</v>
      </c>
      <c r="I1064" s="15" t="s">
        <v>1230</v>
      </c>
    </row>
    <row r="1065" customFormat="false" ht="23.25" hidden="false" customHeight="true" outlineLevel="0" collapsed="false">
      <c r="A1065" s="14" t="n">
        <v>1064</v>
      </c>
      <c r="B1065" s="14" t="s">
        <v>1227</v>
      </c>
      <c r="C1065" s="14" t="s">
        <v>302</v>
      </c>
      <c r="D1065" s="15" t="s">
        <v>1228</v>
      </c>
      <c r="E1065" s="15" t="s">
        <v>1229</v>
      </c>
      <c r="F1065" s="15" t="s">
        <v>875</v>
      </c>
      <c r="G1065" s="15" t="s">
        <v>62</v>
      </c>
      <c r="H1065" s="15" t="s">
        <v>63</v>
      </c>
      <c r="I1065" s="15" t="s">
        <v>1230</v>
      </c>
    </row>
    <row r="1066" customFormat="false" ht="23.25" hidden="false" customHeight="true" outlineLevel="0" collapsed="false">
      <c r="A1066" s="14" t="n">
        <v>1065</v>
      </c>
      <c r="B1066" s="14" t="s">
        <v>1227</v>
      </c>
      <c r="C1066" s="14" t="s">
        <v>302</v>
      </c>
      <c r="D1066" s="15" t="s">
        <v>1228</v>
      </c>
      <c r="E1066" s="15" t="s">
        <v>1229</v>
      </c>
      <c r="F1066" s="15" t="s">
        <v>1237</v>
      </c>
      <c r="G1066" s="15" t="s">
        <v>62</v>
      </c>
      <c r="H1066" s="15" t="s">
        <v>63</v>
      </c>
      <c r="I1066" s="15" t="s">
        <v>1230</v>
      </c>
    </row>
    <row r="1067" customFormat="false" ht="23.25" hidden="false" customHeight="true" outlineLevel="0" collapsed="false">
      <c r="A1067" s="14" t="n">
        <v>1066</v>
      </c>
      <c r="B1067" s="14" t="s">
        <v>1227</v>
      </c>
      <c r="C1067" s="14" t="s">
        <v>302</v>
      </c>
      <c r="D1067" s="15" t="s">
        <v>1228</v>
      </c>
      <c r="E1067" s="15" t="s">
        <v>1229</v>
      </c>
      <c r="F1067" s="15" t="s">
        <v>1238</v>
      </c>
      <c r="G1067" s="15" t="s">
        <v>62</v>
      </c>
      <c r="H1067" s="15" t="s">
        <v>63</v>
      </c>
      <c r="I1067" s="15" t="s">
        <v>1230</v>
      </c>
    </row>
    <row r="1068" customFormat="false" ht="23.25" hidden="false" customHeight="true" outlineLevel="0" collapsed="false">
      <c r="A1068" s="14" t="n">
        <v>1067</v>
      </c>
      <c r="B1068" s="14" t="s">
        <v>1227</v>
      </c>
      <c r="C1068" s="14" t="s">
        <v>302</v>
      </c>
      <c r="D1068" s="15" t="s">
        <v>1228</v>
      </c>
      <c r="E1068" s="15" t="s">
        <v>1229</v>
      </c>
      <c r="F1068" s="15" t="s">
        <v>1239</v>
      </c>
      <c r="G1068" s="15" t="s">
        <v>62</v>
      </c>
      <c r="H1068" s="15" t="s">
        <v>63</v>
      </c>
      <c r="I1068" s="15" t="s">
        <v>1230</v>
      </c>
    </row>
    <row r="1069" customFormat="false" ht="23.25" hidden="false" customHeight="true" outlineLevel="0" collapsed="false">
      <c r="A1069" s="14" t="n">
        <v>1068</v>
      </c>
      <c r="B1069" s="14" t="s">
        <v>1227</v>
      </c>
      <c r="C1069" s="14" t="s">
        <v>302</v>
      </c>
      <c r="D1069" s="15" t="s">
        <v>1228</v>
      </c>
      <c r="E1069" s="15" t="s">
        <v>1229</v>
      </c>
      <c r="F1069" s="15" t="s">
        <v>1020</v>
      </c>
      <c r="G1069" s="15" t="s">
        <v>62</v>
      </c>
      <c r="H1069" s="15" t="s">
        <v>63</v>
      </c>
      <c r="I1069" s="15" t="s">
        <v>1230</v>
      </c>
    </row>
    <row r="1070" customFormat="false" ht="23.25" hidden="false" customHeight="true" outlineLevel="0" collapsed="false">
      <c r="A1070" s="14" t="n">
        <v>1069</v>
      </c>
      <c r="B1070" s="14" t="s">
        <v>1227</v>
      </c>
      <c r="C1070" s="14" t="s">
        <v>302</v>
      </c>
      <c r="D1070" s="15" t="s">
        <v>1228</v>
      </c>
      <c r="E1070" s="15" t="s">
        <v>1229</v>
      </c>
      <c r="F1070" s="15" t="s">
        <v>383</v>
      </c>
      <c r="G1070" s="15" t="s">
        <v>62</v>
      </c>
      <c r="H1070" s="15" t="s">
        <v>63</v>
      </c>
      <c r="I1070" s="15" t="s">
        <v>1230</v>
      </c>
    </row>
    <row r="1071" customFormat="false" ht="23.25" hidden="false" customHeight="true" outlineLevel="0" collapsed="false">
      <c r="A1071" s="14" t="n">
        <v>1070</v>
      </c>
      <c r="B1071" s="14" t="s">
        <v>1227</v>
      </c>
      <c r="C1071" s="14" t="s">
        <v>302</v>
      </c>
      <c r="D1071" s="15" t="s">
        <v>1228</v>
      </c>
      <c r="E1071" s="15" t="s">
        <v>1229</v>
      </c>
      <c r="F1071" s="15" t="s">
        <v>1240</v>
      </c>
      <c r="G1071" s="15" t="s">
        <v>62</v>
      </c>
      <c r="H1071" s="15" t="s">
        <v>63</v>
      </c>
      <c r="I1071" s="15" t="s">
        <v>1230</v>
      </c>
    </row>
    <row r="1072" customFormat="false" ht="23.25" hidden="false" customHeight="true" outlineLevel="0" collapsed="false">
      <c r="A1072" s="14" t="n">
        <v>1071</v>
      </c>
      <c r="B1072" s="14" t="s">
        <v>1227</v>
      </c>
      <c r="C1072" s="14" t="s">
        <v>302</v>
      </c>
      <c r="D1072" s="15" t="s">
        <v>1228</v>
      </c>
      <c r="E1072" s="15" t="s">
        <v>1229</v>
      </c>
      <c r="F1072" s="15" t="s">
        <v>1241</v>
      </c>
      <c r="G1072" s="15" t="s">
        <v>62</v>
      </c>
      <c r="H1072" s="15" t="s">
        <v>63</v>
      </c>
      <c r="I1072" s="15" t="s">
        <v>1230</v>
      </c>
    </row>
    <row r="1073" customFormat="false" ht="23.25" hidden="false" customHeight="true" outlineLevel="0" collapsed="false">
      <c r="A1073" s="14" t="n">
        <v>1072</v>
      </c>
      <c r="B1073" s="14" t="s">
        <v>1227</v>
      </c>
      <c r="C1073" s="14" t="s">
        <v>302</v>
      </c>
      <c r="D1073" s="15" t="s">
        <v>1228</v>
      </c>
      <c r="E1073" s="15" t="s">
        <v>1229</v>
      </c>
      <c r="F1073" s="15" t="s">
        <v>1021</v>
      </c>
      <c r="G1073" s="15" t="s">
        <v>62</v>
      </c>
      <c r="H1073" s="15" t="s">
        <v>63</v>
      </c>
      <c r="I1073" s="15" t="s">
        <v>1230</v>
      </c>
    </row>
    <row r="1074" customFormat="false" ht="23.25" hidden="false" customHeight="true" outlineLevel="0" collapsed="false">
      <c r="A1074" s="14" t="n">
        <v>1073</v>
      </c>
      <c r="B1074" s="14" t="s">
        <v>1227</v>
      </c>
      <c r="C1074" s="14" t="s">
        <v>302</v>
      </c>
      <c r="D1074" s="15" t="s">
        <v>1228</v>
      </c>
      <c r="E1074" s="15" t="s">
        <v>1229</v>
      </c>
      <c r="F1074" s="15" t="s">
        <v>1242</v>
      </c>
      <c r="G1074" s="15" t="s">
        <v>62</v>
      </c>
      <c r="H1074" s="15" t="s">
        <v>63</v>
      </c>
      <c r="I1074" s="15" t="s">
        <v>1230</v>
      </c>
    </row>
    <row r="1075" customFormat="false" ht="23.25" hidden="false" customHeight="true" outlineLevel="0" collapsed="false">
      <c r="A1075" s="14" t="n">
        <v>1074</v>
      </c>
      <c r="B1075" s="14" t="s">
        <v>1227</v>
      </c>
      <c r="C1075" s="14" t="s">
        <v>302</v>
      </c>
      <c r="D1075" s="15" t="s">
        <v>1228</v>
      </c>
      <c r="E1075" s="15" t="s">
        <v>1229</v>
      </c>
      <c r="F1075" s="15" t="s">
        <v>1243</v>
      </c>
      <c r="G1075" s="15" t="s">
        <v>62</v>
      </c>
      <c r="H1075" s="15" t="s">
        <v>63</v>
      </c>
      <c r="I1075" s="15" t="s">
        <v>1230</v>
      </c>
    </row>
    <row r="1076" customFormat="false" ht="23.25" hidden="false" customHeight="true" outlineLevel="0" collapsed="false">
      <c r="A1076" s="14" t="n">
        <v>1075</v>
      </c>
      <c r="B1076" s="14" t="s">
        <v>1227</v>
      </c>
      <c r="C1076" s="14" t="s">
        <v>302</v>
      </c>
      <c r="D1076" s="15" t="s">
        <v>1228</v>
      </c>
      <c r="E1076" s="15" t="s">
        <v>1229</v>
      </c>
      <c r="F1076" s="15" t="s">
        <v>425</v>
      </c>
      <c r="G1076" s="15" t="s">
        <v>62</v>
      </c>
      <c r="H1076" s="15" t="s">
        <v>63</v>
      </c>
      <c r="I1076" s="15" t="s">
        <v>1230</v>
      </c>
    </row>
    <row r="1077" customFormat="false" ht="23.25" hidden="false" customHeight="true" outlineLevel="0" collapsed="false">
      <c r="A1077" s="14" t="n">
        <v>1076</v>
      </c>
      <c r="B1077" s="14" t="s">
        <v>1227</v>
      </c>
      <c r="C1077" s="14" t="s">
        <v>302</v>
      </c>
      <c r="D1077" s="15" t="s">
        <v>1228</v>
      </c>
      <c r="E1077" s="15" t="s">
        <v>1229</v>
      </c>
      <c r="F1077" s="15" t="s">
        <v>1244</v>
      </c>
      <c r="G1077" s="15" t="s">
        <v>62</v>
      </c>
      <c r="H1077" s="15" t="s">
        <v>63</v>
      </c>
      <c r="I1077" s="15" t="s">
        <v>1230</v>
      </c>
    </row>
    <row r="1078" customFormat="false" ht="23.25" hidden="false" customHeight="true" outlineLevel="0" collapsed="false">
      <c r="A1078" s="14" t="n">
        <v>1077</v>
      </c>
      <c r="B1078" s="14" t="s">
        <v>1227</v>
      </c>
      <c r="C1078" s="14" t="s">
        <v>302</v>
      </c>
      <c r="D1078" s="15" t="s">
        <v>1228</v>
      </c>
      <c r="E1078" s="15" t="s">
        <v>1229</v>
      </c>
      <c r="F1078" s="15" t="s">
        <v>1245</v>
      </c>
      <c r="G1078" s="15" t="s">
        <v>62</v>
      </c>
      <c r="H1078" s="15" t="s">
        <v>63</v>
      </c>
      <c r="I1078" s="15" t="s">
        <v>1230</v>
      </c>
    </row>
    <row r="1079" customFormat="false" ht="23.25" hidden="false" customHeight="true" outlineLevel="0" collapsed="false">
      <c r="A1079" s="14" t="n">
        <v>1078</v>
      </c>
      <c r="B1079" s="14" t="s">
        <v>1227</v>
      </c>
      <c r="C1079" s="14" t="s">
        <v>302</v>
      </c>
      <c r="D1079" s="15" t="s">
        <v>1228</v>
      </c>
      <c r="E1079" s="15" t="s">
        <v>1229</v>
      </c>
      <c r="F1079" s="15" t="s">
        <v>633</v>
      </c>
      <c r="G1079" s="15" t="s">
        <v>62</v>
      </c>
      <c r="H1079" s="15" t="s">
        <v>63</v>
      </c>
      <c r="I1079" s="15" t="s">
        <v>1230</v>
      </c>
    </row>
    <row r="1080" customFormat="false" ht="23.25" hidden="false" customHeight="true" outlineLevel="0" collapsed="false">
      <c r="A1080" s="14" t="n">
        <v>1079</v>
      </c>
      <c r="B1080" s="14" t="s">
        <v>1227</v>
      </c>
      <c r="C1080" s="14" t="s">
        <v>302</v>
      </c>
      <c r="D1080" s="15" t="s">
        <v>1228</v>
      </c>
      <c r="E1080" s="15" t="s">
        <v>1229</v>
      </c>
      <c r="F1080" s="15" t="s">
        <v>39</v>
      </c>
      <c r="G1080" s="15" t="s">
        <v>62</v>
      </c>
      <c r="H1080" s="15" t="s">
        <v>63</v>
      </c>
      <c r="I1080" s="15" t="s">
        <v>1230</v>
      </c>
    </row>
    <row r="1081" customFormat="false" ht="23.25" hidden="false" customHeight="true" outlineLevel="0" collapsed="false">
      <c r="A1081" s="14" t="n">
        <v>1080</v>
      </c>
      <c r="B1081" s="14" t="s">
        <v>1227</v>
      </c>
      <c r="C1081" s="14" t="s">
        <v>302</v>
      </c>
      <c r="D1081" s="15" t="s">
        <v>1228</v>
      </c>
      <c r="E1081" s="15" t="s">
        <v>1229</v>
      </c>
      <c r="F1081" s="15" t="s">
        <v>1022</v>
      </c>
      <c r="G1081" s="15" t="s">
        <v>62</v>
      </c>
      <c r="H1081" s="15" t="s">
        <v>63</v>
      </c>
      <c r="I1081" s="15" t="s">
        <v>1230</v>
      </c>
    </row>
    <row r="1082" customFormat="false" ht="23.25" hidden="false" customHeight="true" outlineLevel="0" collapsed="false">
      <c r="A1082" s="14" t="n">
        <v>1081</v>
      </c>
      <c r="B1082" s="14" t="s">
        <v>1246</v>
      </c>
      <c r="C1082" s="14" t="s">
        <v>1247</v>
      </c>
      <c r="D1082" s="15" t="s">
        <v>1248</v>
      </c>
      <c r="E1082" s="15" t="s">
        <v>1249</v>
      </c>
      <c r="F1082" s="15" t="s">
        <v>67</v>
      </c>
      <c r="G1082" s="15" t="s">
        <v>1250</v>
      </c>
      <c r="H1082" s="15" t="s">
        <v>63</v>
      </c>
      <c r="I1082" s="15" t="s">
        <v>1251</v>
      </c>
    </row>
    <row r="1083" customFormat="false" ht="23.25" hidden="false" customHeight="true" outlineLevel="0" collapsed="false">
      <c r="A1083" s="14" t="n">
        <v>1082</v>
      </c>
      <c r="B1083" s="14" t="s">
        <v>1246</v>
      </c>
      <c r="C1083" s="14" t="s">
        <v>1247</v>
      </c>
      <c r="D1083" s="15" t="s">
        <v>1248</v>
      </c>
      <c r="E1083" s="15" t="s">
        <v>1249</v>
      </c>
      <c r="F1083" s="15" t="s">
        <v>1252</v>
      </c>
      <c r="G1083" s="15" t="s">
        <v>118</v>
      </c>
      <c r="H1083" s="15" t="s">
        <v>63</v>
      </c>
      <c r="I1083" s="15" t="s">
        <v>1251</v>
      </c>
    </row>
    <row r="1084" customFormat="false" ht="23.25" hidden="false" customHeight="true" outlineLevel="0" collapsed="false">
      <c r="A1084" s="14" t="n">
        <v>1083</v>
      </c>
      <c r="B1084" s="14" t="s">
        <v>1246</v>
      </c>
      <c r="C1084" s="14" t="s">
        <v>1247</v>
      </c>
      <c r="D1084" s="15" t="s">
        <v>1248</v>
      </c>
      <c r="E1084" s="15" t="s">
        <v>1249</v>
      </c>
      <c r="F1084" s="15" t="s">
        <v>1253</v>
      </c>
      <c r="G1084" s="15" t="s">
        <v>62</v>
      </c>
      <c r="H1084" s="15" t="s">
        <v>63</v>
      </c>
      <c r="I1084" s="15" t="s">
        <v>1251</v>
      </c>
    </row>
    <row r="1085" customFormat="false" ht="23.25" hidden="false" customHeight="true" outlineLevel="0" collapsed="false">
      <c r="A1085" s="14" t="n">
        <v>1084</v>
      </c>
      <c r="B1085" s="14" t="s">
        <v>1246</v>
      </c>
      <c r="C1085" s="14" t="s">
        <v>1247</v>
      </c>
      <c r="D1085" s="15" t="s">
        <v>1248</v>
      </c>
      <c r="E1085" s="15" t="s">
        <v>1249</v>
      </c>
      <c r="F1085" s="15" t="s">
        <v>1186</v>
      </c>
      <c r="G1085" s="15" t="s">
        <v>62</v>
      </c>
      <c r="H1085" s="15" t="s">
        <v>63</v>
      </c>
      <c r="I1085" s="15" t="s">
        <v>1251</v>
      </c>
    </row>
    <row r="1086" customFormat="false" ht="23.25" hidden="false" customHeight="true" outlineLevel="0" collapsed="false">
      <c r="A1086" s="14" t="n">
        <v>1085</v>
      </c>
      <c r="B1086" s="14" t="s">
        <v>1246</v>
      </c>
      <c r="C1086" s="14" t="s">
        <v>1247</v>
      </c>
      <c r="D1086" s="15" t="s">
        <v>1248</v>
      </c>
      <c r="E1086" s="15" t="s">
        <v>1249</v>
      </c>
      <c r="F1086" s="15" t="s">
        <v>1254</v>
      </c>
      <c r="G1086" s="15" t="s">
        <v>62</v>
      </c>
      <c r="H1086" s="15" t="s">
        <v>63</v>
      </c>
      <c r="I1086" s="15" t="s">
        <v>1251</v>
      </c>
    </row>
    <row r="1087" customFormat="false" ht="23.25" hidden="false" customHeight="true" outlineLevel="0" collapsed="false">
      <c r="A1087" s="14" t="n">
        <v>1086</v>
      </c>
      <c r="B1087" s="14" t="s">
        <v>1246</v>
      </c>
      <c r="C1087" s="14" t="s">
        <v>1247</v>
      </c>
      <c r="D1087" s="15" t="s">
        <v>1248</v>
      </c>
      <c r="E1087" s="15" t="s">
        <v>1249</v>
      </c>
      <c r="F1087" s="15" t="s">
        <v>24</v>
      </c>
      <c r="G1087" s="15" t="s">
        <v>62</v>
      </c>
      <c r="H1087" s="15" t="s">
        <v>63</v>
      </c>
      <c r="I1087" s="15" t="s">
        <v>1251</v>
      </c>
    </row>
    <row r="1088" customFormat="false" ht="23.25" hidden="false" customHeight="true" outlineLevel="0" collapsed="false">
      <c r="A1088" s="14" t="n">
        <v>1087</v>
      </c>
      <c r="B1088" s="14" t="s">
        <v>1246</v>
      </c>
      <c r="C1088" s="14" t="s">
        <v>1247</v>
      </c>
      <c r="D1088" s="15" t="s">
        <v>1248</v>
      </c>
      <c r="E1088" s="15" t="s">
        <v>1249</v>
      </c>
      <c r="F1088" s="15" t="s">
        <v>134</v>
      </c>
      <c r="G1088" s="15" t="s">
        <v>62</v>
      </c>
      <c r="H1088" s="15" t="s">
        <v>63</v>
      </c>
      <c r="I1088" s="15" t="s">
        <v>1251</v>
      </c>
    </row>
    <row r="1089" customFormat="false" ht="23.25" hidden="false" customHeight="true" outlineLevel="0" collapsed="false">
      <c r="A1089" s="14" t="n">
        <v>1088</v>
      </c>
      <c r="B1089" s="14" t="s">
        <v>1246</v>
      </c>
      <c r="C1089" s="14" t="s">
        <v>1247</v>
      </c>
      <c r="D1089" s="15" t="s">
        <v>1248</v>
      </c>
      <c r="E1089" s="15" t="s">
        <v>1249</v>
      </c>
      <c r="F1089" s="15" t="s">
        <v>1255</v>
      </c>
      <c r="G1089" s="15" t="s">
        <v>62</v>
      </c>
      <c r="H1089" s="15" t="s">
        <v>63</v>
      </c>
      <c r="I1089" s="15" t="s">
        <v>1251</v>
      </c>
    </row>
    <row r="1090" customFormat="false" ht="23.25" hidden="false" customHeight="true" outlineLevel="0" collapsed="false">
      <c r="A1090" s="14" t="n">
        <v>1089</v>
      </c>
      <c r="B1090" s="14" t="s">
        <v>1246</v>
      </c>
      <c r="C1090" s="14" t="s">
        <v>1247</v>
      </c>
      <c r="D1090" s="15" t="s">
        <v>1248</v>
      </c>
      <c r="E1090" s="15" t="s">
        <v>1249</v>
      </c>
      <c r="F1090" s="15" t="s">
        <v>420</v>
      </c>
      <c r="G1090" s="15" t="s">
        <v>62</v>
      </c>
      <c r="H1090" s="15" t="s">
        <v>63</v>
      </c>
      <c r="I1090" s="15" t="s">
        <v>1251</v>
      </c>
    </row>
    <row r="1091" customFormat="false" ht="23.25" hidden="false" customHeight="true" outlineLevel="0" collapsed="false">
      <c r="A1091" s="14" t="n">
        <v>1090</v>
      </c>
      <c r="B1091" s="14" t="s">
        <v>1246</v>
      </c>
      <c r="C1091" s="14" t="s">
        <v>1247</v>
      </c>
      <c r="D1091" s="15" t="s">
        <v>1248</v>
      </c>
      <c r="E1091" s="15" t="s">
        <v>1249</v>
      </c>
      <c r="F1091" s="15" t="s">
        <v>337</v>
      </c>
      <c r="G1091" s="15" t="s">
        <v>62</v>
      </c>
      <c r="H1091" s="15" t="s">
        <v>63</v>
      </c>
      <c r="I1091" s="15" t="s">
        <v>1251</v>
      </c>
    </row>
    <row r="1092" customFormat="false" ht="23.25" hidden="false" customHeight="true" outlineLevel="0" collapsed="false">
      <c r="A1092" s="14" t="n">
        <v>1091</v>
      </c>
      <c r="B1092" s="14" t="s">
        <v>1246</v>
      </c>
      <c r="C1092" s="14" t="s">
        <v>1247</v>
      </c>
      <c r="D1092" s="15" t="s">
        <v>1248</v>
      </c>
      <c r="E1092" s="15" t="s">
        <v>1249</v>
      </c>
      <c r="F1092" s="15" t="s">
        <v>1256</v>
      </c>
      <c r="G1092" s="15" t="s">
        <v>62</v>
      </c>
      <c r="H1092" s="15" t="s">
        <v>63</v>
      </c>
      <c r="I1092" s="15" t="s">
        <v>1251</v>
      </c>
    </row>
    <row r="1093" customFormat="false" ht="23.25" hidden="false" customHeight="true" outlineLevel="0" collapsed="false">
      <c r="A1093" s="14" t="n">
        <v>1092</v>
      </c>
      <c r="B1093" s="14" t="s">
        <v>1246</v>
      </c>
      <c r="C1093" s="14" t="s">
        <v>1247</v>
      </c>
      <c r="D1093" s="15" t="s">
        <v>1248</v>
      </c>
      <c r="E1093" s="15" t="s">
        <v>1249</v>
      </c>
      <c r="F1093" s="15" t="s">
        <v>691</v>
      </c>
      <c r="G1093" s="15" t="s">
        <v>62</v>
      </c>
      <c r="H1093" s="15" t="s">
        <v>63</v>
      </c>
      <c r="I1093" s="15" t="s">
        <v>1251</v>
      </c>
    </row>
    <row r="1094" customFormat="false" ht="23.25" hidden="false" customHeight="true" outlineLevel="0" collapsed="false">
      <c r="A1094" s="14" t="n">
        <v>1093</v>
      </c>
      <c r="B1094" s="14" t="s">
        <v>1246</v>
      </c>
      <c r="C1094" s="14" t="s">
        <v>1247</v>
      </c>
      <c r="D1094" s="15" t="s">
        <v>1248</v>
      </c>
      <c r="E1094" s="15" t="s">
        <v>1249</v>
      </c>
      <c r="F1094" s="15" t="s">
        <v>419</v>
      </c>
      <c r="G1094" s="15" t="s">
        <v>62</v>
      </c>
      <c r="H1094" s="15" t="s">
        <v>63</v>
      </c>
      <c r="I1094" s="15" t="s">
        <v>1251</v>
      </c>
    </row>
    <row r="1095" customFormat="false" ht="23.25" hidden="false" customHeight="true" outlineLevel="0" collapsed="false">
      <c r="A1095" s="14" t="n">
        <v>1094</v>
      </c>
      <c r="B1095" s="14" t="s">
        <v>1246</v>
      </c>
      <c r="C1095" s="14" t="s">
        <v>1247</v>
      </c>
      <c r="D1095" s="15" t="s">
        <v>1248</v>
      </c>
      <c r="E1095" s="15" t="s">
        <v>1249</v>
      </c>
      <c r="F1095" s="15" t="s">
        <v>435</v>
      </c>
      <c r="G1095" s="15" t="s">
        <v>62</v>
      </c>
      <c r="H1095" s="15" t="s">
        <v>63</v>
      </c>
      <c r="I1095" s="15" t="s">
        <v>1251</v>
      </c>
    </row>
    <row r="1096" customFormat="false" ht="23.25" hidden="false" customHeight="true" outlineLevel="0" collapsed="false">
      <c r="A1096" s="14" t="n">
        <v>1095</v>
      </c>
      <c r="B1096" s="14" t="s">
        <v>1246</v>
      </c>
      <c r="C1096" s="14" t="s">
        <v>1247</v>
      </c>
      <c r="D1096" s="15" t="s">
        <v>1248</v>
      </c>
      <c r="E1096" s="15" t="s">
        <v>1249</v>
      </c>
      <c r="F1096" s="15" t="s">
        <v>1257</v>
      </c>
      <c r="G1096" s="15" t="s">
        <v>62</v>
      </c>
      <c r="H1096" s="15" t="s">
        <v>63</v>
      </c>
      <c r="I1096" s="15" t="s">
        <v>1251</v>
      </c>
    </row>
    <row r="1097" customFormat="false" ht="23.25" hidden="false" customHeight="true" outlineLevel="0" collapsed="false">
      <c r="A1097" s="14" t="n">
        <v>1096</v>
      </c>
      <c r="B1097" s="14" t="s">
        <v>1246</v>
      </c>
      <c r="C1097" s="14" t="s">
        <v>1247</v>
      </c>
      <c r="D1097" s="15" t="s">
        <v>1248</v>
      </c>
      <c r="E1097" s="15" t="s">
        <v>1249</v>
      </c>
      <c r="F1097" s="15" t="s">
        <v>39</v>
      </c>
      <c r="G1097" s="15" t="s">
        <v>62</v>
      </c>
      <c r="H1097" s="15" t="s">
        <v>63</v>
      </c>
      <c r="I1097" s="15" t="s">
        <v>1251</v>
      </c>
    </row>
    <row r="1098" customFormat="false" ht="23.25" hidden="false" customHeight="true" outlineLevel="0" collapsed="false">
      <c r="A1098" s="14" t="n">
        <v>1097</v>
      </c>
      <c r="B1098" s="14" t="s">
        <v>1246</v>
      </c>
      <c r="C1098" s="14" t="s">
        <v>1247</v>
      </c>
      <c r="D1098" s="15" t="s">
        <v>1248</v>
      </c>
      <c r="E1098" s="15" t="s">
        <v>1249</v>
      </c>
      <c r="F1098" s="15" t="s">
        <v>1258</v>
      </c>
      <c r="G1098" s="15" t="s">
        <v>62</v>
      </c>
      <c r="H1098" s="15" t="s">
        <v>63</v>
      </c>
      <c r="I1098" s="15" t="s">
        <v>1251</v>
      </c>
    </row>
    <row r="1099" customFormat="false" ht="23.25" hidden="false" customHeight="true" outlineLevel="0" collapsed="false">
      <c r="A1099" s="14" t="n">
        <v>1098</v>
      </c>
      <c r="B1099" s="14" t="s">
        <v>1246</v>
      </c>
      <c r="C1099" s="14" t="s">
        <v>1247</v>
      </c>
      <c r="D1099" s="15" t="s">
        <v>1248</v>
      </c>
      <c r="E1099" s="15" t="s">
        <v>1249</v>
      </c>
      <c r="F1099" s="15" t="s">
        <v>356</v>
      </c>
      <c r="G1099" s="15" t="s">
        <v>62</v>
      </c>
      <c r="H1099" s="15" t="s">
        <v>63</v>
      </c>
      <c r="I1099" s="15" t="s">
        <v>1251</v>
      </c>
    </row>
    <row r="1100" customFormat="false" ht="23.25" hidden="false" customHeight="true" outlineLevel="0" collapsed="false">
      <c r="A1100" s="14" t="n">
        <v>1099</v>
      </c>
      <c r="B1100" s="14" t="s">
        <v>1246</v>
      </c>
      <c r="C1100" s="14" t="s">
        <v>1247</v>
      </c>
      <c r="D1100" s="15" t="s">
        <v>1248</v>
      </c>
      <c r="E1100" s="15" t="s">
        <v>1249</v>
      </c>
      <c r="F1100" s="15" t="s">
        <v>1259</v>
      </c>
      <c r="G1100" s="15" t="s">
        <v>62</v>
      </c>
      <c r="H1100" s="15" t="s">
        <v>63</v>
      </c>
      <c r="I1100" s="15" t="s">
        <v>1251</v>
      </c>
    </row>
    <row r="1101" customFormat="false" ht="23.25" hidden="false" customHeight="true" outlineLevel="0" collapsed="false">
      <c r="A1101" s="14" t="n">
        <v>1100</v>
      </c>
      <c r="B1101" s="14" t="s">
        <v>1246</v>
      </c>
      <c r="C1101" s="14" t="s">
        <v>1247</v>
      </c>
      <c r="D1101" s="15" t="s">
        <v>1248</v>
      </c>
      <c r="E1101" s="15" t="s">
        <v>1249</v>
      </c>
      <c r="F1101" s="15" t="s">
        <v>671</v>
      </c>
      <c r="G1101" s="15" t="s">
        <v>62</v>
      </c>
      <c r="H1101" s="15" t="s">
        <v>63</v>
      </c>
      <c r="I1101" s="15" t="s">
        <v>1251</v>
      </c>
    </row>
    <row r="1102" customFormat="false" ht="23.25" hidden="false" customHeight="true" outlineLevel="0" collapsed="false">
      <c r="A1102" s="14" t="n">
        <v>1101</v>
      </c>
      <c r="B1102" s="14" t="s">
        <v>1246</v>
      </c>
      <c r="C1102" s="14" t="s">
        <v>1247</v>
      </c>
      <c r="D1102" s="15" t="s">
        <v>1248</v>
      </c>
      <c r="E1102" s="15" t="s">
        <v>1249</v>
      </c>
      <c r="F1102" s="15" t="s">
        <v>232</v>
      </c>
      <c r="G1102" s="15" t="s">
        <v>62</v>
      </c>
      <c r="H1102" s="15" t="s">
        <v>63</v>
      </c>
      <c r="I1102" s="15" t="s">
        <v>1251</v>
      </c>
    </row>
    <row r="1103" customFormat="false" ht="23.25" hidden="false" customHeight="true" outlineLevel="0" collapsed="false">
      <c r="A1103" s="14" t="n">
        <v>1102</v>
      </c>
      <c r="B1103" s="14" t="s">
        <v>1246</v>
      </c>
      <c r="C1103" s="14" t="s">
        <v>1247</v>
      </c>
      <c r="D1103" s="15" t="s">
        <v>1248</v>
      </c>
      <c r="E1103" s="15" t="s">
        <v>1249</v>
      </c>
      <c r="F1103" s="15" t="s">
        <v>1260</v>
      </c>
      <c r="G1103" s="15" t="s">
        <v>62</v>
      </c>
      <c r="H1103" s="15" t="s">
        <v>63</v>
      </c>
      <c r="I1103" s="15" t="s">
        <v>1251</v>
      </c>
    </row>
    <row r="1104" customFormat="false" ht="23.25" hidden="false" customHeight="true" outlineLevel="0" collapsed="false">
      <c r="A1104" s="14" t="n">
        <v>1103</v>
      </c>
      <c r="B1104" s="14" t="s">
        <v>1246</v>
      </c>
      <c r="C1104" s="14" t="s">
        <v>1247</v>
      </c>
      <c r="D1104" s="15" t="s">
        <v>1248</v>
      </c>
      <c r="E1104" s="15" t="s">
        <v>1249</v>
      </c>
      <c r="F1104" s="15" t="s">
        <v>1224</v>
      </c>
      <c r="G1104" s="15" t="s">
        <v>62</v>
      </c>
      <c r="H1104" s="15" t="s">
        <v>63</v>
      </c>
      <c r="I1104" s="15" t="s">
        <v>1251</v>
      </c>
    </row>
    <row r="1105" customFormat="false" ht="23.25" hidden="false" customHeight="true" outlineLevel="0" collapsed="false">
      <c r="A1105" s="14" t="n">
        <v>1104</v>
      </c>
      <c r="B1105" s="14" t="s">
        <v>1261</v>
      </c>
      <c r="C1105" s="14" t="s">
        <v>1262</v>
      </c>
      <c r="D1105" s="15" t="s">
        <v>1263</v>
      </c>
      <c r="E1105" s="15" t="s">
        <v>1264</v>
      </c>
      <c r="F1105" s="15" t="s">
        <v>1265</v>
      </c>
      <c r="G1105" s="15" t="s">
        <v>62</v>
      </c>
      <c r="H1105" s="15" t="s">
        <v>63</v>
      </c>
      <c r="I1105" s="15" t="s">
        <v>246</v>
      </c>
    </row>
    <row r="1106" customFormat="false" ht="23.25" hidden="false" customHeight="true" outlineLevel="0" collapsed="false">
      <c r="A1106" s="14" t="n">
        <v>1105</v>
      </c>
      <c r="B1106" s="14" t="s">
        <v>1261</v>
      </c>
      <c r="C1106" s="14" t="s">
        <v>1262</v>
      </c>
      <c r="D1106" s="15" t="s">
        <v>1263</v>
      </c>
      <c r="E1106" s="15" t="s">
        <v>1264</v>
      </c>
      <c r="F1106" s="15" t="s">
        <v>1266</v>
      </c>
      <c r="G1106" s="15" t="s">
        <v>62</v>
      </c>
      <c r="H1106" s="15" t="s">
        <v>63</v>
      </c>
      <c r="I1106" s="15" t="s">
        <v>246</v>
      </c>
    </row>
    <row r="1107" customFormat="false" ht="23.25" hidden="false" customHeight="true" outlineLevel="0" collapsed="false">
      <c r="A1107" s="14" t="n">
        <v>1106</v>
      </c>
      <c r="B1107" s="14" t="s">
        <v>1261</v>
      </c>
      <c r="C1107" s="14" t="s">
        <v>1262</v>
      </c>
      <c r="D1107" s="15" t="s">
        <v>1263</v>
      </c>
      <c r="E1107" s="15" t="s">
        <v>1264</v>
      </c>
      <c r="F1107" s="15" t="s">
        <v>1267</v>
      </c>
      <c r="G1107" s="15" t="s">
        <v>62</v>
      </c>
      <c r="H1107" s="15" t="s">
        <v>63</v>
      </c>
      <c r="I1107" s="15" t="s">
        <v>246</v>
      </c>
    </row>
    <row r="1108" customFormat="false" ht="23.25" hidden="false" customHeight="true" outlineLevel="0" collapsed="false">
      <c r="A1108" s="14" t="n">
        <v>1107</v>
      </c>
      <c r="B1108" s="14" t="s">
        <v>1261</v>
      </c>
      <c r="C1108" s="14" t="s">
        <v>1262</v>
      </c>
      <c r="D1108" s="15" t="s">
        <v>1263</v>
      </c>
      <c r="E1108" s="15" t="s">
        <v>1264</v>
      </c>
      <c r="F1108" s="15" t="s">
        <v>1268</v>
      </c>
      <c r="G1108" s="15" t="s">
        <v>62</v>
      </c>
      <c r="H1108" s="15" t="s">
        <v>63</v>
      </c>
      <c r="I1108" s="15" t="s">
        <v>246</v>
      </c>
    </row>
    <row r="1109" customFormat="false" ht="23.25" hidden="false" customHeight="true" outlineLevel="0" collapsed="false">
      <c r="A1109" s="14" t="n">
        <v>1108</v>
      </c>
      <c r="B1109" s="14" t="s">
        <v>1261</v>
      </c>
      <c r="C1109" s="14" t="s">
        <v>1262</v>
      </c>
      <c r="D1109" s="15" t="s">
        <v>1263</v>
      </c>
      <c r="E1109" s="15" t="s">
        <v>1264</v>
      </c>
      <c r="F1109" s="15" t="s">
        <v>1269</v>
      </c>
      <c r="G1109" s="15" t="s">
        <v>62</v>
      </c>
      <c r="H1109" s="15" t="s">
        <v>63</v>
      </c>
      <c r="I1109" s="15" t="s">
        <v>246</v>
      </c>
    </row>
    <row r="1110" customFormat="false" ht="23.25" hidden="false" customHeight="true" outlineLevel="0" collapsed="false">
      <c r="A1110" s="14" t="n">
        <v>1109</v>
      </c>
      <c r="B1110" s="14" t="s">
        <v>1261</v>
      </c>
      <c r="C1110" s="14" t="s">
        <v>1262</v>
      </c>
      <c r="D1110" s="15" t="s">
        <v>1263</v>
      </c>
      <c r="E1110" s="15" t="s">
        <v>1264</v>
      </c>
      <c r="F1110" s="15" t="s">
        <v>1270</v>
      </c>
      <c r="G1110" s="15" t="s">
        <v>62</v>
      </c>
      <c r="H1110" s="15" t="s">
        <v>63</v>
      </c>
      <c r="I1110" s="15" t="s">
        <v>246</v>
      </c>
    </row>
    <row r="1111" customFormat="false" ht="23.25" hidden="false" customHeight="true" outlineLevel="0" collapsed="false">
      <c r="A1111" s="14" t="n">
        <v>1110</v>
      </c>
      <c r="B1111" s="14" t="s">
        <v>1261</v>
      </c>
      <c r="C1111" s="14" t="s">
        <v>1262</v>
      </c>
      <c r="D1111" s="15" t="s">
        <v>1263</v>
      </c>
      <c r="E1111" s="15" t="s">
        <v>1264</v>
      </c>
      <c r="F1111" s="15" t="s">
        <v>134</v>
      </c>
      <c r="G1111" s="15" t="s">
        <v>62</v>
      </c>
      <c r="H1111" s="15" t="s">
        <v>63</v>
      </c>
      <c r="I1111" s="15" t="s">
        <v>246</v>
      </c>
    </row>
    <row r="1112" customFormat="false" ht="23.25" hidden="false" customHeight="true" outlineLevel="0" collapsed="false">
      <c r="A1112" s="14" t="n">
        <v>1111</v>
      </c>
      <c r="B1112" s="14" t="s">
        <v>1261</v>
      </c>
      <c r="C1112" s="14" t="s">
        <v>1262</v>
      </c>
      <c r="D1112" s="15" t="s">
        <v>1263</v>
      </c>
      <c r="E1112" s="15" t="s">
        <v>1264</v>
      </c>
      <c r="F1112" s="15" t="s">
        <v>137</v>
      </c>
      <c r="G1112" s="15" t="s">
        <v>62</v>
      </c>
      <c r="H1112" s="15" t="s">
        <v>63</v>
      </c>
      <c r="I1112" s="15" t="s">
        <v>246</v>
      </c>
    </row>
    <row r="1113" customFormat="false" ht="23.25" hidden="false" customHeight="true" outlineLevel="0" collapsed="false">
      <c r="A1113" s="14" t="n">
        <v>1112</v>
      </c>
      <c r="B1113" s="14" t="s">
        <v>1261</v>
      </c>
      <c r="C1113" s="14" t="s">
        <v>1262</v>
      </c>
      <c r="D1113" s="15" t="s">
        <v>1263</v>
      </c>
      <c r="E1113" s="15" t="s">
        <v>1264</v>
      </c>
      <c r="F1113" s="15" t="s">
        <v>225</v>
      </c>
      <c r="G1113" s="15" t="s">
        <v>62</v>
      </c>
      <c r="H1113" s="15" t="s">
        <v>63</v>
      </c>
      <c r="I1113" s="15" t="s">
        <v>246</v>
      </c>
    </row>
    <row r="1114" customFormat="false" ht="23.25" hidden="false" customHeight="true" outlineLevel="0" collapsed="false">
      <c r="A1114" s="14" t="n">
        <v>1113</v>
      </c>
      <c r="B1114" s="14" t="s">
        <v>1261</v>
      </c>
      <c r="C1114" s="14" t="s">
        <v>1262</v>
      </c>
      <c r="D1114" s="15" t="s">
        <v>1263</v>
      </c>
      <c r="E1114" s="15" t="s">
        <v>1264</v>
      </c>
      <c r="F1114" s="15" t="s">
        <v>226</v>
      </c>
      <c r="G1114" s="15" t="s">
        <v>62</v>
      </c>
      <c r="H1114" s="15" t="s">
        <v>63</v>
      </c>
      <c r="I1114" s="15" t="s">
        <v>246</v>
      </c>
    </row>
    <row r="1115" customFormat="false" ht="23.25" hidden="false" customHeight="true" outlineLevel="0" collapsed="false">
      <c r="A1115" s="14" t="n">
        <v>1114</v>
      </c>
      <c r="B1115" s="14" t="s">
        <v>1261</v>
      </c>
      <c r="C1115" s="14" t="s">
        <v>1262</v>
      </c>
      <c r="D1115" s="15" t="s">
        <v>1263</v>
      </c>
      <c r="E1115" s="15" t="s">
        <v>1264</v>
      </c>
      <c r="F1115" s="15" t="s">
        <v>1233</v>
      </c>
      <c r="G1115" s="15" t="s">
        <v>62</v>
      </c>
      <c r="H1115" s="15" t="s">
        <v>63</v>
      </c>
      <c r="I1115" s="15" t="s">
        <v>246</v>
      </c>
    </row>
    <row r="1116" customFormat="false" ht="23.25" hidden="false" customHeight="true" outlineLevel="0" collapsed="false">
      <c r="A1116" s="14" t="n">
        <v>1115</v>
      </c>
      <c r="B1116" s="14" t="s">
        <v>1261</v>
      </c>
      <c r="C1116" s="14" t="s">
        <v>1262</v>
      </c>
      <c r="D1116" s="15" t="s">
        <v>1263</v>
      </c>
      <c r="E1116" s="15" t="s">
        <v>1264</v>
      </c>
      <c r="F1116" s="15" t="s">
        <v>36</v>
      </c>
      <c r="G1116" s="15" t="s">
        <v>62</v>
      </c>
      <c r="H1116" s="15" t="s">
        <v>63</v>
      </c>
      <c r="I1116" s="15" t="s">
        <v>246</v>
      </c>
    </row>
    <row r="1117" customFormat="false" ht="23.25" hidden="false" customHeight="true" outlineLevel="0" collapsed="false">
      <c r="A1117" s="14" t="n">
        <v>1116</v>
      </c>
      <c r="B1117" s="14" t="s">
        <v>1261</v>
      </c>
      <c r="C1117" s="14" t="s">
        <v>1262</v>
      </c>
      <c r="D1117" s="15" t="s">
        <v>1263</v>
      </c>
      <c r="E1117" s="15" t="s">
        <v>1264</v>
      </c>
      <c r="F1117" s="15" t="s">
        <v>1271</v>
      </c>
      <c r="G1117" s="15" t="s">
        <v>62</v>
      </c>
      <c r="H1117" s="15" t="s">
        <v>63</v>
      </c>
      <c r="I1117" s="15" t="s">
        <v>246</v>
      </c>
    </row>
    <row r="1118" customFormat="false" ht="23.25" hidden="false" customHeight="true" outlineLevel="0" collapsed="false">
      <c r="A1118" s="14" t="n">
        <v>1117</v>
      </c>
      <c r="B1118" s="14" t="s">
        <v>1261</v>
      </c>
      <c r="C1118" s="14" t="s">
        <v>1262</v>
      </c>
      <c r="D1118" s="15" t="s">
        <v>1263</v>
      </c>
      <c r="E1118" s="15" t="s">
        <v>1264</v>
      </c>
      <c r="F1118" s="15" t="s">
        <v>337</v>
      </c>
      <c r="G1118" s="15" t="s">
        <v>62</v>
      </c>
      <c r="H1118" s="15" t="s">
        <v>63</v>
      </c>
      <c r="I1118" s="15" t="s">
        <v>246</v>
      </c>
    </row>
    <row r="1119" customFormat="false" ht="23.25" hidden="false" customHeight="true" outlineLevel="0" collapsed="false">
      <c r="A1119" s="14" t="n">
        <v>1118</v>
      </c>
      <c r="B1119" s="14" t="s">
        <v>1261</v>
      </c>
      <c r="C1119" s="14" t="s">
        <v>1262</v>
      </c>
      <c r="D1119" s="15" t="s">
        <v>1263</v>
      </c>
      <c r="E1119" s="15" t="s">
        <v>1264</v>
      </c>
      <c r="F1119" s="15" t="s">
        <v>1272</v>
      </c>
      <c r="G1119" s="15" t="s">
        <v>62</v>
      </c>
      <c r="H1119" s="15" t="s">
        <v>63</v>
      </c>
      <c r="I1119" s="15" t="s">
        <v>246</v>
      </c>
    </row>
    <row r="1120" customFormat="false" ht="23.25" hidden="false" customHeight="true" outlineLevel="0" collapsed="false">
      <c r="A1120" s="14" t="n">
        <v>1119</v>
      </c>
      <c r="B1120" s="14" t="s">
        <v>1261</v>
      </c>
      <c r="C1120" s="14" t="s">
        <v>1262</v>
      </c>
      <c r="D1120" s="15" t="s">
        <v>1263</v>
      </c>
      <c r="E1120" s="15" t="s">
        <v>1264</v>
      </c>
      <c r="F1120" s="15" t="s">
        <v>1273</v>
      </c>
      <c r="G1120" s="15" t="s">
        <v>62</v>
      </c>
      <c r="H1120" s="15" t="s">
        <v>63</v>
      </c>
      <c r="I1120" s="15" t="s">
        <v>246</v>
      </c>
    </row>
    <row r="1121" customFormat="false" ht="23.25" hidden="false" customHeight="true" outlineLevel="0" collapsed="false">
      <c r="A1121" s="14" t="n">
        <v>1120</v>
      </c>
      <c r="B1121" s="14" t="s">
        <v>1261</v>
      </c>
      <c r="C1121" s="14" t="s">
        <v>1262</v>
      </c>
      <c r="D1121" s="15" t="s">
        <v>1263</v>
      </c>
      <c r="E1121" s="15" t="s">
        <v>1264</v>
      </c>
      <c r="F1121" s="15" t="s">
        <v>497</v>
      </c>
      <c r="G1121" s="15" t="s">
        <v>62</v>
      </c>
      <c r="H1121" s="15" t="s">
        <v>63</v>
      </c>
      <c r="I1121" s="15" t="s">
        <v>246</v>
      </c>
    </row>
    <row r="1122" customFormat="false" ht="23.25" hidden="false" customHeight="true" outlineLevel="0" collapsed="false">
      <c r="A1122" s="14" t="n">
        <v>1121</v>
      </c>
      <c r="B1122" s="14" t="s">
        <v>1261</v>
      </c>
      <c r="C1122" s="14" t="s">
        <v>1262</v>
      </c>
      <c r="D1122" s="15" t="s">
        <v>1263</v>
      </c>
      <c r="E1122" s="15" t="s">
        <v>1264</v>
      </c>
      <c r="F1122" s="15" t="s">
        <v>499</v>
      </c>
      <c r="G1122" s="15" t="s">
        <v>62</v>
      </c>
      <c r="H1122" s="15" t="s">
        <v>63</v>
      </c>
      <c r="I1122" s="15" t="s">
        <v>246</v>
      </c>
    </row>
    <row r="1123" customFormat="false" ht="23.25" hidden="false" customHeight="true" outlineLevel="0" collapsed="false">
      <c r="A1123" s="14" t="n">
        <v>1122</v>
      </c>
      <c r="B1123" s="14" t="s">
        <v>1261</v>
      </c>
      <c r="C1123" s="14" t="s">
        <v>1262</v>
      </c>
      <c r="D1123" s="15" t="s">
        <v>1263</v>
      </c>
      <c r="E1123" s="15" t="s">
        <v>1264</v>
      </c>
      <c r="F1123" s="15" t="s">
        <v>501</v>
      </c>
      <c r="G1123" s="15" t="s">
        <v>62</v>
      </c>
      <c r="H1123" s="15" t="s">
        <v>63</v>
      </c>
      <c r="I1123" s="15" t="s">
        <v>246</v>
      </c>
    </row>
    <row r="1124" customFormat="false" ht="23.25" hidden="false" customHeight="true" outlineLevel="0" collapsed="false">
      <c r="A1124" s="14" t="n">
        <v>1123</v>
      </c>
      <c r="B1124" s="14" t="s">
        <v>1261</v>
      </c>
      <c r="C1124" s="14" t="s">
        <v>1262</v>
      </c>
      <c r="D1124" s="15" t="s">
        <v>1263</v>
      </c>
      <c r="E1124" s="15" t="s">
        <v>1264</v>
      </c>
      <c r="F1124" s="15" t="s">
        <v>500</v>
      </c>
      <c r="G1124" s="15" t="s">
        <v>62</v>
      </c>
      <c r="H1124" s="15" t="s">
        <v>63</v>
      </c>
      <c r="I1124" s="15" t="s">
        <v>246</v>
      </c>
    </row>
    <row r="1125" customFormat="false" ht="23.25" hidden="false" customHeight="true" outlineLevel="0" collapsed="false">
      <c r="A1125" s="14" t="n">
        <v>1124</v>
      </c>
      <c r="B1125" s="14" t="s">
        <v>1261</v>
      </c>
      <c r="C1125" s="14" t="s">
        <v>1262</v>
      </c>
      <c r="D1125" s="15" t="s">
        <v>1263</v>
      </c>
      <c r="E1125" s="15" t="s">
        <v>1264</v>
      </c>
      <c r="F1125" s="15" t="s">
        <v>1274</v>
      </c>
      <c r="G1125" s="15" t="s">
        <v>62</v>
      </c>
      <c r="H1125" s="15" t="s">
        <v>63</v>
      </c>
      <c r="I1125" s="15" t="s">
        <v>246</v>
      </c>
    </row>
    <row r="1126" customFormat="false" ht="23.25" hidden="false" customHeight="true" outlineLevel="0" collapsed="false">
      <c r="A1126" s="14" t="n">
        <v>1125</v>
      </c>
      <c r="B1126" s="14" t="s">
        <v>1261</v>
      </c>
      <c r="C1126" s="14" t="s">
        <v>1262</v>
      </c>
      <c r="D1126" s="15" t="s">
        <v>1263</v>
      </c>
      <c r="E1126" s="15" t="s">
        <v>1264</v>
      </c>
      <c r="F1126" s="15" t="s">
        <v>503</v>
      </c>
      <c r="G1126" s="15" t="s">
        <v>62</v>
      </c>
      <c r="H1126" s="15" t="s">
        <v>63</v>
      </c>
      <c r="I1126" s="15" t="s">
        <v>246</v>
      </c>
    </row>
    <row r="1127" customFormat="false" ht="23.25" hidden="false" customHeight="true" outlineLevel="0" collapsed="false">
      <c r="A1127" s="14" t="n">
        <v>1126</v>
      </c>
      <c r="B1127" s="14" t="s">
        <v>1261</v>
      </c>
      <c r="C1127" s="14" t="s">
        <v>1262</v>
      </c>
      <c r="D1127" s="15" t="s">
        <v>1263</v>
      </c>
      <c r="E1127" s="15" t="s">
        <v>1264</v>
      </c>
      <c r="F1127" s="15" t="s">
        <v>1275</v>
      </c>
      <c r="G1127" s="15" t="s">
        <v>62</v>
      </c>
      <c r="H1127" s="15" t="s">
        <v>63</v>
      </c>
      <c r="I1127" s="15" t="s">
        <v>246</v>
      </c>
    </row>
    <row r="1128" customFormat="false" ht="23.25" hidden="false" customHeight="true" outlineLevel="0" collapsed="false">
      <c r="A1128" s="14" t="n">
        <v>1127</v>
      </c>
      <c r="B1128" s="14" t="s">
        <v>1261</v>
      </c>
      <c r="C1128" s="14" t="s">
        <v>1262</v>
      </c>
      <c r="D1128" s="15" t="s">
        <v>1263</v>
      </c>
      <c r="E1128" s="15" t="s">
        <v>1264</v>
      </c>
      <c r="F1128" s="15" t="s">
        <v>228</v>
      </c>
      <c r="G1128" s="15" t="s">
        <v>62</v>
      </c>
      <c r="H1128" s="15" t="s">
        <v>63</v>
      </c>
      <c r="I1128" s="15" t="s">
        <v>246</v>
      </c>
    </row>
    <row r="1129" customFormat="false" ht="23.25" hidden="false" customHeight="true" outlineLevel="0" collapsed="false">
      <c r="A1129" s="14" t="n">
        <v>1128</v>
      </c>
      <c r="B1129" s="14" t="s">
        <v>1261</v>
      </c>
      <c r="C1129" s="14" t="s">
        <v>1262</v>
      </c>
      <c r="D1129" s="15" t="s">
        <v>1263</v>
      </c>
      <c r="E1129" s="15" t="s">
        <v>1264</v>
      </c>
      <c r="F1129" s="15" t="s">
        <v>507</v>
      </c>
      <c r="G1129" s="15" t="s">
        <v>62</v>
      </c>
      <c r="H1129" s="15" t="s">
        <v>63</v>
      </c>
      <c r="I1129" s="15" t="s">
        <v>246</v>
      </c>
    </row>
    <row r="1130" customFormat="false" ht="23.25" hidden="false" customHeight="true" outlineLevel="0" collapsed="false">
      <c r="A1130" s="14" t="n">
        <v>1129</v>
      </c>
      <c r="B1130" s="14" t="s">
        <v>1261</v>
      </c>
      <c r="C1130" s="14" t="s">
        <v>1262</v>
      </c>
      <c r="D1130" s="15" t="s">
        <v>1263</v>
      </c>
      <c r="E1130" s="15" t="s">
        <v>1264</v>
      </c>
      <c r="F1130" s="15" t="s">
        <v>1276</v>
      </c>
      <c r="G1130" s="15" t="s">
        <v>62</v>
      </c>
      <c r="H1130" s="15" t="s">
        <v>63</v>
      </c>
      <c r="I1130" s="15" t="s">
        <v>246</v>
      </c>
    </row>
    <row r="1131" customFormat="false" ht="23.25" hidden="false" customHeight="true" outlineLevel="0" collapsed="false">
      <c r="A1131" s="14" t="n">
        <v>1130</v>
      </c>
      <c r="B1131" s="14" t="s">
        <v>1261</v>
      </c>
      <c r="C1131" s="14" t="s">
        <v>1262</v>
      </c>
      <c r="D1131" s="15" t="s">
        <v>1263</v>
      </c>
      <c r="E1131" s="15" t="s">
        <v>1264</v>
      </c>
      <c r="F1131" s="15" t="s">
        <v>1277</v>
      </c>
      <c r="G1131" s="15" t="s">
        <v>62</v>
      </c>
      <c r="H1131" s="15" t="s">
        <v>63</v>
      </c>
      <c r="I1131" s="15" t="s">
        <v>246</v>
      </c>
    </row>
    <row r="1132" customFormat="false" ht="23.25" hidden="false" customHeight="true" outlineLevel="0" collapsed="false">
      <c r="A1132" s="14" t="n">
        <v>1131</v>
      </c>
      <c r="B1132" s="14" t="s">
        <v>1278</v>
      </c>
      <c r="C1132" s="14" t="s">
        <v>960</v>
      </c>
      <c r="D1132" s="15" t="s">
        <v>1279</v>
      </c>
      <c r="E1132" s="15" t="s">
        <v>1280</v>
      </c>
      <c r="F1132" s="15" t="s">
        <v>168</v>
      </c>
      <c r="G1132" s="15" t="s">
        <v>62</v>
      </c>
      <c r="H1132" s="15" t="s">
        <v>63</v>
      </c>
      <c r="I1132" s="15" t="s">
        <v>1281</v>
      </c>
    </row>
    <row r="1133" customFormat="false" ht="23.25" hidden="false" customHeight="true" outlineLevel="0" collapsed="false">
      <c r="A1133" s="14" t="n">
        <v>1132</v>
      </c>
      <c r="B1133" s="14" t="s">
        <v>1278</v>
      </c>
      <c r="C1133" s="14" t="s">
        <v>960</v>
      </c>
      <c r="D1133" s="15" t="s">
        <v>1279</v>
      </c>
      <c r="E1133" s="15" t="s">
        <v>1280</v>
      </c>
      <c r="F1133" s="15" t="s">
        <v>748</v>
      </c>
      <c r="G1133" s="15" t="s">
        <v>62</v>
      </c>
      <c r="H1133" s="15" t="s">
        <v>63</v>
      </c>
      <c r="I1133" s="15" t="s">
        <v>1281</v>
      </c>
    </row>
    <row r="1134" customFormat="false" ht="23.25" hidden="false" customHeight="true" outlineLevel="0" collapsed="false">
      <c r="A1134" s="14" t="n">
        <v>1133</v>
      </c>
      <c r="B1134" s="14" t="s">
        <v>1278</v>
      </c>
      <c r="C1134" s="14" t="s">
        <v>960</v>
      </c>
      <c r="D1134" s="15" t="s">
        <v>1279</v>
      </c>
      <c r="E1134" s="15" t="s">
        <v>1280</v>
      </c>
      <c r="F1134" s="15" t="s">
        <v>1282</v>
      </c>
      <c r="G1134" s="15" t="s">
        <v>62</v>
      </c>
      <c r="H1134" s="15" t="s">
        <v>63</v>
      </c>
      <c r="I1134" s="15" t="s">
        <v>1281</v>
      </c>
    </row>
    <row r="1135" customFormat="false" ht="23.25" hidden="false" customHeight="true" outlineLevel="0" collapsed="false">
      <c r="A1135" s="14" t="n">
        <v>1134</v>
      </c>
      <c r="B1135" s="14" t="s">
        <v>1278</v>
      </c>
      <c r="C1135" s="14" t="s">
        <v>960</v>
      </c>
      <c r="D1135" s="15" t="s">
        <v>1279</v>
      </c>
      <c r="E1135" s="15" t="s">
        <v>1280</v>
      </c>
      <c r="F1135" s="15" t="s">
        <v>24</v>
      </c>
      <c r="G1135" s="15" t="s">
        <v>62</v>
      </c>
      <c r="H1135" s="15" t="s">
        <v>63</v>
      </c>
      <c r="I1135" s="15" t="s">
        <v>1281</v>
      </c>
    </row>
    <row r="1136" customFormat="false" ht="23.25" hidden="false" customHeight="true" outlineLevel="0" collapsed="false">
      <c r="A1136" s="14" t="n">
        <v>1135</v>
      </c>
      <c r="B1136" s="14" t="s">
        <v>1278</v>
      </c>
      <c r="C1136" s="14" t="s">
        <v>960</v>
      </c>
      <c r="D1136" s="15" t="s">
        <v>1279</v>
      </c>
      <c r="E1136" s="15" t="s">
        <v>1280</v>
      </c>
      <c r="F1136" s="15" t="s">
        <v>134</v>
      </c>
      <c r="G1136" s="15" t="s">
        <v>62</v>
      </c>
      <c r="H1136" s="15" t="s">
        <v>63</v>
      </c>
      <c r="I1136" s="15" t="s">
        <v>1281</v>
      </c>
    </row>
    <row r="1137" customFormat="false" ht="23.25" hidden="false" customHeight="true" outlineLevel="0" collapsed="false">
      <c r="A1137" s="14" t="n">
        <v>1136</v>
      </c>
      <c r="B1137" s="14" t="s">
        <v>1278</v>
      </c>
      <c r="C1137" s="14" t="s">
        <v>960</v>
      </c>
      <c r="D1137" s="15" t="s">
        <v>1279</v>
      </c>
      <c r="E1137" s="15" t="s">
        <v>1280</v>
      </c>
      <c r="F1137" s="15" t="s">
        <v>1283</v>
      </c>
      <c r="G1137" s="15" t="s">
        <v>62</v>
      </c>
      <c r="H1137" s="15" t="s">
        <v>63</v>
      </c>
      <c r="I1137" s="15" t="s">
        <v>1281</v>
      </c>
    </row>
    <row r="1138" customFormat="false" ht="23.25" hidden="false" customHeight="true" outlineLevel="0" collapsed="false">
      <c r="A1138" s="14" t="n">
        <v>1137</v>
      </c>
      <c r="B1138" s="14" t="s">
        <v>1278</v>
      </c>
      <c r="C1138" s="14" t="s">
        <v>960</v>
      </c>
      <c r="D1138" s="15" t="s">
        <v>1279</v>
      </c>
      <c r="E1138" s="15" t="s">
        <v>1280</v>
      </c>
      <c r="F1138" s="15" t="s">
        <v>1284</v>
      </c>
      <c r="G1138" s="15" t="s">
        <v>62</v>
      </c>
      <c r="H1138" s="15" t="s">
        <v>63</v>
      </c>
      <c r="I1138" s="15" t="s">
        <v>1281</v>
      </c>
    </row>
    <row r="1139" customFormat="false" ht="23.25" hidden="false" customHeight="true" outlineLevel="0" collapsed="false">
      <c r="A1139" s="14" t="n">
        <v>1138</v>
      </c>
      <c r="B1139" s="14" t="s">
        <v>1278</v>
      </c>
      <c r="C1139" s="14" t="s">
        <v>960</v>
      </c>
      <c r="D1139" s="15" t="s">
        <v>1279</v>
      </c>
      <c r="E1139" s="15" t="s">
        <v>1280</v>
      </c>
      <c r="F1139" s="15" t="s">
        <v>425</v>
      </c>
      <c r="G1139" s="15" t="s">
        <v>62</v>
      </c>
      <c r="H1139" s="15" t="s">
        <v>63</v>
      </c>
      <c r="I1139" s="15" t="s">
        <v>1281</v>
      </c>
    </row>
    <row r="1140" customFormat="false" ht="23.25" hidden="false" customHeight="true" outlineLevel="0" collapsed="false">
      <c r="A1140" s="14" t="n">
        <v>1139</v>
      </c>
      <c r="B1140" s="14" t="s">
        <v>1278</v>
      </c>
      <c r="C1140" s="14" t="s">
        <v>960</v>
      </c>
      <c r="D1140" s="15" t="s">
        <v>1279</v>
      </c>
      <c r="E1140" s="15" t="s">
        <v>1280</v>
      </c>
      <c r="F1140" s="15" t="s">
        <v>1285</v>
      </c>
      <c r="G1140" s="15" t="s">
        <v>62</v>
      </c>
      <c r="H1140" s="15" t="s">
        <v>63</v>
      </c>
      <c r="I1140" s="15" t="s">
        <v>1281</v>
      </c>
    </row>
    <row r="1141" customFormat="false" ht="23.25" hidden="false" customHeight="true" outlineLevel="0" collapsed="false">
      <c r="A1141" s="14" t="n">
        <v>1140</v>
      </c>
      <c r="B1141" s="14" t="s">
        <v>1278</v>
      </c>
      <c r="C1141" s="14" t="s">
        <v>960</v>
      </c>
      <c r="D1141" s="15" t="s">
        <v>1279</v>
      </c>
      <c r="E1141" s="15" t="s">
        <v>1280</v>
      </c>
      <c r="F1141" s="15" t="s">
        <v>1286</v>
      </c>
      <c r="G1141" s="15" t="s">
        <v>62</v>
      </c>
      <c r="H1141" s="15" t="s">
        <v>63</v>
      </c>
      <c r="I1141" s="15" t="s">
        <v>1281</v>
      </c>
    </row>
    <row r="1142" customFormat="false" ht="23.25" hidden="false" customHeight="true" outlineLevel="0" collapsed="false">
      <c r="A1142" s="14" t="n">
        <v>1141</v>
      </c>
      <c r="B1142" s="14" t="s">
        <v>1278</v>
      </c>
      <c r="C1142" s="14" t="s">
        <v>960</v>
      </c>
      <c r="D1142" s="15" t="s">
        <v>1279</v>
      </c>
      <c r="E1142" s="15" t="s">
        <v>1280</v>
      </c>
      <c r="F1142" s="15" t="s">
        <v>705</v>
      </c>
      <c r="G1142" s="15" t="s">
        <v>62</v>
      </c>
      <c r="H1142" s="15" t="s">
        <v>63</v>
      </c>
      <c r="I1142" s="15" t="s">
        <v>1281</v>
      </c>
    </row>
    <row r="1143" customFormat="false" ht="23.25" hidden="false" customHeight="true" outlineLevel="0" collapsed="false">
      <c r="A1143" s="14" t="n">
        <v>1142</v>
      </c>
      <c r="B1143" s="14" t="s">
        <v>1278</v>
      </c>
      <c r="C1143" s="14" t="s">
        <v>960</v>
      </c>
      <c r="D1143" s="15" t="s">
        <v>1279</v>
      </c>
      <c r="E1143" s="15" t="s">
        <v>1280</v>
      </c>
      <c r="F1143" s="15" t="s">
        <v>354</v>
      </c>
      <c r="G1143" s="15" t="s">
        <v>62</v>
      </c>
      <c r="H1143" s="15" t="s">
        <v>63</v>
      </c>
      <c r="I1143" s="15" t="s">
        <v>1281</v>
      </c>
    </row>
    <row r="1144" customFormat="false" ht="23.25" hidden="false" customHeight="true" outlineLevel="0" collapsed="false">
      <c r="A1144" s="14" t="n">
        <v>1143</v>
      </c>
      <c r="B1144" s="14" t="s">
        <v>1278</v>
      </c>
      <c r="C1144" s="14" t="s">
        <v>960</v>
      </c>
      <c r="D1144" s="15" t="s">
        <v>1279</v>
      </c>
      <c r="E1144" s="15" t="s">
        <v>1280</v>
      </c>
      <c r="F1144" s="15" t="s">
        <v>28</v>
      </c>
      <c r="G1144" s="15" t="s">
        <v>62</v>
      </c>
      <c r="H1144" s="15" t="s">
        <v>63</v>
      </c>
      <c r="I1144" s="15" t="s">
        <v>1281</v>
      </c>
    </row>
    <row r="1145" customFormat="false" ht="23.25" hidden="false" customHeight="true" outlineLevel="0" collapsed="false">
      <c r="A1145" s="14" t="n">
        <v>1144</v>
      </c>
      <c r="B1145" s="14" t="s">
        <v>1278</v>
      </c>
      <c r="C1145" s="14" t="s">
        <v>960</v>
      </c>
      <c r="D1145" s="15" t="s">
        <v>1279</v>
      </c>
      <c r="E1145" s="15" t="s">
        <v>1280</v>
      </c>
      <c r="F1145" s="15" t="s">
        <v>289</v>
      </c>
      <c r="G1145" s="15" t="s">
        <v>62</v>
      </c>
      <c r="H1145" s="15" t="s">
        <v>63</v>
      </c>
      <c r="I1145" s="15" t="s">
        <v>1281</v>
      </c>
    </row>
    <row r="1146" customFormat="false" ht="23.25" hidden="false" customHeight="true" outlineLevel="0" collapsed="false">
      <c r="A1146" s="14" t="n">
        <v>1145</v>
      </c>
      <c r="B1146" s="14" t="s">
        <v>1278</v>
      </c>
      <c r="C1146" s="14" t="s">
        <v>960</v>
      </c>
      <c r="D1146" s="15" t="s">
        <v>1279</v>
      </c>
      <c r="E1146" s="15" t="s">
        <v>1280</v>
      </c>
      <c r="F1146" s="15" t="s">
        <v>424</v>
      </c>
      <c r="G1146" s="15" t="s">
        <v>62</v>
      </c>
      <c r="H1146" s="15" t="s">
        <v>63</v>
      </c>
      <c r="I1146" s="15" t="s">
        <v>1281</v>
      </c>
    </row>
    <row r="1147" customFormat="false" ht="23.25" hidden="false" customHeight="true" outlineLevel="0" collapsed="false">
      <c r="A1147" s="14" t="n">
        <v>1146</v>
      </c>
      <c r="B1147" s="14" t="s">
        <v>1278</v>
      </c>
      <c r="C1147" s="14" t="s">
        <v>960</v>
      </c>
      <c r="D1147" s="15" t="s">
        <v>1279</v>
      </c>
      <c r="E1147" s="15" t="s">
        <v>1280</v>
      </c>
      <c r="F1147" s="15" t="s">
        <v>1170</v>
      </c>
      <c r="G1147" s="15" t="s">
        <v>62</v>
      </c>
      <c r="H1147" s="15" t="s">
        <v>63</v>
      </c>
      <c r="I1147" s="15" t="s">
        <v>1281</v>
      </c>
    </row>
    <row r="1148" customFormat="false" ht="23.25" hidden="false" customHeight="true" outlineLevel="0" collapsed="false">
      <c r="A1148" s="14" t="n">
        <v>1147</v>
      </c>
      <c r="B1148" s="14" t="s">
        <v>1278</v>
      </c>
      <c r="C1148" s="14" t="s">
        <v>960</v>
      </c>
      <c r="D1148" s="15" t="s">
        <v>1279</v>
      </c>
      <c r="E1148" s="15" t="s">
        <v>1280</v>
      </c>
      <c r="F1148" s="15" t="s">
        <v>864</v>
      </c>
      <c r="G1148" s="15" t="s">
        <v>62</v>
      </c>
      <c r="H1148" s="15" t="s">
        <v>63</v>
      </c>
      <c r="I1148" s="15" t="s">
        <v>1281</v>
      </c>
    </row>
    <row r="1149" customFormat="false" ht="23.25" hidden="false" customHeight="true" outlineLevel="0" collapsed="false">
      <c r="A1149" s="14" t="n">
        <v>1148</v>
      </c>
      <c r="B1149" s="14" t="s">
        <v>1278</v>
      </c>
      <c r="C1149" s="14" t="s">
        <v>960</v>
      </c>
      <c r="D1149" s="15" t="s">
        <v>1279</v>
      </c>
      <c r="E1149" s="15" t="s">
        <v>1280</v>
      </c>
      <c r="F1149" s="15" t="s">
        <v>1287</v>
      </c>
      <c r="G1149" s="15" t="s">
        <v>62</v>
      </c>
      <c r="H1149" s="15" t="s">
        <v>63</v>
      </c>
      <c r="I1149" s="15" t="s">
        <v>1281</v>
      </c>
    </row>
    <row r="1150" customFormat="false" ht="23.25" hidden="false" customHeight="true" outlineLevel="0" collapsed="false">
      <c r="A1150" s="14" t="n">
        <v>1149</v>
      </c>
      <c r="B1150" s="14" t="s">
        <v>1278</v>
      </c>
      <c r="C1150" s="14" t="s">
        <v>960</v>
      </c>
      <c r="D1150" s="15" t="s">
        <v>1279</v>
      </c>
      <c r="E1150" s="15" t="s">
        <v>1280</v>
      </c>
      <c r="F1150" s="15" t="s">
        <v>1288</v>
      </c>
      <c r="G1150" s="15" t="s">
        <v>62</v>
      </c>
      <c r="H1150" s="15" t="s">
        <v>63</v>
      </c>
      <c r="I1150" s="15" t="s">
        <v>1281</v>
      </c>
    </row>
    <row r="1151" customFormat="false" ht="23.25" hidden="false" customHeight="true" outlineLevel="0" collapsed="false">
      <c r="A1151" s="14" t="n">
        <v>1150</v>
      </c>
      <c r="B1151" s="14" t="s">
        <v>1278</v>
      </c>
      <c r="C1151" s="14" t="s">
        <v>960</v>
      </c>
      <c r="D1151" s="15" t="s">
        <v>1279</v>
      </c>
      <c r="E1151" s="15" t="s">
        <v>1280</v>
      </c>
      <c r="F1151" s="15" t="s">
        <v>1289</v>
      </c>
      <c r="G1151" s="15" t="s">
        <v>62</v>
      </c>
      <c r="H1151" s="15" t="s">
        <v>63</v>
      </c>
      <c r="I1151" s="15" t="s">
        <v>1281</v>
      </c>
    </row>
    <row r="1152" customFormat="false" ht="15" hidden="false" customHeight="false" outlineLevel="0" collapsed="false">
      <c r="A1152" s="1" t="n">
        <v>1151</v>
      </c>
      <c r="B1152" s="1" t="s">
        <v>1290</v>
      </c>
      <c r="C1152" s="1" t="s">
        <v>1291</v>
      </c>
      <c r="D1152" s="1" t="s">
        <v>1292</v>
      </c>
      <c r="E1152" s="1" t="s">
        <v>1293</v>
      </c>
      <c r="F1152" s="1" t="s">
        <v>1294</v>
      </c>
      <c r="G1152" s="1" t="s">
        <v>1295</v>
      </c>
      <c r="H1152" s="1" t="s">
        <v>1296</v>
      </c>
      <c r="I1152" s="1" t="s">
        <v>1297</v>
      </c>
    </row>
    <row r="1153" customFormat="false" ht="15" hidden="false" customHeight="false" outlineLevel="0" collapsed="false">
      <c r="A1153" s="1" t="n">
        <v>1152</v>
      </c>
      <c r="B1153" s="1" t="s">
        <v>1290</v>
      </c>
      <c r="C1153" s="1" t="s">
        <v>1291</v>
      </c>
      <c r="D1153" s="1" t="s">
        <v>1292</v>
      </c>
      <c r="E1153" s="1" t="s">
        <v>1293</v>
      </c>
      <c r="F1153" s="1" t="s">
        <v>1298</v>
      </c>
      <c r="G1153" s="1" t="s">
        <v>1299</v>
      </c>
      <c r="H1153" s="1" t="s">
        <v>1300</v>
      </c>
      <c r="I1153" s="1" t="s">
        <v>1297</v>
      </c>
    </row>
    <row r="1154" customFormat="false" ht="15" hidden="false" customHeight="false" outlineLevel="0" collapsed="false">
      <c r="A1154" s="1" t="n">
        <v>1153</v>
      </c>
      <c r="B1154" s="1" t="s">
        <v>1290</v>
      </c>
      <c r="C1154" s="1" t="s">
        <v>1291</v>
      </c>
      <c r="D1154" s="1" t="s">
        <v>1292</v>
      </c>
      <c r="E1154" s="1" t="s">
        <v>1293</v>
      </c>
      <c r="F1154" s="1" t="s">
        <v>1301</v>
      </c>
      <c r="G1154" s="1" t="s">
        <v>1302</v>
      </c>
      <c r="H1154" s="1" t="s">
        <v>1296</v>
      </c>
      <c r="I1154" s="1" t="s">
        <v>1297</v>
      </c>
    </row>
    <row r="1155" customFormat="false" ht="15" hidden="false" customHeight="false" outlineLevel="0" collapsed="false">
      <c r="A1155" s="1" t="n">
        <v>1154</v>
      </c>
      <c r="B1155" s="1" t="s">
        <v>1290</v>
      </c>
      <c r="C1155" s="1" t="s">
        <v>1291</v>
      </c>
      <c r="D1155" s="1" t="s">
        <v>1292</v>
      </c>
      <c r="E1155" s="1" t="s">
        <v>1293</v>
      </c>
      <c r="F1155" s="1" t="s">
        <v>1303</v>
      </c>
      <c r="G1155" s="1" t="s">
        <v>1304</v>
      </c>
      <c r="H1155" s="1" t="s">
        <v>1296</v>
      </c>
      <c r="I1155" s="1" t="s">
        <v>1297</v>
      </c>
    </row>
    <row r="1156" customFormat="false" ht="15" hidden="false" customHeight="false" outlineLevel="0" collapsed="false">
      <c r="A1156" s="1" t="n">
        <v>1155</v>
      </c>
      <c r="B1156" s="1" t="s">
        <v>1290</v>
      </c>
      <c r="C1156" s="1" t="s">
        <v>1291</v>
      </c>
      <c r="D1156" s="1" t="s">
        <v>1292</v>
      </c>
      <c r="E1156" s="1" t="s">
        <v>1293</v>
      </c>
      <c r="F1156" s="1" t="s">
        <v>1305</v>
      </c>
      <c r="G1156" s="1" t="s">
        <v>1306</v>
      </c>
      <c r="H1156" s="1" t="s">
        <v>1307</v>
      </c>
      <c r="I1156" s="1" t="s">
        <v>1297</v>
      </c>
    </row>
    <row r="1157" customFormat="false" ht="15" hidden="false" customHeight="false" outlineLevel="0" collapsed="false">
      <c r="A1157" s="1" t="n">
        <v>1156</v>
      </c>
      <c r="B1157" s="1" t="s">
        <v>1290</v>
      </c>
      <c r="C1157" s="1" t="s">
        <v>1291</v>
      </c>
      <c r="D1157" s="1" t="s">
        <v>1292</v>
      </c>
      <c r="E1157" s="1" t="s">
        <v>1293</v>
      </c>
      <c r="F1157" s="1" t="s">
        <v>1308</v>
      </c>
      <c r="G1157" s="1" t="s">
        <v>1309</v>
      </c>
      <c r="H1157" s="1" t="s">
        <v>1310</v>
      </c>
      <c r="I1157" s="1" t="s">
        <v>1297</v>
      </c>
    </row>
    <row r="1158" customFormat="false" ht="15" hidden="false" customHeight="false" outlineLevel="0" collapsed="false">
      <c r="A1158" s="1" t="n">
        <v>1157</v>
      </c>
      <c r="B1158" s="1" t="s">
        <v>1290</v>
      </c>
      <c r="C1158" s="1" t="s">
        <v>1291</v>
      </c>
      <c r="D1158" s="1" t="s">
        <v>1292</v>
      </c>
      <c r="E1158" s="1" t="s">
        <v>1293</v>
      </c>
      <c r="F1158" s="1" t="s">
        <v>1311</v>
      </c>
      <c r="G1158" s="1" t="s">
        <v>1312</v>
      </c>
      <c r="H1158" s="1" t="s">
        <v>1313</v>
      </c>
      <c r="I1158" s="1" t="s">
        <v>1297</v>
      </c>
    </row>
    <row r="1159" customFormat="false" ht="15" hidden="false" customHeight="false" outlineLevel="0" collapsed="false">
      <c r="A1159" s="1" t="n">
        <v>1158</v>
      </c>
      <c r="B1159" s="1" t="s">
        <v>1290</v>
      </c>
      <c r="C1159" s="1" t="s">
        <v>1291</v>
      </c>
      <c r="D1159" s="1" t="s">
        <v>1292</v>
      </c>
      <c r="E1159" s="1" t="s">
        <v>1293</v>
      </c>
      <c r="F1159" s="1" t="s">
        <v>28</v>
      </c>
      <c r="G1159" s="1" t="s">
        <v>1314</v>
      </c>
      <c r="H1159" s="1" t="s">
        <v>1313</v>
      </c>
      <c r="I1159" s="1" t="s">
        <v>1297</v>
      </c>
    </row>
    <row r="1160" customFormat="false" ht="15" hidden="false" customHeight="false" outlineLevel="0" collapsed="false">
      <c r="A1160" s="1" t="n">
        <v>1159</v>
      </c>
      <c r="B1160" s="1" t="s">
        <v>1290</v>
      </c>
      <c r="C1160" s="1" t="s">
        <v>1291</v>
      </c>
      <c r="D1160" s="1" t="s">
        <v>1292</v>
      </c>
      <c r="E1160" s="1" t="s">
        <v>1293</v>
      </c>
      <c r="F1160" s="1" t="s">
        <v>1315</v>
      </c>
      <c r="G1160" s="1" t="s">
        <v>1316</v>
      </c>
      <c r="H1160" s="1" t="s">
        <v>1317</v>
      </c>
      <c r="I1160" s="1" t="s">
        <v>1297</v>
      </c>
    </row>
    <row r="1161" customFormat="false" ht="15" hidden="false" customHeight="false" outlineLevel="0" collapsed="false">
      <c r="A1161" s="1" t="n">
        <v>1160</v>
      </c>
      <c r="B1161" s="1" t="s">
        <v>1290</v>
      </c>
      <c r="C1161" s="1" t="s">
        <v>1291</v>
      </c>
      <c r="D1161" s="1" t="s">
        <v>1292</v>
      </c>
      <c r="E1161" s="1" t="s">
        <v>1293</v>
      </c>
      <c r="F1161" s="1" t="s">
        <v>1318</v>
      </c>
      <c r="G1161" s="1" t="s">
        <v>1319</v>
      </c>
      <c r="H1161" s="1" t="s">
        <v>1300</v>
      </c>
      <c r="I1161" s="1" t="s">
        <v>1297</v>
      </c>
    </row>
    <row r="1162" customFormat="false" ht="15" hidden="false" customHeight="false" outlineLevel="0" collapsed="false">
      <c r="A1162" s="1" t="n">
        <v>1161</v>
      </c>
      <c r="B1162" s="1" t="s">
        <v>1290</v>
      </c>
      <c r="C1162" s="1" t="s">
        <v>1291</v>
      </c>
      <c r="D1162" s="1" t="s">
        <v>1292</v>
      </c>
      <c r="E1162" s="1" t="s">
        <v>1293</v>
      </c>
      <c r="F1162" s="1" t="s">
        <v>1320</v>
      </c>
      <c r="G1162" s="1" t="s">
        <v>1321</v>
      </c>
      <c r="H1162" s="1" t="s">
        <v>1322</v>
      </c>
      <c r="I1162" s="1" t="s">
        <v>1297</v>
      </c>
    </row>
    <row r="1163" customFormat="false" ht="15" hidden="false" customHeight="false" outlineLevel="0" collapsed="false">
      <c r="A1163" s="1" t="n">
        <v>1162</v>
      </c>
      <c r="B1163" s="1" t="s">
        <v>1290</v>
      </c>
      <c r="C1163" s="1" t="s">
        <v>1291</v>
      </c>
      <c r="D1163" s="1" t="s">
        <v>1292</v>
      </c>
      <c r="E1163" s="1" t="s">
        <v>1293</v>
      </c>
      <c r="F1163" s="1" t="s">
        <v>1323</v>
      </c>
      <c r="G1163" s="1" t="s">
        <v>1306</v>
      </c>
      <c r="H1163" s="1" t="s">
        <v>1322</v>
      </c>
      <c r="I1163" s="1" t="s">
        <v>1297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22"/>
    <col collapsed="false" customWidth="true" hidden="false" outlineLevel="0" max="4" min="4" style="1" width="38"/>
    <col collapsed="false" customWidth="true" hidden="false" outlineLevel="0" max="5" min="5" style="1" width="32"/>
    <col collapsed="false" customWidth="true" hidden="false" outlineLevel="0" max="6" min="6" style="1" width="12"/>
    <col collapsed="false" customWidth="true" hidden="false" outlineLevel="0" max="7" min="7" style="1" width="30"/>
    <col collapsed="false" customWidth="true" hidden="false" outlineLevel="0" max="8" min="8" style="1" width="20"/>
    <col collapsed="false" customWidth="true" hidden="false" outlineLevel="0" max="9" min="9" style="1" width="32"/>
  </cols>
  <sheetData>
    <row r="1" customFormat="false" ht="39" hidden="false" customHeight="true" outlineLevel="0" collapsed="false">
      <c r="A1" s="13" t="s">
        <v>48</v>
      </c>
      <c r="B1" s="13" t="s">
        <v>49</v>
      </c>
      <c r="C1" s="13" t="s">
        <v>50</v>
      </c>
      <c r="D1" s="13" t="s">
        <v>51</v>
      </c>
      <c r="E1" s="13" t="s">
        <v>52</v>
      </c>
      <c r="F1" s="13" t="s">
        <v>1324</v>
      </c>
      <c r="G1" s="13" t="s">
        <v>1325</v>
      </c>
      <c r="H1" s="13" t="s">
        <v>1326</v>
      </c>
      <c r="I1" s="13" t="s">
        <v>56</v>
      </c>
    </row>
    <row r="2" customFormat="false" ht="34.5" hidden="false" customHeight="true" outlineLevel="0" collapsed="false">
      <c r="A2" s="14" t="n">
        <v>1</v>
      </c>
      <c r="B2" s="14" t="s">
        <v>57</v>
      </c>
      <c r="C2" s="15" t="s">
        <v>58</v>
      </c>
      <c r="D2" s="15" t="s">
        <v>59</v>
      </c>
      <c r="E2" s="15" t="s">
        <v>60</v>
      </c>
      <c r="F2" s="14" t="n">
        <v>4</v>
      </c>
      <c r="G2" s="14" t="s">
        <v>1327</v>
      </c>
      <c r="H2" s="15" t="s">
        <v>1328</v>
      </c>
      <c r="I2" s="15" t="s">
        <v>64</v>
      </c>
    </row>
    <row r="3" customFormat="false" ht="23.25" hidden="false" customHeight="true" outlineLevel="0" collapsed="false">
      <c r="A3" s="14" t="n">
        <v>2</v>
      </c>
      <c r="B3" s="14" t="s">
        <v>68</v>
      </c>
      <c r="C3" s="15" t="s">
        <v>69</v>
      </c>
      <c r="D3" s="15" t="s">
        <v>70</v>
      </c>
      <c r="E3" s="15" t="s">
        <v>71</v>
      </c>
      <c r="F3" s="14" t="n">
        <v>40</v>
      </c>
      <c r="G3" s="14" t="s">
        <v>1329</v>
      </c>
      <c r="H3" s="15" t="s">
        <v>1328</v>
      </c>
      <c r="I3" s="15" t="s">
        <v>75</v>
      </c>
    </row>
    <row r="4" customFormat="false" ht="23.25" hidden="false" customHeight="true" outlineLevel="0" collapsed="false">
      <c r="A4" s="14" t="n">
        <v>3</v>
      </c>
      <c r="B4" s="14" t="s">
        <v>130</v>
      </c>
      <c r="C4" s="15" t="s">
        <v>131</v>
      </c>
      <c r="D4" s="15" t="s">
        <v>132</v>
      </c>
      <c r="E4" s="15" t="s">
        <v>133</v>
      </c>
      <c r="F4" s="14" t="n">
        <v>81</v>
      </c>
      <c r="G4" s="14" t="s">
        <v>1330</v>
      </c>
      <c r="H4" s="15" t="s">
        <v>1328</v>
      </c>
      <c r="I4" s="15" t="s">
        <v>136</v>
      </c>
    </row>
    <row r="5" customFormat="false" ht="23.25" hidden="false" customHeight="true" outlineLevel="0" collapsed="false">
      <c r="A5" s="14" t="n">
        <v>4</v>
      </c>
      <c r="B5" s="14" t="s">
        <v>218</v>
      </c>
      <c r="C5" s="15" t="s">
        <v>219</v>
      </c>
      <c r="D5" s="15" t="s">
        <v>220</v>
      </c>
      <c r="E5" s="15" t="s">
        <v>221</v>
      </c>
      <c r="F5" s="14" t="n">
        <v>26</v>
      </c>
      <c r="G5" s="14" t="s">
        <v>1327</v>
      </c>
      <c r="H5" s="15" t="s">
        <v>1328</v>
      </c>
      <c r="I5" s="15" t="s">
        <v>222</v>
      </c>
    </row>
    <row r="6" customFormat="false" ht="15" hidden="false" customHeight="true" outlineLevel="0" collapsed="false">
      <c r="A6" s="14" t="n">
        <v>5</v>
      </c>
      <c r="B6" s="14" t="s">
        <v>241</v>
      </c>
      <c r="C6" s="15" t="s">
        <v>242</v>
      </c>
      <c r="D6" s="15" t="s">
        <v>243</v>
      </c>
      <c r="E6" s="15" t="s">
        <v>244</v>
      </c>
      <c r="F6" s="14" t="n">
        <v>13</v>
      </c>
      <c r="G6" s="14" t="s">
        <v>1327</v>
      </c>
      <c r="H6" s="15" t="s">
        <v>1328</v>
      </c>
      <c r="I6" s="15" t="s">
        <v>246</v>
      </c>
    </row>
    <row r="7" customFormat="false" ht="15" hidden="false" customHeight="true" outlineLevel="0" collapsed="false">
      <c r="A7" s="14" t="n">
        <v>6</v>
      </c>
      <c r="B7" s="14" t="s">
        <v>256</v>
      </c>
      <c r="C7" s="15" t="s">
        <v>257</v>
      </c>
      <c r="D7" s="15" t="s">
        <v>258</v>
      </c>
      <c r="E7" s="15" t="s">
        <v>259</v>
      </c>
      <c r="F7" s="14" t="n">
        <v>27</v>
      </c>
      <c r="G7" s="14" t="s">
        <v>1329</v>
      </c>
      <c r="H7" s="15" t="s">
        <v>1328</v>
      </c>
      <c r="I7" s="15" t="s">
        <v>262</v>
      </c>
    </row>
    <row r="8" customFormat="false" ht="15" hidden="false" customHeight="true" outlineLevel="0" collapsed="false">
      <c r="A8" s="14" t="n">
        <v>7</v>
      </c>
      <c r="B8" s="14" t="s">
        <v>301</v>
      </c>
      <c r="C8" s="15" t="s">
        <v>302</v>
      </c>
      <c r="D8" s="15" t="s">
        <v>303</v>
      </c>
      <c r="E8" s="15" t="s">
        <v>304</v>
      </c>
      <c r="F8" s="14" t="n">
        <v>23</v>
      </c>
      <c r="G8" s="14" t="s">
        <v>1329</v>
      </c>
      <c r="H8" s="15" t="s">
        <v>1328</v>
      </c>
      <c r="I8" s="15" t="s">
        <v>306</v>
      </c>
    </row>
    <row r="9" customFormat="false" ht="23.25" hidden="false" customHeight="true" outlineLevel="0" collapsed="false">
      <c r="A9" s="14" t="n">
        <v>8</v>
      </c>
      <c r="B9" s="14" t="s">
        <v>339</v>
      </c>
      <c r="C9" s="15" t="s">
        <v>340</v>
      </c>
      <c r="D9" s="15" t="s">
        <v>341</v>
      </c>
      <c r="E9" s="15" t="s">
        <v>342</v>
      </c>
      <c r="F9" s="14" t="n">
        <v>31</v>
      </c>
      <c r="G9" s="14" t="s">
        <v>1327</v>
      </c>
      <c r="H9" s="15" t="s">
        <v>1328</v>
      </c>
      <c r="I9" s="15" t="s">
        <v>343</v>
      </c>
    </row>
    <row r="10" customFormat="false" ht="15" hidden="false" customHeight="true" outlineLevel="0" collapsed="false">
      <c r="A10" s="14" t="n">
        <v>9</v>
      </c>
      <c r="B10" s="14" t="s">
        <v>365</v>
      </c>
      <c r="C10" s="15" t="s">
        <v>366</v>
      </c>
      <c r="D10" s="15" t="s">
        <v>367</v>
      </c>
      <c r="E10" s="15" t="s">
        <v>368</v>
      </c>
      <c r="F10" s="14" t="n">
        <v>42</v>
      </c>
      <c r="G10" s="14" t="s">
        <v>1327</v>
      </c>
      <c r="H10" s="15" t="s">
        <v>1328</v>
      </c>
      <c r="I10" s="15" t="s">
        <v>370</v>
      </c>
    </row>
    <row r="11" customFormat="false" ht="23.25" hidden="false" customHeight="true" outlineLevel="0" collapsed="false">
      <c r="A11" s="14" t="n">
        <v>10</v>
      </c>
      <c r="B11" s="14" t="s">
        <v>412</v>
      </c>
      <c r="C11" s="15" t="s">
        <v>413</v>
      </c>
      <c r="D11" s="15" t="s">
        <v>414</v>
      </c>
      <c r="E11" s="15" t="s">
        <v>415</v>
      </c>
      <c r="F11" s="14" t="n">
        <v>23</v>
      </c>
      <c r="G11" s="14" t="s">
        <v>1327</v>
      </c>
      <c r="H11" s="15" t="s">
        <v>1328</v>
      </c>
      <c r="I11" s="15" t="s">
        <v>418</v>
      </c>
    </row>
    <row r="12" customFormat="false" ht="23.25" hidden="false" customHeight="true" outlineLevel="0" collapsed="false">
      <c r="A12" s="14" t="n">
        <v>11</v>
      </c>
      <c r="B12" s="14" t="s">
        <v>436</v>
      </c>
      <c r="C12" s="15" t="s">
        <v>302</v>
      </c>
      <c r="D12" s="15" t="s">
        <v>437</v>
      </c>
      <c r="E12" s="15" t="s">
        <v>438</v>
      </c>
      <c r="F12" s="14" t="n">
        <v>66</v>
      </c>
      <c r="G12" s="14" t="s">
        <v>1327</v>
      </c>
      <c r="H12" s="15" t="s">
        <v>1328</v>
      </c>
      <c r="I12" s="15" t="s">
        <v>439</v>
      </c>
    </row>
    <row r="13" customFormat="false" ht="15" hidden="false" customHeight="true" outlineLevel="0" collapsed="false">
      <c r="A13" s="14" t="n">
        <v>12</v>
      </c>
      <c r="B13" s="14" t="s">
        <v>488</v>
      </c>
      <c r="C13" s="15" t="s">
        <v>489</v>
      </c>
      <c r="D13" s="15" t="s">
        <v>490</v>
      </c>
      <c r="E13" s="15" t="s">
        <v>491</v>
      </c>
      <c r="F13" s="14" t="n">
        <v>37</v>
      </c>
      <c r="G13" s="14" t="s">
        <v>1329</v>
      </c>
      <c r="H13" s="15" t="s">
        <v>1328</v>
      </c>
      <c r="I13" s="15" t="s">
        <v>494</v>
      </c>
    </row>
    <row r="14" customFormat="false" ht="15" hidden="false" customHeight="true" outlineLevel="0" collapsed="false">
      <c r="A14" s="14" t="n">
        <v>13</v>
      </c>
      <c r="B14" s="14" t="s">
        <v>539</v>
      </c>
      <c r="C14" s="15" t="s">
        <v>540</v>
      </c>
      <c r="D14" s="15" t="s">
        <v>541</v>
      </c>
      <c r="E14" s="15" t="s">
        <v>542</v>
      </c>
      <c r="F14" s="14" t="n">
        <v>3</v>
      </c>
      <c r="G14" s="14" t="s">
        <v>1327</v>
      </c>
      <c r="H14" s="15" t="s">
        <v>1328</v>
      </c>
      <c r="I14" s="15" t="s">
        <v>544</v>
      </c>
    </row>
    <row r="15" customFormat="false" ht="34.5" hidden="false" customHeight="true" outlineLevel="0" collapsed="false">
      <c r="A15" s="14" t="n">
        <v>14</v>
      </c>
      <c r="B15" s="14" t="s">
        <v>547</v>
      </c>
      <c r="C15" s="15" t="s">
        <v>548</v>
      </c>
      <c r="D15" s="15" t="s">
        <v>549</v>
      </c>
      <c r="E15" s="15" t="s">
        <v>550</v>
      </c>
      <c r="F15" s="14" t="n">
        <v>14</v>
      </c>
      <c r="G15" s="14" t="s">
        <v>1331</v>
      </c>
      <c r="H15" s="15" t="s">
        <v>1328</v>
      </c>
      <c r="I15" s="15" t="s">
        <v>554</v>
      </c>
    </row>
    <row r="16" customFormat="false" ht="15" hidden="false" customHeight="true" outlineLevel="0" collapsed="false">
      <c r="A16" s="14" t="n">
        <v>15</v>
      </c>
      <c r="B16" s="14" t="s">
        <v>579</v>
      </c>
      <c r="C16" s="15" t="s">
        <v>340</v>
      </c>
      <c r="D16" s="15" t="s">
        <v>580</v>
      </c>
      <c r="E16" s="15" t="s">
        <v>581</v>
      </c>
      <c r="F16" s="14" t="n">
        <v>7</v>
      </c>
      <c r="G16" s="14" t="s">
        <v>1329</v>
      </c>
      <c r="H16" s="15" t="s">
        <v>1328</v>
      </c>
      <c r="I16" s="15" t="s">
        <v>246</v>
      </c>
    </row>
    <row r="17" customFormat="false" ht="23.25" hidden="false" customHeight="true" outlineLevel="0" collapsed="false">
      <c r="A17" s="14" t="n">
        <v>16</v>
      </c>
      <c r="B17" s="14" t="s">
        <v>592</v>
      </c>
      <c r="C17" s="15" t="s">
        <v>593</v>
      </c>
      <c r="D17" s="15" t="s">
        <v>594</v>
      </c>
      <c r="E17" s="15" t="s">
        <v>595</v>
      </c>
      <c r="F17" s="14" t="n">
        <v>5</v>
      </c>
      <c r="G17" s="14" t="s">
        <v>1329</v>
      </c>
      <c r="H17" s="15" t="s">
        <v>1328</v>
      </c>
      <c r="I17" s="15" t="s">
        <v>599</v>
      </c>
    </row>
    <row r="18" customFormat="false" ht="15" hidden="false" customHeight="true" outlineLevel="0" collapsed="false">
      <c r="A18" s="14" t="n">
        <v>17</v>
      </c>
      <c r="B18" s="14" t="s">
        <v>607</v>
      </c>
      <c r="C18" s="15" t="s">
        <v>489</v>
      </c>
      <c r="D18" s="15" t="s">
        <v>608</v>
      </c>
      <c r="E18" s="15" t="s">
        <v>609</v>
      </c>
      <c r="F18" s="14" t="n">
        <v>15</v>
      </c>
      <c r="G18" s="14" t="s">
        <v>1327</v>
      </c>
      <c r="H18" s="15" t="s">
        <v>1328</v>
      </c>
      <c r="I18" s="15" t="s">
        <v>246</v>
      </c>
    </row>
    <row r="19" customFormat="false" ht="23.25" hidden="false" customHeight="true" outlineLevel="0" collapsed="false">
      <c r="A19" s="14" t="n">
        <v>18</v>
      </c>
      <c r="B19" s="14" t="s">
        <v>618</v>
      </c>
      <c r="C19" s="15" t="s">
        <v>302</v>
      </c>
      <c r="D19" s="15" t="s">
        <v>619</v>
      </c>
      <c r="E19" s="15" t="s">
        <v>620</v>
      </c>
      <c r="F19" s="14" t="n">
        <v>9</v>
      </c>
      <c r="G19" s="14" t="s">
        <v>1327</v>
      </c>
      <c r="H19" s="15" t="s">
        <v>1328</v>
      </c>
      <c r="I19" s="15" t="s">
        <v>622</v>
      </c>
    </row>
    <row r="20" customFormat="false" ht="23.25" hidden="false" customHeight="true" outlineLevel="0" collapsed="false">
      <c r="A20" s="14" t="n">
        <v>19</v>
      </c>
      <c r="B20" s="14" t="s">
        <v>628</v>
      </c>
      <c r="C20" s="15" t="s">
        <v>302</v>
      </c>
      <c r="D20" s="15" t="s">
        <v>629</v>
      </c>
      <c r="E20" s="15" t="s">
        <v>630</v>
      </c>
      <c r="F20" s="14" t="n">
        <v>32</v>
      </c>
      <c r="G20" s="14" t="s">
        <v>1327</v>
      </c>
      <c r="H20" s="15" t="s">
        <v>1328</v>
      </c>
      <c r="I20" s="15" t="s">
        <v>246</v>
      </c>
    </row>
    <row r="21" customFormat="false" ht="45.75" hidden="false" customHeight="true" outlineLevel="0" collapsed="false">
      <c r="A21" s="14" t="n">
        <v>20</v>
      </c>
      <c r="B21" s="14" t="s">
        <v>649</v>
      </c>
      <c r="C21" s="15" t="s">
        <v>650</v>
      </c>
      <c r="D21" s="15" t="s">
        <v>651</v>
      </c>
      <c r="E21" s="15" t="s">
        <v>652</v>
      </c>
      <c r="F21" s="14" t="n">
        <v>18</v>
      </c>
      <c r="G21" s="14" t="s">
        <v>1329</v>
      </c>
      <c r="H21" s="15" t="s">
        <v>1328</v>
      </c>
      <c r="I21" s="15" t="s">
        <v>654</v>
      </c>
    </row>
    <row r="22" customFormat="false" ht="23.25" hidden="false" customHeight="true" outlineLevel="0" collapsed="false">
      <c r="A22" s="14" t="n">
        <v>21</v>
      </c>
      <c r="B22" s="14" t="s">
        <v>680</v>
      </c>
      <c r="C22" s="15" t="s">
        <v>302</v>
      </c>
      <c r="D22" s="15" t="s">
        <v>681</v>
      </c>
      <c r="E22" s="15" t="s">
        <v>682</v>
      </c>
      <c r="F22" s="14" t="n">
        <v>17</v>
      </c>
      <c r="G22" s="14" t="s">
        <v>1329</v>
      </c>
      <c r="H22" s="15" t="s">
        <v>1328</v>
      </c>
      <c r="I22" s="15" t="s">
        <v>246</v>
      </c>
    </row>
    <row r="23" customFormat="false" ht="23.25" hidden="false" customHeight="true" outlineLevel="0" collapsed="false">
      <c r="A23" s="14" t="n">
        <v>22</v>
      </c>
      <c r="B23" s="14" t="s">
        <v>693</v>
      </c>
      <c r="C23" s="15" t="s">
        <v>302</v>
      </c>
      <c r="D23" s="15" t="s">
        <v>694</v>
      </c>
      <c r="E23" s="15" t="s">
        <v>695</v>
      </c>
      <c r="F23" s="14" t="n">
        <v>23</v>
      </c>
      <c r="G23" s="14" t="s">
        <v>1327</v>
      </c>
      <c r="H23" s="15" t="s">
        <v>1328</v>
      </c>
      <c r="I23" s="15" t="s">
        <v>698</v>
      </c>
    </row>
    <row r="24" customFormat="false" ht="34.5" hidden="false" customHeight="true" outlineLevel="0" collapsed="false">
      <c r="A24" s="14" t="n">
        <v>23</v>
      </c>
      <c r="B24" s="14" t="s">
        <v>711</v>
      </c>
      <c r="C24" s="15" t="s">
        <v>712</v>
      </c>
      <c r="D24" s="15" t="s">
        <v>713</v>
      </c>
      <c r="E24" s="15" t="s">
        <v>714</v>
      </c>
      <c r="F24" s="14" t="n">
        <v>31</v>
      </c>
      <c r="G24" s="14" t="s">
        <v>1329</v>
      </c>
      <c r="H24" s="15" t="s">
        <v>1328</v>
      </c>
      <c r="I24" s="15" t="s">
        <v>717</v>
      </c>
    </row>
    <row r="25" customFormat="false" ht="23.25" hidden="false" customHeight="true" outlineLevel="0" collapsed="false">
      <c r="A25" s="14" t="n">
        <v>24</v>
      </c>
      <c r="B25" s="14" t="s">
        <v>1332</v>
      </c>
      <c r="C25" s="15" t="s">
        <v>1333</v>
      </c>
      <c r="D25" s="15" t="s">
        <v>1334</v>
      </c>
      <c r="E25" s="15" t="s">
        <v>757</v>
      </c>
      <c r="F25" s="14" t="n">
        <v>9</v>
      </c>
      <c r="G25" s="14" t="s">
        <v>1329</v>
      </c>
      <c r="H25" s="15" t="s">
        <v>1335</v>
      </c>
      <c r="I25" s="15" t="s">
        <v>1336</v>
      </c>
    </row>
    <row r="26" customFormat="false" ht="15" hidden="false" customHeight="true" outlineLevel="0" collapsed="false">
      <c r="A26" s="14" t="n">
        <v>25</v>
      </c>
      <c r="B26" s="14" t="s">
        <v>770</v>
      </c>
      <c r="C26" s="15" t="s">
        <v>771</v>
      </c>
      <c r="D26" s="15" t="s">
        <v>772</v>
      </c>
      <c r="E26" s="15" t="s">
        <v>773</v>
      </c>
      <c r="F26" s="14" t="n">
        <v>54</v>
      </c>
      <c r="G26" s="14" t="s">
        <v>1329</v>
      </c>
      <c r="H26" s="15" t="s">
        <v>1328</v>
      </c>
      <c r="I26" s="15" t="s">
        <v>246</v>
      </c>
    </row>
    <row r="27" customFormat="false" ht="23.25" hidden="false" customHeight="true" outlineLevel="0" collapsed="false">
      <c r="A27" s="14" t="n">
        <v>26</v>
      </c>
      <c r="B27" s="14" t="s">
        <v>844</v>
      </c>
      <c r="C27" s="15" t="s">
        <v>845</v>
      </c>
      <c r="D27" s="15" t="s">
        <v>846</v>
      </c>
      <c r="E27" s="15" t="s">
        <v>847</v>
      </c>
      <c r="F27" s="14" t="n">
        <v>37</v>
      </c>
      <c r="G27" s="14" t="s">
        <v>1329</v>
      </c>
      <c r="H27" s="15" t="s">
        <v>1328</v>
      </c>
      <c r="I27" s="15" t="s">
        <v>246</v>
      </c>
    </row>
    <row r="28" customFormat="false" ht="23.25" hidden="false" customHeight="true" outlineLevel="0" collapsed="false">
      <c r="A28" s="14" t="n">
        <v>27</v>
      </c>
      <c r="B28" s="14" t="s">
        <v>878</v>
      </c>
      <c r="C28" s="15" t="s">
        <v>879</v>
      </c>
      <c r="D28" s="15" t="s">
        <v>880</v>
      </c>
      <c r="E28" s="15" t="s">
        <v>881</v>
      </c>
      <c r="F28" s="14" t="n">
        <v>34</v>
      </c>
      <c r="G28" s="14" t="s">
        <v>1331</v>
      </c>
      <c r="H28" s="15" t="s">
        <v>1328</v>
      </c>
      <c r="I28" s="15" t="s">
        <v>246</v>
      </c>
    </row>
    <row r="29" customFormat="false" ht="15" hidden="false" customHeight="true" outlineLevel="0" collapsed="false">
      <c r="A29" s="14" t="n">
        <v>28</v>
      </c>
      <c r="B29" s="14" t="s">
        <v>926</v>
      </c>
      <c r="C29" s="15" t="s">
        <v>927</v>
      </c>
      <c r="D29" s="15" t="s">
        <v>928</v>
      </c>
      <c r="E29" s="15" t="s">
        <v>929</v>
      </c>
      <c r="F29" s="14" t="n">
        <v>13</v>
      </c>
      <c r="G29" s="14" t="s">
        <v>1327</v>
      </c>
      <c r="H29" s="15" t="s">
        <v>1328</v>
      </c>
      <c r="I29" s="15" t="s">
        <v>246</v>
      </c>
    </row>
    <row r="30" customFormat="false" ht="23.25" hidden="false" customHeight="true" outlineLevel="0" collapsed="false">
      <c r="A30" s="14" t="n">
        <v>29</v>
      </c>
      <c r="B30" s="14" t="s">
        <v>938</v>
      </c>
      <c r="C30" s="15" t="s">
        <v>939</v>
      </c>
      <c r="D30" s="15" t="s">
        <v>940</v>
      </c>
      <c r="E30" s="15" t="s">
        <v>941</v>
      </c>
      <c r="F30" s="14" t="n">
        <v>21</v>
      </c>
      <c r="G30" s="14" t="s">
        <v>1327</v>
      </c>
      <c r="H30" s="15" t="s">
        <v>1328</v>
      </c>
      <c r="I30" s="15" t="s">
        <v>246</v>
      </c>
    </row>
    <row r="31" customFormat="false" ht="23.25" hidden="false" customHeight="true" outlineLevel="0" collapsed="false">
      <c r="A31" s="14" t="n">
        <v>30</v>
      </c>
      <c r="B31" s="14" t="s">
        <v>950</v>
      </c>
      <c r="C31" s="15" t="s">
        <v>951</v>
      </c>
      <c r="D31" s="15" t="s">
        <v>952</v>
      </c>
      <c r="E31" s="15" t="s">
        <v>953</v>
      </c>
      <c r="F31" s="14" t="n">
        <v>6</v>
      </c>
      <c r="G31" s="14" t="s">
        <v>1327</v>
      </c>
      <c r="H31" s="15" t="s">
        <v>1328</v>
      </c>
      <c r="I31" s="15" t="s">
        <v>246</v>
      </c>
    </row>
    <row r="32" customFormat="false" ht="15" hidden="false" customHeight="true" outlineLevel="0" collapsed="false">
      <c r="A32" s="14" t="n">
        <v>31</v>
      </c>
      <c r="B32" s="14" t="s">
        <v>959</v>
      </c>
      <c r="C32" s="15" t="s">
        <v>960</v>
      </c>
      <c r="D32" s="15" t="s">
        <v>961</v>
      </c>
      <c r="E32" s="15" t="s">
        <v>962</v>
      </c>
      <c r="F32" s="14" t="n">
        <v>8</v>
      </c>
      <c r="G32" s="14" t="s">
        <v>1329</v>
      </c>
      <c r="H32" s="15" t="s">
        <v>1328</v>
      </c>
      <c r="I32" s="15" t="s">
        <v>246</v>
      </c>
    </row>
    <row r="33" customFormat="false" ht="15" hidden="false" customHeight="true" outlineLevel="0" collapsed="false">
      <c r="A33" s="14" t="n">
        <v>32</v>
      </c>
      <c r="B33" s="14" t="s">
        <v>971</v>
      </c>
      <c r="C33" s="15" t="s">
        <v>489</v>
      </c>
      <c r="D33" s="15" t="s">
        <v>972</v>
      </c>
      <c r="E33" s="15" t="s">
        <v>973</v>
      </c>
      <c r="F33" s="14" t="n">
        <v>7</v>
      </c>
      <c r="G33" s="14" t="s">
        <v>1329</v>
      </c>
      <c r="H33" s="15" t="s">
        <v>1328</v>
      </c>
      <c r="I33" s="15" t="s">
        <v>246</v>
      </c>
    </row>
    <row r="34" customFormat="false" ht="34.5" hidden="false" customHeight="true" outlineLevel="0" collapsed="false">
      <c r="A34" s="14" t="n">
        <v>33</v>
      </c>
      <c r="B34" s="14" t="s">
        <v>980</v>
      </c>
      <c r="C34" s="15" t="s">
        <v>981</v>
      </c>
      <c r="D34" s="15" t="s">
        <v>982</v>
      </c>
      <c r="E34" s="15" t="s">
        <v>983</v>
      </c>
      <c r="F34" s="14" t="n">
        <v>14</v>
      </c>
      <c r="G34" s="14" t="s">
        <v>1327</v>
      </c>
      <c r="H34" s="15" t="s">
        <v>1328</v>
      </c>
      <c r="I34" s="15" t="s">
        <v>246</v>
      </c>
    </row>
    <row r="35" customFormat="false" ht="15" hidden="false" customHeight="true" outlineLevel="0" collapsed="false">
      <c r="A35" s="14" t="n">
        <v>34</v>
      </c>
      <c r="B35" s="14" t="s">
        <v>993</v>
      </c>
      <c r="C35" s="15" t="s">
        <v>489</v>
      </c>
      <c r="D35" s="15" t="s">
        <v>994</v>
      </c>
      <c r="E35" s="15" t="s">
        <v>995</v>
      </c>
      <c r="F35" s="14" t="n">
        <v>31</v>
      </c>
      <c r="G35" s="14" t="s">
        <v>1327</v>
      </c>
      <c r="H35" s="15" t="s">
        <v>1328</v>
      </c>
      <c r="I35" s="15" t="s">
        <v>246</v>
      </c>
    </row>
    <row r="36" customFormat="false" ht="34.5" hidden="false" customHeight="true" outlineLevel="0" collapsed="false">
      <c r="A36" s="14" t="n">
        <v>35</v>
      </c>
      <c r="B36" s="14" t="s">
        <v>1010</v>
      </c>
      <c r="C36" s="15" t="s">
        <v>1011</v>
      </c>
      <c r="D36" s="15" t="s">
        <v>1012</v>
      </c>
      <c r="E36" s="15" t="s">
        <v>1013</v>
      </c>
      <c r="F36" s="14" t="n">
        <v>32</v>
      </c>
      <c r="G36" s="14" t="s">
        <v>1327</v>
      </c>
      <c r="H36" s="15" t="s">
        <v>1328</v>
      </c>
      <c r="I36" s="15" t="s">
        <v>1014</v>
      </c>
    </row>
    <row r="37" customFormat="false" ht="15" hidden="false" customHeight="true" outlineLevel="0" collapsed="false">
      <c r="A37" s="14" t="n">
        <v>36</v>
      </c>
      <c r="B37" s="14" t="s">
        <v>1031</v>
      </c>
      <c r="C37" s="15" t="s">
        <v>242</v>
      </c>
      <c r="D37" s="15" t="s">
        <v>1032</v>
      </c>
      <c r="E37" s="15" t="s">
        <v>1033</v>
      </c>
      <c r="F37" s="14" t="n">
        <v>8</v>
      </c>
      <c r="G37" s="14" t="s">
        <v>1329</v>
      </c>
      <c r="H37" s="15" t="s">
        <v>1328</v>
      </c>
      <c r="I37" s="15" t="s">
        <v>1036</v>
      </c>
    </row>
    <row r="38" customFormat="false" ht="23.25" hidden="false" customHeight="true" outlineLevel="0" collapsed="false">
      <c r="A38" s="14" t="n">
        <v>37</v>
      </c>
      <c r="B38" s="14" t="s">
        <v>1041</v>
      </c>
      <c r="C38" s="15" t="s">
        <v>1042</v>
      </c>
      <c r="D38" s="15" t="s">
        <v>1043</v>
      </c>
      <c r="E38" s="15" t="s">
        <v>1044</v>
      </c>
      <c r="F38" s="14" t="n">
        <v>42</v>
      </c>
      <c r="G38" s="14" t="s">
        <v>1331</v>
      </c>
      <c r="H38" s="15" t="s">
        <v>1328</v>
      </c>
      <c r="I38" s="15" t="s">
        <v>246</v>
      </c>
    </row>
    <row r="39" customFormat="false" ht="23.25" hidden="false" customHeight="true" outlineLevel="0" collapsed="false">
      <c r="A39" s="14" t="n">
        <v>38</v>
      </c>
      <c r="B39" s="14" t="s">
        <v>1096</v>
      </c>
      <c r="C39" s="15" t="s">
        <v>302</v>
      </c>
      <c r="D39" s="15" t="s">
        <v>1097</v>
      </c>
      <c r="E39" s="15" t="s">
        <v>1098</v>
      </c>
      <c r="F39" s="14" t="n">
        <v>52</v>
      </c>
      <c r="G39" s="14" t="s">
        <v>1327</v>
      </c>
      <c r="H39" s="15" t="s">
        <v>1328</v>
      </c>
      <c r="I39" s="15" t="s">
        <v>246</v>
      </c>
    </row>
    <row r="40" customFormat="false" ht="34.5" hidden="false" customHeight="true" outlineLevel="0" collapsed="false">
      <c r="A40" s="14" t="n">
        <v>39</v>
      </c>
      <c r="B40" s="14" t="s">
        <v>1131</v>
      </c>
      <c r="C40" s="15" t="s">
        <v>1132</v>
      </c>
      <c r="D40" s="15" t="s">
        <v>1133</v>
      </c>
      <c r="E40" s="15" t="s">
        <v>1134</v>
      </c>
      <c r="F40" s="14" t="n">
        <v>40</v>
      </c>
      <c r="G40" s="14" t="s">
        <v>1331</v>
      </c>
      <c r="H40" s="15" t="s">
        <v>1328</v>
      </c>
      <c r="I40" s="15" t="s">
        <v>1136</v>
      </c>
    </row>
    <row r="41" customFormat="false" ht="23.25" hidden="false" customHeight="true" outlineLevel="0" collapsed="false">
      <c r="A41" s="14" t="n">
        <v>40</v>
      </c>
      <c r="B41" s="14" t="s">
        <v>1180</v>
      </c>
      <c r="C41" s="15" t="s">
        <v>1181</v>
      </c>
      <c r="D41" s="15" t="s">
        <v>1182</v>
      </c>
      <c r="E41" s="15" t="s">
        <v>1183</v>
      </c>
      <c r="F41" s="14" t="n">
        <v>34</v>
      </c>
      <c r="G41" s="14" t="s">
        <v>1327</v>
      </c>
      <c r="H41" s="15" t="s">
        <v>1328</v>
      </c>
      <c r="I41" s="15" t="s">
        <v>1185</v>
      </c>
    </row>
    <row r="42" customFormat="false" ht="15" hidden="false" customHeight="true" outlineLevel="0" collapsed="false">
      <c r="A42" s="14" t="n">
        <v>41</v>
      </c>
      <c r="B42" s="14" t="s">
        <v>1215</v>
      </c>
      <c r="C42" s="15" t="s">
        <v>1216</v>
      </c>
      <c r="D42" s="15" t="s">
        <v>1217</v>
      </c>
      <c r="E42" s="15" t="s">
        <v>1218</v>
      </c>
      <c r="F42" s="14" t="n">
        <v>16</v>
      </c>
      <c r="G42" s="14" t="s">
        <v>1327</v>
      </c>
      <c r="H42" s="15" t="s">
        <v>1328</v>
      </c>
      <c r="I42" s="15" t="s">
        <v>246</v>
      </c>
    </row>
    <row r="43" customFormat="false" ht="15" hidden="false" customHeight="true" outlineLevel="0" collapsed="false">
      <c r="A43" s="14" t="n">
        <v>42</v>
      </c>
      <c r="B43" s="14" t="s">
        <v>1227</v>
      </c>
      <c r="C43" s="15" t="s">
        <v>302</v>
      </c>
      <c r="D43" s="15" t="s">
        <v>1228</v>
      </c>
      <c r="E43" s="15" t="s">
        <v>1229</v>
      </c>
      <c r="F43" s="14" t="n">
        <v>35</v>
      </c>
      <c r="G43" s="14" t="s">
        <v>1327</v>
      </c>
      <c r="H43" s="15" t="s">
        <v>1328</v>
      </c>
      <c r="I43" s="15" t="s">
        <v>1230</v>
      </c>
    </row>
    <row r="44" customFormat="false" ht="23.25" hidden="false" customHeight="true" outlineLevel="0" collapsed="false">
      <c r="A44" s="14" t="n">
        <v>43</v>
      </c>
      <c r="B44" s="14" t="s">
        <v>1246</v>
      </c>
      <c r="C44" s="15" t="s">
        <v>1247</v>
      </c>
      <c r="D44" s="15" t="s">
        <v>1248</v>
      </c>
      <c r="E44" s="15" t="s">
        <v>1249</v>
      </c>
      <c r="F44" s="14" t="n">
        <v>23</v>
      </c>
      <c r="G44" s="14" t="s">
        <v>1329</v>
      </c>
      <c r="H44" s="15" t="s">
        <v>1328</v>
      </c>
      <c r="I44" s="15" t="s">
        <v>1251</v>
      </c>
    </row>
    <row r="45" customFormat="false" ht="23.25" hidden="false" customHeight="true" outlineLevel="0" collapsed="false">
      <c r="A45" s="14" t="n">
        <v>44</v>
      </c>
      <c r="B45" s="14" t="s">
        <v>1261</v>
      </c>
      <c r="C45" s="15" t="s">
        <v>1262</v>
      </c>
      <c r="D45" s="15" t="s">
        <v>1263</v>
      </c>
      <c r="E45" s="15" t="s">
        <v>1264</v>
      </c>
      <c r="F45" s="14" t="n">
        <v>27</v>
      </c>
      <c r="G45" s="14" t="s">
        <v>1327</v>
      </c>
      <c r="H45" s="15" t="s">
        <v>1328</v>
      </c>
      <c r="I45" s="15" t="s">
        <v>246</v>
      </c>
    </row>
    <row r="46" customFormat="false" ht="15" hidden="false" customHeight="true" outlineLevel="0" collapsed="false">
      <c r="A46" s="14" t="n">
        <v>45</v>
      </c>
      <c r="B46" s="14" t="s">
        <v>1278</v>
      </c>
      <c r="C46" s="15" t="s">
        <v>960</v>
      </c>
      <c r="D46" s="15" t="s">
        <v>1279</v>
      </c>
      <c r="E46" s="15" t="s">
        <v>1280</v>
      </c>
      <c r="F46" s="14" t="n">
        <v>20</v>
      </c>
      <c r="G46" s="14" t="s">
        <v>1327</v>
      </c>
      <c r="H46" s="15" t="s">
        <v>1328</v>
      </c>
      <c r="I46" s="15" t="s">
        <v>1281</v>
      </c>
    </row>
    <row r="47" customFormat="false" ht="34.5" hidden="false" customHeight="true" outlineLevel="0" collapsed="false">
      <c r="A47" s="14" t="n">
        <v>46</v>
      </c>
      <c r="B47" s="14" t="s">
        <v>1337</v>
      </c>
      <c r="C47" s="15"/>
      <c r="D47" s="15" t="s">
        <v>1338</v>
      </c>
      <c r="E47" s="15" t="s">
        <v>1339</v>
      </c>
      <c r="F47" s="14"/>
      <c r="G47" s="15" t="s">
        <v>1340</v>
      </c>
      <c r="H47" s="15" t="s">
        <v>1341</v>
      </c>
      <c r="I47" s="15" t="s">
        <v>246</v>
      </c>
    </row>
    <row r="48" customFormat="false" ht="23.25" hidden="false" customHeight="true" outlineLevel="0" collapsed="false">
      <c r="A48" s="14" t="n">
        <v>47</v>
      </c>
      <c r="B48" s="14" t="s">
        <v>1342</v>
      </c>
      <c r="C48" s="15"/>
      <c r="D48" s="15" t="s">
        <v>1343</v>
      </c>
      <c r="E48" s="15" t="s">
        <v>1344</v>
      </c>
      <c r="F48" s="14"/>
      <c r="G48" s="15" t="s">
        <v>1340</v>
      </c>
      <c r="H48" s="15" t="s">
        <v>1341</v>
      </c>
      <c r="I48" s="15" t="s">
        <v>1345</v>
      </c>
    </row>
    <row r="49" customFormat="false" ht="23.25" hidden="false" customHeight="true" outlineLevel="0" collapsed="false">
      <c r="A49" s="14" t="n">
        <v>48</v>
      </c>
      <c r="B49" s="14" t="s">
        <v>1346</v>
      </c>
      <c r="C49" s="15"/>
      <c r="D49" s="15" t="s">
        <v>1347</v>
      </c>
      <c r="E49" s="15" t="s">
        <v>1348</v>
      </c>
      <c r="F49" s="14"/>
      <c r="G49" s="15" t="s">
        <v>1340</v>
      </c>
      <c r="H49" s="15" t="s">
        <v>1341</v>
      </c>
      <c r="I49" s="15" t="s">
        <v>246</v>
      </c>
    </row>
    <row r="50" customFormat="false" ht="23.25" hidden="false" customHeight="true" outlineLevel="0" collapsed="false">
      <c r="A50" s="14" t="n">
        <v>49</v>
      </c>
      <c r="B50" s="14" t="s">
        <v>1349</v>
      </c>
      <c r="C50" s="15"/>
      <c r="D50" s="15" t="s">
        <v>1350</v>
      </c>
      <c r="E50" s="15" t="s">
        <v>1351</v>
      </c>
      <c r="F50" s="14"/>
      <c r="G50" s="15" t="s">
        <v>1340</v>
      </c>
      <c r="H50" s="15" t="s">
        <v>1341</v>
      </c>
      <c r="I50" s="15" t="s">
        <v>1352</v>
      </c>
    </row>
    <row r="51" customFormat="false" ht="23.25" hidden="false" customHeight="true" outlineLevel="0" collapsed="false">
      <c r="A51" s="14" t="n">
        <v>50</v>
      </c>
      <c r="B51" s="14" t="s">
        <v>1353</v>
      </c>
      <c r="C51" s="15"/>
      <c r="D51" s="15" t="s">
        <v>1354</v>
      </c>
      <c r="E51" s="15" t="s">
        <v>1355</v>
      </c>
      <c r="F51" s="14"/>
      <c r="G51" s="15" t="s">
        <v>1330</v>
      </c>
      <c r="H51" s="15" t="s">
        <v>1341</v>
      </c>
      <c r="I51" s="15" t="s">
        <v>1356</v>
      </c>
    </row>
    <row r="52" customFormat="false" ht="23.25" hidden="false" customHeight="true" outlineLevel="0" collapsed="false">
      <c r="A52" s="14" t="n">
        <v>51</v>
      </c>
      <c r="B52" s="14" t="s">
        <v>1357</v>
      </c>
      <c r="C52" s="15"/>
      <c r="D52" s="15" t="s">
        <v>1358</v>
      </c>
      <c r="E52" s="15" t="s">
        <v>1359</v>
      </c>
      <c r="F52" s="14"/>
      <c r="G52" s="15" t="s">
        <v>1340</v>
      </c>
      <c r="H52" s="15" t="s">
        <v>1341</v>
      </c>
      <c r="I52" s="15" t="s">
        <v>246</v>
      </c>
    </row>
    <row r="53" customFormat="false" ht="34.5" hidden="false" customHeight="true" outlineLevel="0" collapsed="false">
      <c r="A53" s="14" t="n">
        <v>52</v>
      </c>
      <c r="B53" s="14" t="s">
        <v>1360</v>
      </c>
      <c r="C53" s="15"/>
      <c r="D53" s="15" t="s">
        <v>1361</v>
      </c>
      <c r="E53" s="15" t="s">
        <v>1362</v>
      </c>
      <c r="F53" s="14"/>
      <c r="G53" s="15" t="s">
        <v>1363</v>
      </c>
      <c r="H53" s="15" t="s">
        <v>1341</v>
      </c>
      <c r="I53" s="15" t="s">
        <v>1364</v>
      </c>
    </row>
    <row r="54" customFormat="false" ht="23.25" hidden="false" customHeight="true" outlineLevel="0" collapsed="false">
      <c r="A54" s="14" t="n">
        <v>53</v>
      </c>
      <c r="B54" s="14" t="s">
        <v>1365</v>
      </c>
      <c r="C54" s="15"/>
      <c r="D54" s="15" t="s">
        <v>1366</v>
      </c>
      <c r="E54" s="15" t="s">
        <v>1367</v>
      </c>
      <c r="F54" s="14"/>
      <c r="G54" s="15" t="s">
        <v>1340</v>
      </c>
      <c r="H54" s="15" t="s">
        <v>1341</v>
      </c>
      <c r="I54" s="15" t="s">
        <v>1368</v>
      </c>
    </row>
    <row r="55" customFormat="false" ht="23.25" hidden="false" customHeight="true" outlineLevel="0" collapsed="false">
      <c r="A55" s="14" t="n">
        <v>54</v>
      </c>
      <c r="B55" s="14" t="s">
        <v>1369</v>
      </c>
      <c r="C55" s="15"/>
      <c r="D55" s="15" t="s">
        <v>1370</v>
      </c>
      <c r="E55" s="15" t="s">
        <v>1371</v>
      </c>
      <c r="F55" s="14"/>
      <c r="G55" s="15" t="s">
        <v>1340</v>
      </c>
      <c r="H55" s="15" t="s">
        <v>1341</v>
      </c>
      <c r="I55" s="15" t="s">
        <v>246</v>
      </c>
    </row>
    <row r="56" customFormat="false" ht="23.25" hidden="false" customHeight="true" outlineLevel="0" collapsed="false">
      <c r="A56" s="14" t="n">
        <v>55</v>
      </c>
      <c r="B56" s="14" t="s">
        <v>1372</v>
      </c>
      <c r="C56" s="15"/>
      <c r="D56" s="15" t="s">
        <v>1373</v>
      </c>
      <c r="E56" s="15" t="s">
        <v>1374</v>
      </c>
      <c r="F56" s="14"/>
      <c r="G56" s="15" t="s">
        <v>1340</v>
      </c>
      <c r="H56" s="15" t="s">
        <v>1341</v>
      </c>
      <c r="I56" s="15" t="s">
        <v>246</v>
      </c>
    </row>
    <row r="57" customFormat="false" ht="23.25" hidden="false" customHeight="true" outlineLevel="0" collapsed="false">
      <c r="A57" s="14" t="n">
        <v>56</v>
      </c>
      <c r="B57" s="14" t="s">
        <v>1375</v>
      </c>
      <c r="C57" s="15"/>
      <c r="D57" s="15" t="s">
        <v>1376</v>
      </c>
      <c r="E57" s="15" t="s">
        <v>1377</v>
      </c>
      <c r="F57" s="14"/>
      <c r="G57" s="15" t="s">
        <v>1340</v>
      </c>
      <c r="H57" s="15" t="s">
        <v>1341</v>
      </c>
      <c r="I57" s="15" t="s">
        <v>246</v>
      </c>
    </row>
    <row r="58" customFormat="false" ht="23.25" hidden="false" customHeight="true" outlineLevel="0" collapsed="false">
      <c r="A58" s="14" t="n">
        <v>57</v>
      </c>
      <c r="B58" s="14" t="s">
        <v>1378</v>
      </c>
      <c r="C58" s="15"/>
      <c r="D58" s="15" t="s">
        <v>1379</v>
      </c>
      <c r="E58" s="15" t="s">
        <v>1380</v>
      </c>
      <c r="F58" s="14"/>
      <c r="G58" s="15" t="s">
        <v>1381</v>
      </c>
      <c r="H58" s="15" t="s">
        <v>1341</v>
      </c>
      <c r="I58" s="15" t="s">
        <v>1382</v>
      </c>
    </row>
    <row r="59" customFormat="false" ht="34.5" hidden="false" customHeight="true" outlineLevel="0" collapsed="false">
      <c r="A59" s="14" t="n">
        <v>58</v>
      </c>
      <c r="B59" s="14" t="s">
        <v>1383</v>
      </c>
      <c r="C59" s="15"/>
      <c r="D59" s="15" t="s">
        <v>1384</v>
      </c>
      <c r="E59" s="15" t="s">
        <v>1385</v>
      </c>
      <c r="F59" s="14"/>
      <c r="G59" s="15" t="s">
        <v>1381</v>
      </c>
      <c r="H59" s="15" t="s">
        <v>1341</v>
      </c>
      <c r="I59" s="15" t="s">
        <v>1386</v>
      </c>
    </row>
    <row r="60" customFormat="false" ht="23.25" hidden="false" customHeight="true" outlineLevel="0" collapsed="false">
      <c r="A60" s="14" t="n">
        <v>59</v>
      </c>
      <c r="B60" s="14" t="s">
        <v>1387</v>
      </c>
      <c r="C60" s="15"/>
      <c r="D60" s="15" t="s">
        <v>1388</v>
      </c>
      <c r="E60" s="15" t="s">
        <v>1389</v>
      </c>
      <c r="F60" s="14"/>
      <c r="G60" s="15" t="s">
        <v>1340</v>
      </c>
      <c r="H60" s="15" t="s">
        <v>1341</v>
      </c>
      <c r="I60" s="15" t="s">
        <v>1390</v>
      </c>
    </row>
    <row r="61" customFormat="false" ht="23.25" hidden="false" customHeight="true" outlineLevel="0" collapsed="false">
      <c r="A61" s="14" t="n">
        <v>60</v>
      </c>
      <c r="B61" s="14" t="s">
        <v>1391</v>
      </c>
      <c r="C61" s="15"/>
      <c r="D61" s="15" t="s">
        <v>1392</v>
      </c>
      <c r="E61" s="15" t="s">
        <v>1393</v>
      </c>
      <c r="F61" s="14"/>
      <c r="G61" s="15" t="s">
        <v>1381</v>
      </c>
      <c r="H61" s="15" t="s">
        <v>1341</v>
      </c>
      <c r="I61" s="15" t="s">
        <v>1394</v>
      </c>
    </row>
    <row r="62" customFormat="false" ht="23.25" hidden="false" customHeight="true" outlineLevel="0" collapsed="false">
      <c r="A62" s="14" t="n">
        <v>61</v>
      </c>
      <c r="B62" s="14" t="s">
        <v>1395</v>
      </c>
      <c r="C62" s="15"/>
      <c r="D62" s="15" t="s">
        <v>1396</v>
      </c>
      <c r="E62" s="15" t="s">
        <v>1397</v>
      </c>
      <c r="F62" s="14"/>
      <c r="G62" s="15" t="s">
        <v>1381</v>
      </c>
      <c r="H62" s="15" t="s">
        <v>1341</v>
      </c>
      <c r="I62" s="15" t="s">
        <v>1398</v>
      </c>
    </row>
    <row r="63" customFormat="false" ht="23.25" hidden="false" customHeight="true" outlineLevel="0" collapsed="false">
      <c r="A63" s="14" t="n">
        <v>62</v>
      </c>
      <c r="B63" s="14" t="s">
        <v>1399</v>
      </c>
      <c r="C63" s="15"/>
      <c r="D63" s="15" t="s">
        <v>1400</v>
      </c>
      <c r="E63" s="15" t="s">
        <v>1401</v>
      </c>
      <c r="F63" s="14"/>
      <c r="G63" s="15" t="s">
        <v>1340</v>
      </c>
      <c r="H63" s="15" t="s">
        <v>1341</v>
      </c>
      <c r="I63" s="15" t="s">
        <v>1402</v>
      </c>
    </row>
    <row r="64" customFormat="false" ht="23.25" hidden="false" customHeight="true" outlineLevel="0" collapsed="false">
      <c r="A64" s="14" t="n">
        <v>63</v>
      </c>
      <c r="B64" s="14" t="s">
        <v>1403</v>
      </c>
      <c r="C64" s="15"/>
      <c r="D64" s="15" t="s">
        <v>1404</v>
      </c>
      <c r="E64" s="15" t="s">
        <v>1405</v>
      </c>
      <c r="F64" s="14"/>
      <c r="G64" s="15" t="s">
        <v>1340</v>
      </c>
      <c r="H64" s="15" t="s">
        <v>1341</v>
      </c>
      <c r="I64" s="15" t="s">
        <v>246</v>
      </c>
    </row>
    <row r="65" customFormat="false" ht="23.25" hidden="false" customHeight="true" outlineLevel="0" collapsed="false">
      <c r="A65" s="14" t="n">
        <v>64</v>
      </c>
      <c r="B65" s="14" t="s">
        <v>1406</v>
      </c>
      <c r="C65" s="15"/>
      <c r="D65" s="15" t="s">
        <v>1407</v>
      </c>
      <c r="E65" s="15" t="s">
        <v>1408</v>
      </c>
      <c r="F65" s="14"/>
      <c r="G65" s="15" t="s">
        <v>1381</v>
      </c>
      <c r="H65" s="15" t="s">
        <v>1341</v>
      </c>
      <c r="I65" s="15" t="s">
        <v>246</v>
      </c>
    </row>
    <row r="66" customFormat="false" ht="23.25" hidden="false" customHeight="true" outlineLevel="0" collapsed="false">
      <c r="A66" s="14" t="n">
        <v>65</v>
      </c>
      <c r="B66" s="14" t="s">
        <v>1409</v>
      </c>
      <c r="C66" s="15"/>
      <c r="D66" s="15" t="s">
        <v>1410</v>
      </c>
      <c r="E66" s="15" t="s">
        <v>1411</v>
      </c>
      <c r="F66" s="14"/>
      <c r="G66" s="15" t="s">
        <v>1340</v>
      </c>
      <c r="H66" s="15" t="s">
        <v>1341</v>
      </c>
      <c r="I66" s="15" t="s">
        <v>1412</v>
      </c>
    </row>
    <row r="67" customFormat="false" ht="23.25" hidden="false" customHeight="true" outlineLevel="0" collapsed="false">
      <c r="A67" s="14" t="n">
        <v>66</v>
      </c>
      <c r="B67" s="14" t="s">
        <v>1413</v>
      </c>
      <c r="C67" s="15"/>
      <c r="D67" s="15" t="s">
        <v>1414</v>
      </c>
      <c r="E67" s="15" t="s">
        <v>1415</v>
      </c>
      <c r="F67" s="14"/>
      <c r="G67" s="15" t="s">
        <v>1381</v>
      </c>
      <c r="H67" s="15" t="s">
        <v>1341</v>
      </c>
      <c r="I67" s="15" t="s">
        <v>246</v>
      </c>
    </row>
    <row r="68" customFormat="false" ht="34.5" hidden="false" customHeight="true" outlineLevel="0" collapsed="false">
      <c r="A68" s="14" t="n">
        <v>67</v>
      </c>
      <c r="B68" s="14" t="s">
        <v>1416</v>
      </c>
      <c r="C68" s="15"/>
      <c r="D68" s="15" t="s">
        <v>1417</v>
      </c>
      <c r="E68" s="15" t="s">
        <v>1418</v>
      </c>
      <c r="F68" s="14"/>
      <c r="G68" s="15" t="s">
        <v>1340</v>
      </c>
      <c r="H68" s="15" t="s">
        <v>1341</v>
      </c>
      <c r="I68" s="15" t="s">
        <v>1419</v>
      </c>
    </row>
    <row r="69" customFormat="false" ht="23.25" hidden="false" customHeight="true" outlineLevel="0" collapsed="false">
      <c r="A69" s="14" t="n">
        <v>68</v>
      </c>
      <c r="B69" s="14" t="s">
        <v>1420</v>
      </c>
      <c r="C69" s="15"/>
      <c r="D69" s="15" t="s">
        <v>1421</v>
      </c>
      <c r="E69" s="15" t="s">
        <v>1422</v>
      </c>
      <c r="F69" s="14"/>
      <c r="G69" s="15" t="s">
        <v>1381</v>
      </c>
      <c r="H69" s="15" t="s">
        <v>1341</v>
      </c>
      <c r="I69" s="15" t="s">
        <v>1423</v>
      </c>
    </row>
    <row r="70" customFormat="false" ht="23.25" hidden="false" customHeight="true" outlineLevel="0" collapsed="false">
      <c r="A70" s="14" t="n">
        <v>69</v>
      </c>
      <c r="B70" s="14" t="s">
        <v>1424</v>
      </c>
      <c r="C70" s="15"/>
      <c r="D70" s="15" t="s">
        <v>1425</v>
      </c>
      <c r="E70" s="15" t="s">
        <v>1426</v>
      </c>
      <c r="F70" s="14"/>
      <c r="G70" s="15" t="s">
        <v>1381</v>
      </c>
      <c r="H70" s="15" t="s">
        <v>1341</v>
      </c>
      <c r="I70" s="15" t="s">
        <v>246</v>
      </c>
    </row>
    <row r="71" customFormat="false" ht="23.25" hidden="false" customHeight="true" outlineLevel="0" collapsed="false">
      <c r="A71" s="14" t="n">
        <v>70</v>
      </c>
      <c r="B71" s="14" t="s">
        <v>1427</v>
      </c>
      <c r="C71" s="15"/>
      <c r="D71" s="15" t="s">
        <v>1428</v>
      </c>
      <c r="E71" s="15" t="s">
        <v>1429</v>
      </c>
      <c r="F71" s="14"/>
      <c r="G71" s="15" t="s">
        <v>1381</v>
      </c>
      <c r="H71" s="15" t="s">
        <v>1341</v>
      </c>
      <c r="I71" s="15" t="s">
        <v>246</v>
      </c>
    </row>
    <row r="72" customFormat="false" ht="23.25" hidden="false" customHeight="true" outlineLevel="0" collapsed="false">
      <c r="A72" s="14" t="n">
        <v>71</v>
      </c>
      <c r="B72" s="14" t="s">
        <v>1430</v>
      </c>
      <c r="C72" s="15"/>
      <c r="D72" s="15" t="s">
        <v>1431</v>
      </c>
      <c r="E72" s="15" t="s">
        <v>1432</v>
      </c>
      <c r="F72" s="14"/>
      <c r="G72" s="15" t="s">
        <v>1340</v>
      </c>
      <c r="H72" s="15" t="s">
        <v>1341</v>
      </c>
      <c r="I72" s="15" t="s">
        <v>246</v>
      </c>
    </row>
    <row r="73" customFormat="false" ht="23.25" hidden="false" customHeight="true" outlineLevel="0" collapsed="false">
      <c r="A73" s="14" t="n">
        <v>72</v>
      </c>
      <c r="B73" s="14" t="s">
        <v>1433</v>
      </c>
      <c r="C73" s="15"/>
      <c r="D73" s="15" t="s">
        <v>1434</v>
      </c>
      <c r="E73" s="15" t="s">
        <v>1435</v>
      </c>
      <c r="F73" s="14"/>
      <c r="G73" s="15" t="s">
        <v>1340</v>
      </c>
      <c r="H73" s="15" t="s">
        <v>1341</v>
      </c>
      <c r="I73" s="15" t="s">
        <v>1436</v>
      </c>
    </row>
    <row r="74" customFormat="false" ht="23.25" hidden="false" customHeight="true" outlineLevel="0" collapsed="false">
      <c r="A74" s="14" t="n">
        <v>73</v>
      </c>
      <c r="B74" s="14" t="s">
        <v>1437</v>
      </c>
      <c r="C74" s="15"/>
      <c r="D74" s="15" t="s">
        <v>1438</v>
      </c>
      <c r="E74" s="15" t="s">
        <v>1439</v>
      </c>
      <c r="F74" s="14"/>
      <c r="G74" s="15" t="s">
        <v>1381</v>
      </c>
      <c r="H74" s="15" t="s">
        <v>1341</v>
      </c>
      <c r="I74" s="15" t="s">
        <v>1440</v>
      </c>
    </row>
    <row r="75" customFormat="false" ht="23.25" hidden="false" customHeight="true" outlineLevel="0" collapsed="false">
      <c r="A75" s="14" t="n">
        <v>74</v>
      </c>
      <c r="B75" s="14" t="s">
        <v>1441</v>
      </c>
      <c r="C75" s="15"/>
      <c r="D75" s="15" t="s">
        <v>1442</v>
      </c>
      <c r="E75" s="15" t="s">
        <v>1443</v>
      </c>
      <c r="F75" s="14"/>
      <c r="G75" s="15" t="s">
        <v>1381</v>
      </c>
      <c r="H75" s="15" t="s">
        <v>1341</v>
      </c>
      <c r="I75" s="15" t="s">
        <v>1444</v>
      </c>
    </row>
    <row r="76" customFormat="false" ht="23.25" hidden="false" customHeight="true" outlineLevel="0" collapsed="false">
      <c r="A76" s="14" t="n">
        <v>75</v>
      </c>
      <c r="B76" s="14" t="s">
        <v>1445</v>
      </c>
      <c r="C76" s="15"/>
      <c r="D76" s="15" t="s">
        <v>1446</v>
      </c>
      <c r="E76" s="15" t="s">
        <v>1447</v>
      </c>
      <c r="F76" s="14"/>
      <c r="G76" s="15" t="s">
        <v>1330</v>
      </c>
      <c r="H76" s="15" t="s">
        <v>1341</v>
      </c>
      <c r="I76" s="15" t="s">
        <v>1448</v>
      </c>
    </row>
    <row r="77" customFormat="false" ht="23.25" hidden="false" customHeight="true" outlineLevel="0" collapsed="false">
      <c r="A77" s="14" t="n">
        <v>76</v>
      </c>
      <c r="B77" s="14" t="s">
        <v>1449</v>
      </c>
      <c r="C77" s="15"/>
      <c r="D77" s="15" t="s">
        <v>1450</v>
      </c>
      <c r="E77" s="15" t="s">
        <v>1451</v>
      </c>
      <c r="F77" s="14"/>
      <c r="G77" s="15" t="s">
        <v>1381</v>
      </c>
      <c r="H77" s="15" t="s">
        <v>1341</v>
      </c>
      <c r="I77" s="15" t="s">
        <v>1452</v>
      </c>
    </row>
    <row r="78" customFormat="false" ht="34.5" hidden="false" customHeight="true" outlineLevel="0" collapsed="false">
      <c r="A78" s="14" t="n">
        <v>77</v>
      </c>
      <c r="B78" s="14" t="s">
        <v>1453</v>
      </c>
      <c r="C78" s="15"/>
      <c r="D78" s="15" t="s">
        <v>1454</v>
      </c>
      <c r="E78" s="15" t="s">
        <v>1455</v>
      </c>
      <c r="F78" s="14"/>
      <c r="G78" s="15" t="s">
        <v>1381</v>
      </c>
      <c r="H78" s="15" t="s">
        <v>1341</v>
      </c>
      <c r="I78" s="15" t="s">
        <v>246</v>
      </c>
    </row>
    <row r="79" customFormat="false" ht="23.25" hidden="false" customHeight="true" outlineLevel="0" collapsed="false">
      <c r="A79" s="14" t="n">
        <v>78</v>
      </c>
      <c r="B79" s="14" t="s">
        <v>1456</v>
      </c>
      <c r="C79" s="15"/>
      <c r="D79" s="15" t="s">
        <v>1457</v>
      </c>
      <c r="E79" s="15" t="s">
        <v>1458</v>
      </c>
      <c r="F79" s="14"/>
      <c r="G79" s="15" t="s">
        <v>1381</v>
      </c>
      <c r="H79" s="15" t="s">
        <v>1341</v>
      </c>
      <c r="I79" s="15" t="s">
        <v>1459</v>
      </c>
    </row>
    <row r="80" customFormat="false" ht="23.25" hidden="false" customHeight="true" outlineLevel="0" collapsed="false">
      <c r="A80" s="14" t="n">
        <v>79</v>
      </c>
      <c r="B80" s="14" t="s">
        <v>1460</v>
      </c>
      <c r="C80" s="15"/>
      <c r="D80" s="15" t="s">
        <v>1461</v>
      </c>
      <c r="E80" s="15" t="s">
        <v>1462</v>
      </c>
      <c r="F80" s="14"/>
      <c r="G80" s="15" t="s">
        <v>1381</v>
      </c>
      <c r="H80" s="15" t="s">
        <v>1341</v>
      </c>
      <c r="I80" s="15" t="s">
        <v>246</v>
      </c>
    </row>
    <row r="81" customFormat="false" ht="15" hidden="false" customHeight="true" outlineLevel="0" collapsed="false">
      <c r="A81" s="14" t="n">
        <v>80</v>
      </c>
      <c r="B81" s="14" t="s">
        <v>1463</v>
      </c>
      <c r="C81" s="15"/>
      <c r="D81" s="15" t="s">
        <v>1464</v>
      </c>
      <c r="E81" s="15" t="s">
        <v>1465</v>
      </c>
      <c r="F81" s="14"/>
      <c r="G81" s="15" t="s">
        <v>1381</v>
      </c>
      <c r="H81" s="15" t="s">
        <v>1341</v>
      </c>
      <c r="I81" s="15" t="s">
        <v>1466</v>
      </c>
    </row>
    <row r="82" customFormat="false" ht="34.5" hidden="false" customHeight="true" outlineLevel="0" collapsed="false">
      <c r="A82" s="14" t="n">
        <v>81</v>
      </c>
      <c r="B82" s="14" t="s">
        <v>1467</v>
      </c>
      <c r="C82" s="15"/>
      <c r="D82" s="15" t="s">
        <v>1468</v>
      </c>
      <c r="E82" s="15" t="s">
        <v>1469</v>
      </c>
      <c r="F82" s="14"/>
      <c r="G82" s="15" t="s">
        <v>1381</v>
      </c>
      <c r="H82" s="15" t="s">
        <v>1341</v>
      </c>
      <c r="I82" s="15" t="s">
        <v>1470</v>
      </c>
    </row>
    <row r="83" customFormat="false" ht="23.25" hidden="false" customHeight="true" outlineLevel="0" collapsed="false">
      <c r="A83" s="14" t="n">
        <v>82</v>
      </c>
      <c r="B83" s="14" t="s">
        <v>1471</v>
      </c>
      <c r="C83" s="15"/>
      <c r="D83" s="15" t="s">
        <v>1472</v>
      </c>
      <c r="E83" s="15" t="s">
        <v>1473</v>
      </c>
      <c r="F83" s="14"/>
      <c r="G83" s="15" t="s">
        <v>1381</v>
      </c>
      <c r="H83" s="15" t="s">
        <v>1341</v>
      </c>
      <c r="I83" s="15" t="s">
        <v>1474</v>
      </c>
    </row>
    <row r="84" customFormat="false" ht="23.25" hidden="false" customHeight="true" outlineLevel="0" collapsed="false">
      <c r="A84" s="14" t="n">
        <v>83</v>
      </c>
      <c r="B84" s="14" t="s">
        <v>1475</v>
      </c>
      <c r="C84" s="15"/>
      <c r="D84" s="15" t="s">
        <v>1476</v>
      </c>
      <c r="E84" s="15" t="s">
        <v>1477</v>
      </c>
      <c r="F84" s="14"/>
      <c r="G84" s="15" t="s">
        <v>1381</v>
      </c>
      <c r="H84" s="15" t="s">
        <v>1341</v>
      </c>
      <c r="I84" s="15" t="s">
        <v>1478</v>
      </c>
    </row>
    <row r="85" customFormat="false" ht="23.25" hidden="false" customHeight="true" outlineLevel="0" collapsed="false">
      <c r="A85" s="14" t="n">
        <v>84</v>
      </c>
      <c r="B85" s="14" t="s">
        <v>1479</v>
      </c>
      <c r="C85" s="15"/>
      <c r="D85" s="15" t="s">
        <v>1480</v>
      </c>
      <c r="E85" s="15" t="s">
        <v>1481</v>
      </c>
      <c r="F85" s="14"/>
      <c r="G85" s="15" t="s">
        <v>1340</v>
      </c>
      <c r="H85" s="15" t="s">
        <v>1341</v>
      </c>
      <c r="I85" s="15" t="s">
        <v>246</v>
      </c>
    </row>
    <row r="86" customFormat="false" ht="23.25" hidden="false" customHeight="true" outlineLevel="0" collapsed="false">
      <c r="A86" s="14" t="n">
        <v>85</v>
      </c>
      <c r="B86" s="14" t="s">
        <v>1482</v>
      </c>
      <c r="C86" s="15"/>
      <c r="D86" s="15" t="s">
        <v>1483</v>
      </c>
      <c r="E86" s="15" t="s">
        <v>1484</v>
      </c>
      <c r="F86" s="14"/>
      <c r="G86" s="15" t="s">
        <v>1340</v>
      </c>
      <c r="H86" s="15" t="s">
        <v>1341</v>
      </c>
      <c r="I86" s="15" t="s">
        <v>246</v>
      </c>
    </row>
    <row r="87" customFormat="false" ht="23.25" hidden="false" customHeight="true" outlineLevel="0" collapsed="false">
      <c r="A87" s="14" t="n">
        <v>86</v>
      </c>
      <c r="B87" s="14" t="s">
        <v>1485</v>
      </c>
      <c r="C87" s="15"/>
      <c r="D87" s="15" t="s">
        <v>1486</v>
      </c>
      <c r="E87" s="15" t="s">
        <v>1487</v>
      </c>
      <c r="F87" s="14"/>
      <c r="G87" s="15" t="s">
        <v>1381</v>
      </c>
      <c r="H87" s="15" t="s">
        <v>1341</v>
      </c>
      <c r="I87" s="15" t="s">
        <v>1488</v>
      </c>
    </row>
    <row r="88" customFormat="false" ht="34.5" hidden="false" customHeight="true" outlineLevel="0" collapsed="false">
      <c r="A88" s="14" t="n">
        <v>87</v>
      </c>
      <c r="B88" s="14" t="s">
        <v>1489</v>
      </c>
      <c r="C88" s="15"/>
      <c r="D88" s="15" t="s">
        <v>1490</v>
      </c>
      <c r="E88" s="15" t="s">
        <v>1491</v>
      </c>
      <c r="F88" s="14"/>
      <c r="G88" s="15" t="s">
        <v>1381</v>
      </c>
      <c r="H88" s="15" t="s">
        <v>1341</v>
      </c>
      <c r="I88" s="15" t="s">
        <v>1492</v>
      </c>
    </row>
    <row r="89" customFormat="false" ht="23.25" hidden="false" customHeight="true" outlineLevel="0" collapsed="false">
      <c r="A89" s="14" t="n">
        <v>88</v>
      </c>
      <c r="B89" s="14" t="s">
        <v>1493</v>
      </c>
      <c r="C89" s="15"/>
      <c r="D89" s="15" t="s">
        <v>1494</v>
      </c>
      <c r="E89" s="15" t="s">
        <v>1495</v>
      </c>
      <c r="F89" s="14"/>
      <c r="G89" s="15" t="s">
        <v>1340</v>
      </c>
      <c r="H89" s="15" t="s">
        <v>1341</v>
      </c>
      <c r="I89" s="15" t="s">
        <v>1496</v>
      </c>
    </row>
    <row r="90" customFormat="false" ht="23.25" hidden="false" customHeight="true" outlineLevel="0" collapsed="false">
      <c r="A90" s="14" t="n">
        <v>89</v>
      </c>
      <c r="B90" s="14" t="s">
        <v>1497</v>
      </c>
      <c r="C90" s="15"/>
      <c r="D90" s="15" t="s">
        <v>1498</v>
      </c>
      <c r="E90" s="15" t="s">
        <v>1499</v>
      </c>
      <c r="F90" s="14"/>
      <c r="G90" s="15" t="s">
        <v>1340</v>
      </c>
      <c r="H90" s="15" t="s">
        <v>1341</v>
      </c>
      <c r="I90" s="15" t="s">
        <v>246</v>
      </c>
    </row>
    <row r="91" customFormat="false" ht="23.25" hidden="false" customHeight="true" outlineLevel="0" collapsed="false">
      <c r="A91" s="14" t="n">
        <v>90</v>
      </c>
      <c r="B91" s="14" t="s">
        <v>1500</v>
      </c>
      <c r="C91" s="15"/>
      <c r="D91" s="15" t="s">
        <v>1501</v>
      </c>
      <c r="E91" s="15" t="s">
        <v>1502</v>
      </c>
      <c r="F91" s="14"/>
      <c r="G91" s="15" t="s">
        <v>1340</v>
      </c>
      <c r="H91" s="15" t="s">
        <v>1341</v>
      </c>
      <c r="I91" s="15" t="s">
        <v>246</v>
      </c>
    </row>
    <row r="92" customFormat="false" ht="23.25" hidden="false" customHeight="true" outlineLevel="0" collapsed="false">
      <c r="A92" s="14" t="n">
        <v>91</v>
      </c>
      <c r="B92" s="14" t="s">
        <v>1503</v>
      </c>
      <c r="C92" s="15"/>
      <c r="D92" s="15" t="s">
        <v>1504</v>
      </c>
      <c r="E92" s="15" t="s">
        <v>1505</v>
      </c>
      <c r="F92" s="14"/>
      <c r="G92" s="15" t="s">
        <v>1340</v>
      </c>
      <c r="H92" s="15" t="s">
        <v>1341</v>
      </c>
      <c r="I92" s="15" t="s">
        <v>246</v>
      </c>
    </row>
    <row r="93" customFormat="false" ht="34.5" hidden="false" customHeight="true" outlineLevel="0" collapsed="false">
      <c r="A93" s="14" t="n">
        <v>92</v>
      </c>
      <c r="B93" s="14" t="s">
        <v>1506</v>
      </c>
      <c r="C93" s="15"/>
      <c r="D93" s="15" t="s">
        <v>1507</v>
      </c>
      <c r="E93" s="15" t="s">
        <v>1508</v>
      </c>
      <c r="F93" s="14"/>
      <c r="G93" s="15" t="s">
        <v>1340</v>
      </c>
      <c r="H93" s="15" t="s">
        <v>1341</v>
      </c>
      <c r="I93" s="15" t="s">
        <v>246</v>
      </c>
    </row>
    <row r="94" customFormat="false" ht="23.25" hidden="false" customHeight="true" outlineLevel="0" collapsed="false">
      <c r="A94" s="14" t="n">
        <v>93</v>
      </c>
      <c r="B94" s="14" t="s">
        <v>1509</v>
      </c>
      <c r="C94" s="15"/>
      <c r="D94" s="15" t="s">
        <v>1510</v>
      </c>
      <c r="E94" s="15" t="s">
        <v>1511</v>
      </c>
      <c r="F94" s="14"/>
      <c r="G94" s="15" t="s">
        <v>1381</v>
      </c>
      <c r="H94" s="15" t="s">
        <v>1341</v>
      </c>
      <c r="I94" s="15" t="s">
        <v>246</v>
      </c>
    </row>
    <row r="95" customFormat="false" ht="23.25" hidden="false" customHeight="true" outlineLevel="0" collapsed="false">
      <c r="A95" s="14" t="n">
        <v>94</v>
      </c>
      <c r="B95" s="14" t="s">
        <v>1512</v>
      </c>
      <c r="C95" s="15"/>
      <c r="D95" s="15" t="s">
        <v>1513</v>
      </c>
      <c r="E95" s="15" t="s">
        <v>1514</v>
      </c>
      <c r="F95" s="14"/>
      <c r="G95" s="15" t="s">
        <v>1381</v>
      </c>
      <c r="H95" s="15" t="s">
        <v>1341</v>
      </c>
      <c r="I95" s="15" t="s">
        <v>1515</v>
      </c>
    </row>
    <row r="96" customFormat="false" ht="23.25" hidden="false" customHeight="true" outlineLevel="0" collapsed="false">
      <c r="A96" s="14" t="n">
        <v>95</v>
      </c>
      <c r="B96" s="14" t="s">
        <v>1516</v>
      </c>
      <c r="C96" s="15"/>
      <c r="D96" s="15" t="s">
        <v>1517</v>
      </c>
      <c r="E96" s="15" t="s">
        <v>1518</v>
      </c>
      <c r="F96" s="14"/>
      <c r="G96" s="15" t="s">
        <v>1340</v>
      </c>
      <c r="H96" s="15" t="s">
        <v>1341</v>
      </c>
      <c r="I96" s="15" t="s">
        <v>1519</v>
      </c>
    </row>
    <row r="97" customFormat="false" ht="23.25" hidden="false" customHeight="true" outlineLevel="0" collapsed="false">
      <c r="A97" s="14" t="n">
        <v>96</v>
      </c>
      <c r="B97" s="14" t="s">
        <v>1520</v>
      </c>
      <c r="C97" s="15"/>
      <c r="D97" s="15" t="s">
        <v>1521</v>
      </c>
      <c r="E97" s="15" t="s">
        <v>1522</v>
      </c>
      <c r="F97" s="14"/>
      <c r="G97" s="15" t="s">
        <v>1340</v>
      </c>
      <c r="H97" s="15" t="s">
        <v>1341</v>
      </c>
      <c r="I97" s="15" t="s">
        <v>246</v>
      </c>
    </row>
    <row r="98" customFormat="false" ht="34.5" hidden="false" customHeight="true" outlineLevel="0" collapsed="false">
      <c r="A98" s="14" t="n">
        <v>97</v>
      </c>
      <c r="B98" s="14" t="s">
        <v>1523</v>
      </c>
      <c r="C98" s="15"/>
      <c r="D98" s="15" t="s">
        <v>1524</v>
      </c>
      <c r="E98" s="15" t="s">
        <v>1525</v>
      </c>
      <c r="F98" s="14"/>
      <c r="G98" s="15" t="s">
        <v>1340</v>
      </c>
      <c r="H98" s="15" t="s">
        <v>1341</v>
      </c>
      <c r="I98" s="15" t="s">
        <v>246</v>
      </c>
    </row>
    <row r="99" customFormat="false" ht="23.25" hidden="false" customHeight="true" outlineLevel="0" collapsed="false">
      <c r="A99" s="14" t="n">
        <v>98</v>
      </c>
      <c r="B99" s="14" t="s">
        <v>1526</v>
      </c>
      <c r="C99" s="15"/>
      <c r="D99" s="15" t="s">
        <v>1527</v>
      </c>
      <c r="E99" s="15" t="s">
        <v>1528</v>
      </c>
      <c r="F99" s="14"/>
      <c r="G99" s="15" t="s">
        <v>1340</v>
      </c>
      <c r="H99" s="15" t="s">
        <v>1341</v>
      </c>
      <c r="I99" s="15" t="s">
        <v>246</v>
      </c>
    </row>
    <row r="100" customFormat="false" ht="57" hidden="false" customHeight="true" outlineLevel="0" collapsed="false">
      <c r="A100" s="14" t="n">
        <v>99</v>
      </c>
      <c r="B100" s="14" t="s">
        <v>1529</v>
      </c>
      <c r="C100" s="15"/>
      <c r="D100" s="15" t="s">
        <v>1530</v>
      </c>
      <c r="E100" s="15" t="s">
        <v>1531</v>
      </c>
      <c r="F100" s="14"/>
      <c r="G100" s="15" t="s">
        <v>1340</v>
      </c>
      <c r="H100" s="15" t="s">
        <v>1341</v>
      </c>
      <c r="I100" s="15" t="s">
        <v>1532</v>
      </c>
    </row>
    <row r="101" customFormat="false" ht="34.5" hidden="false" customHeight="true" outlineLevel="0" collapsed="false">
      <c r="A101" s="14" t="n">
        <v>100</v>
      </c>
      <c r="B101" s="14" t="s">
        <v>1533</v>
      </c>
      <c r="C101" s="15"/>
      <c r="D101" s="15" t="s">
        <v>1534</v>
      </c>
      <c r="E101" s="15" t="s">
        <v>1535</v>
      </c>
      <c r="F101" s="14"/>
      <c r="G101" s="15" t="s">
        <v>1340</v>
      </c>
      <c r="H101" s="15" t="s">
        <v>1341</v>
      </c>
      <c r="I101" s="15" t="s">
        <v>246</v>
      </c>
    </row>
    <row r="102" customFormat="false" ht="34.5" hidden="false" customHeight="true" outlineLevel="0" collapsed="false">
      <c r="A102" s="14" t="n">
        <v>101</v>
      </c>
      <c r="B102" s="14" t="s">
        <v>1536</v>
      </c>
      <c r="C102" s="15"/>
      <c r="D102" s="15" t="s">
        <v>1537</v>
      </c>
      <c r="E102" s="15" t="s">
        <v>1538</v>
      </c>
      <c r="F102" s="14"/>
      <c r="G102" s="15" t="s">
        <v>1340</v>
      </c>
      <c r="H102" s="15" t="s">
        <v>1341</v>
      </c>
      <c r="I102" s="15" t="s">
        <v>246</v>
      </c>
    </row>
    <row r="103" customFormat="false" ht="23.25" hidden="false" customHeight="true" outlineLevel="0" collapsed="false">
      <c r="A103" s="14" t="n">
        <v>102</v>
      </c>
      <c r="B103" s="14" t="s">
        <v>1539</v>
      </c>
      <c r="C103" s="15"/>
      <c r="D103" s="15" t="s">
        <v>1540</v>
      </c>
      <c r="E103" s="15" t="s">
        <v>1541</v>
      </c>
      <c r="F103" s="14"/>
      <c r="G103" s="15" t="s">
        <v>1381</v>
      </c>
      <c r="H103" s="15" t="s">
        <v>1341</v>
      </c>
      <c r="I103" s="15" t="s">
        <v>246</v>
      </c>
    </row>
    <row r="104" customFormat="false" ht="23.25" hidden="false" customHeight="true" outlineLevel="0" collapsed="false">
      <c r="A104" s="14" t="n">
        <v>103</v>
      </c>
      <c r="B104" s="14" t="s">
        <v>1542</v>
      </c>
      <c r="C104" s="15"/>
      <c r="D104" s="15" t="s">
        <v>1543</v>
      </c>
      <c r="E104" s="15" t="s">
        <v>1544</v>
      </c>
      <c r="F104" s="14"/>
      <c r="G104" s="15" t="s">
        <v>1381</v>
      </c>
      <c r="H104" s="15" t="s">
        <v>1341</v>
      </c>
      <c r="I104" s="15" t="s">
        <v>1545</v>
      </c>
    </row>
    <row r="105" customFormat="false" ht="23.25" hidden="false" customHeight="true" outlineLevel="0" collapsed="false">
      <c r="A105" s="14" t="n">
        <v>104</v>
      </c>
      <c r="B105" s="14" t="s">
        <v>1546</v>
      </c>
      <c r="C105" s="15"/>
      <c r="D105" s="15" t="s">
        <v>1547</v>
      </c>
      <c r="E105" s="15" t="s">
        <v>1548</v>
      </c>
      <c r="F105" s="14"/>
      <c r="G105" s="15" t="s">
        <v>1340</v>
      </c>
      <c r="H105" s="15" t="s">
        <v>1341</v>
      </c>
      <c r="I105" s="15" t="s">
        <v>1549</v>
      </c>
    </row>
    <row r="106" customFormat="false" ht="23.25" hidden="false" customHeight="true" outlineLevel="0" collapsed="false">
      <c r="A106" s="14" t="n">
        <v>105</v>
      </c>
      <c r="B106" s="14" t="s">
        <v>1550</v>
      </c>
      <c r="C106" s="15"/>
      <c r="D106" s="15" t="s">
        <v>1551</v>
      </c>
      <c r="E106" s="15" t="s">
        <v>1552</v>
      </c>
      <c r="F106" s="14"/>
      <c r="G106" s="15" t="s">
        <v>1340</v>
      </c>
      <c r="H106" s="15" t="s">
        <v>1341</v>
      </c>
      <c r="I106" s="15" t="s">
        <v>1553</v>
      </c>
    </row>
    <row r="107" customFormat="false" ht="34.5" hidden="false" customHeight="true" outlineLevel="0" collapsed="false">
      <c r="A107" s="14" t="n">
        <v>106</v>
      </c>
      <c r="B107" s="14" t="s">
        <v>1554</v>
      </c>
      <c r="C107" s="15"/>
      <c r="D107" s="15" t="s">
        <v>1555</v>
      </c>
      <c r="E107" s="15" t="s">
        <v>1556</v>
      </c>
      <c r="F107" s="14"/>
      <c r="G107" s="15" t="s">
        <v>1340</v>
      </c>
      <c r="H107" s="15" t="s">
        <v>1341</v>
      </c>
      <c r="I107" s="15" t="s">
        <v>1557</v>
      </c>
    </row>
    <row r="108" customFormat="false" ht="23.25" hidden="false" customHeight="true" outlineLevel="0" collapsed="false">
      <c r="A108" s="14" t="n">
        <v>107</v>
      </c>
      <c r="B108" s="14" t="s">
        <v>1558</v>
      </c>
      <c r="C108" s="15"/>
      <c r="D108" s="15" t="s">
        <v>1559</v>
      </c>
      <c r="E108" s="15" t="s">
        <v>1560</v>
      </c>
      <c r="F108" s="14"/>
      <c r="G108" s="15" t="s">
        <v>1340</v>
      </c>
      <c r="H108" s="15" t="s">
        <v>1341</v>
      </c>
      <c r="I108" s="15" t="s">
        <v>1561</v>
      </c>
    </row>
    <row r="109" customFormat="false" ht="23.25" hidden="false" customHeight="true" outlineLevel="0" collapsed="false">
      <c r="A109" s="14" t="n">
        <v>108</v>
      </c>
      <c r="B109" s="14" t="s">
        <v>1562</v>
      </c>
      <c r="C109" s="15"/>
      <c r="D109" s="15" t="s">
        <v>1563</v>
      </c>
      <c r="E109" s="15" t="s">
        <v>1564</v>
      </c>
      <c r="F109" s="14"/>
      <c r="G109" s="15" t="s">
        <v>1340</v>
      </c>
      <c r="H109" s="15" t="s">
        <v>1341</v>
      </c>
      <c r="I109" s="15" t="s">
        <v>246</v>
      </c>
    </row>
    <row r="110" customFormat="false" ht="23.25" hidden="false" customHeight="true" outlineLevel="0" collapsed="false">
      <c r="A110" s="14" t="n">
        <v>109</v>
      </c>
      <c r="B110" s="14" t="s">
        <v>1565</v>
      </c>
      <c r="C110" s="15"/>
      <c r="D110" s="15" t="s">
        <v>1566</v>
      </c>
      <c r="E110" s="15" t="s">
        <v>1567</v>
      </c>
      <c r="F110" s="14"/>
      <c r="G110" s="15" t="s">
        <v>1340</v>
      </c>
      <c r="H110" s="15" t="s">
        <v>1341</v>
      </c>
      <c r="I110" s="15" t="s">
        <v>1545</v>
      </c>
    </row>
    <row r="111" customFormat="false" ht="34.5" hidden="false" customHeight="true" outlineLevel="0" collapsed="false">
      <c r="A111" s="14" t="n">
        <v>110</v>
      </c>
      <c r="B111" s="14" t="s">
        <v>1568</v>
      </c>
      <c r="C111" s="15"/>
      <c r="D111" s="15" t="s">
        <v>1569</v>
      </c>
      <c r="E111" s="15" t="s">
        <v>1570</v>
      </c>
      <c r="F111" s="14"/>
      <c r="G111" s="15" t="s">
        <v>1381</v>
      </c>
      <c r="H111" s="15" t="s">
        <v>1341</v>
      </c>
      <c r="I111" s="15" t="s">
        <v>1571</v>
      </c>
    </row>
    <row r="112" customFormat="false" ht="23.25" hidden="false" customHeight="true" outlineLevel="0" collapsed="false">
      <c r="A112" s="14" t="n">
        <v>111</v>
      </c>
      <c r="B112" s="14" t="s">
        <v>1572</v>
      </c>
      <c r="C112" s="15"/>
      <c r="D112" s="15" t="s">
        <v>1573</v>
      </c>
      <c r="E112" s="15" t="s">
        <v>1574</v>
      </c>
      <c r="F112" s="14"/>
      <c r="G112" s="15" t="s">
        <v>1381</v>
      </c>
      <c r="H112" s="15" t="s">
        <v>1341</v>
      </c>
      <c r="I112" s="15" t="s">
        <v>1575</v>
      </c>
    </row>
    <row r="113" customFormat="false" ht="15" hidden="false" customHeight="true" outlineLevel="0" collapsed="false">
      <c r="A113" s="14" t="n">
        <v>112</v>
      </c>
      <c r="B113" s="14" t="s">
        <v>1576</v>
      </c>
      <c r="C113" s="15"/>
      <c r="D113" s="15" t="s">
        <v>1577</v>
      </c>
      <c r="E113" s="15" t="s">
        <v>1578</v>
      </c>
      <c r="F113" s="14"/>
      <c r="G113" s="15" t="s">
        <v>1381</v>
      </c>
      <c r="H113" s="15" t="s">
        <v>1341</v>
      </c>
      <c r="I113" s="15" t="s">
        <v>1579</v>
      </c>
    </row>
    <row r="114" customFormat="false" ht="15" hidden="false" customHeight="true" outlineLevel="0" collapsed="false">
      <c r="A114" s="14" t="n">
        <v>113</v>
      </c>
      <c r="B114" s="14" t="s">
        <v>1580</v>
      </c>
      <c r="C114" s="15"/>
      <c r="D114" s="15" t="s">
        <v>1581</v>
      </c>
      <c r="E114" s="15" t="s">
        <v>1582</v>
      </c>
      <c r="F114" s="14"/>
      <c r="G114" s="15" t="s">
        <v>1340</v>
      </c>
      <c r="H114" s="15" t="s">
        <v>1341</v>
      </c>
      <c r="I114" s="15" t="s">
        <v>246</v>
      </c>
    </row>
    <row r="115" customFormat="false" ht="23.25" hidden="false" customHeight="true" outlineLevel="0" collapsed="false">
      <c r="A115" s="14" t="n">
        <v>114</v>
      </c>
      <c r="B115" s="14" t="s">
        <v>1583</v>
      </c>
      <c r="C115" s="15"/>
      <c r="D115" s="15" t="s">
        <v>1584</v>
      </c>
      <c r="E115" s="15" t="s">
        <v>1585</v>
      </c>
      <c r="F115" s="14"/>
      <c r="G115" s="15" t="s">
        <v>1381</v>
      </c>
      <c r="H115" s="15" t="s">
        <v>1341</v>
      </c>
      <c r="I115" s="15" t="s">
        <v>246</v>
      </c>
    </row>
    <row r="116" customFormat="false" ht="23.25" hidden="false" customHeight="true" outlineLevel="0" collapsed="false">
      <c r="A116" s="14" t="n">
        <v>115</v>
      </c>
      <c r="B116" s="14" t="s">
        <v>1586</v>
      </c>
      <c r="C116" s="15"/>
      <c r="D116" s="15" t="s">
        <v>1587</v>
      </c>
      <c r="E116" s="15" t="s">
        <v>1588</v>
      </c>
      <c r="F116" s="14"/>
      <c r="G116" s="15" t="s">
        <v>1381</v>
      </c>
      <c r="H116" s="15" t="s">
        <v>1341</v>
      </c>
      <c r="I116" s="15" t="s">
        <v>1589</v>
      </c>
    </row>
    <row r="117" customFormat="false" ht="23.25" hidden="false" customHeight="true" outlineLevel="0" collapsed="false">
      <c r="A117" s="14" t="n">
        <v>116</v>
      </c>
      <c r="B117" s="14" t="s">
        <v>1590</v>
      </c>
      <c r="C117" s="15"/>
      <c r="D117" s="15" t="s">
        <v>1591</v>
      </c>
      <c r="E117" s="15" t="s">
        <v>1592</v>
      </c>
      <c r="F117" s="14"/>
      <c r="G117" s="15" t="s">
        <v>1340</v>
      </c>
      <c r="H117" s="15" t="s">
        <v>1341</v>
      </c>
      <c r="I117" s="15" t="s">
        <v>1593</v>
      </c>
    </row>
    <row r="118" customFormat="false" ht="15" hidden="false" customHeight="true" outlineLevel="0" collapsed="false">
      <c r="A118" s="14" t="n">
        <v>117</v>
      </c>
      <c r="B118" s="14" t="s">
        <v>1594</v>
      </c>
      <c r="C118" s="15"/>
      <c r="D118" s="15" t="s">
        <v>1595</v>
      </c>
      <c r="E118" s="15" t="s">
        <v>1596</v>
      </c>
      <c r="F118" s="14"/>
      <c r="G118" s="15" t="s">
        <v>1340</v>
      </c>
      <c r="H118" s="15" t="s">
        <v>1341</v>
      </c>
      <c r="I118" s="15" t="s">
        <v>246</v>
      </c>
    </row>
    <row r="119" customFormat="false" ht="15" hidden="false" customHeight="true" outlineLevel="0" collapsed="false">
      <c r="A119" s="14" t="n">
        <v>118</v>
      </c>
      <c r="B119" s="14" t="s">
        <v>1597</v>
      </c>
      <c r="C119" s="15"/>
      <c r="D119" s="15" t="s">
        <v>1598</v>
      </c>
      <c r="E119" s="15" t="s">
        <v>1599</v>
      </c>
      <c r="F119" s="14"/>
      <c r="G119" s="15" t="s">
        <v>1381</v>
      </c>
      <c r="H119" s="15" t="s">
        <v>1341</v>
      </c>
      <c r="I119" s="15" t="s">
        <v>1600</v>
      </c>
    </row>
    <row r="120" customFormat="false" ht="15" hidden="false" customHeight="true" outlineLevel="0" collapsed="false">
      <c r="A120" s="14" t="n">
        <v>119</v>
      </c>
      <c r="B120" s="14" t="s">
        <v>1601</v>
      </c>
      <c r="C120" s="15"/>
      <c r="D120" s="15" t="s">
        <v>1602</v>
      </c>
      <c r="E120" s="15" t="s">
        <v>1603</v>
      </c>
      <c r="F120" s="14"/>
      <c r="G120" s="15" t="s">
        <v>1381</v>
      </c>
      <c r="H120" s="15" t="s">
        <v>1341</v>
      </c>
      <c r="I120" s="15" t="s">
        <v>246</v>
      </c>
    </row>
    <row r="121" customFormat="false" ht="15" hidden="false" customHeight="true" outlineLevel="0" collapsed="false">
      <c r="A121" s="14" t="n">
        <v>120</v>
      </c>
      <c r="B121" s="14" t="s">
        <v>1604</v>
      </c>
      <c r="C121" s="15"/>
      <c r="D121" s="15" t="s">
        <v>1605</v>
      </c>
      <c r="E121" s="15" t="s">
        <v>1606</v>
      </c>
      <c r="F121" s="14"/>
      <c r="G121" s="15" t="s">
        <v>1381</v>
      </c>
      <c r="H121" s="15" t="s">
        <v>1341</v>
      </c>
      <c r="I121" s="15" t="s">
        <v>1607</v>
      </c>
    </row>
    <row r="122" customFormat="false" ht="23.25" hidden="false" customHeight="true" outlineLevel="0" collapsed="false">
      <c r="A122" s="14" t="n">
        <v>121</v>
      </c>
      <c r="B122" s="14" t="s">
        <v>1608</v>
      </c>
      <c r="C122" s="15"/>
      <c r="D122" s="15" t="s">
        <v>1609</v>
      </c>
      <c r="E122" s="15" t="s">
        <v>1610</v>
      </c>
      <c r="F122" s="14"/>
      <c r="G122" s="15" t="s">
        <v>1381</v>
      </c>
      <c r="H122" s="15" t="s">
        <v>1341</v>
      </c>
      <c r="I122" s="15" t="s">
        <v>1611</v>
      </c>
    </row>
    <row r="123" customFormat="false" ht="23.25" hidden="false" customHeight="true" outlineLevel="0" collapsed="false">
      <c r="A123" s="14" t="n">
        <v>122</v>
      </c>
      <c r="B123" s="14" t="s">
        <v>1612</v>
      </c>
      <c r="C123" s="15"/>
      <c r="D123" s="15" t="s">
        <v>1613</v>
      </c>
      <c r="E123" s="15" t="s">
        <v>1614</v>
      </c>
      <c r="F123" s="14"/>
      <c r="G123" s="15" t="s">
        <v>1381</v>
      </c>
      <c r="H123" s="15" t="s">
        <v>1341</v>
      </c>
      <c r="I123" s="15" t="s">
        <v>1615</v>
      </c>
    </row>
    <row r="124" customFormat="false" ht="23.25" hidden="false" customHeight="true" outlineLevel="0" collapsed="false">
      <c r="A124" s="14" t="n">
        <v>123</v>
      </c>
      <c r="B124" s="14" t="s">
        <v>1616</v>
      </c>
      <c r="C124" s="15"/>
      <c r="D124" s="15" t="s">
        <v>1617</v>
      </c>
      <c r="E124" s="15" t="s">
        <v>1618</v>
      </c>
      <c r="F124" s="14"/>
      <c r="G124" s="15" t="s">
        <v>1381</v>
      </c>
      <c r="H124" s="15" t="s">
        <v>1341</v>
      </c>
      <c r="I124" s="15" t="s">
        <v>1619</v>
      </c>
    </row>
    <row r="125" customFormat="false" ht="34.5" hidden="false" customHeight="true" outlineLevel="0" collapsed="false">
      <c r="A125" s="14" t="n">
        <v>124</v>
      </c>
      <c r="B125" s="14" t="s">
        <v>1620</v>
      </c>
      <c r="C125" s="15"/>
      <c r="D125" s="15" t="s">
        <v>1621</v>
      </c>
      <c r="E125" s="15" t="s">
        <v>1622</v>
      </c>
      <c r="F125" s="14"/>
      <c r="G125" s="15" t="s">
        <v>1381</v>
      </c>
      <c r="H125" s="15" t="s">
        <v>1341</v>
      </c>
      <c r="I125" s="15" t="s">
        <v>1623</v>
      </c>
    </row>
    <row r="126" customFormat="false" ht="23.25" hidden="false" customHeight="true" outlineLevel="0" collapsed="false">
      <c r="A126" s="14" t="n">
        <v>125</v>
      </c>
      <c r="B126" s="14" t="s">
        <v>1624</v>
      </c>
      <c r="C126" s="15"/>
      <c r="D126" s="15" t="s">
        <v>1625</v>
      </c>
      <c r="E126" s="15" t="s">
        <v>1626</v>
      </c>
      <c r="F126" s="14"/>
      <c r="G126" s="15" t="s">
        <v>1340</v>
      </c>
      <c r="H126" s="15" t="s">
        <v>1341</v>
      </c>
      <c r="I126" s="15" t="s">
        <v>246</v>
      </c>
    </row>
    <row r="127" customFormat="false" ht="23.25" hidden="false" customHeight="true" outlineLevel="0" collapsed="false">
      <c r="A127" s="14" t="n">
        <v>126</v>
      </c>
      <c r="B127" s="14" t="s">
        <v>1627</v>
      </c>
      <c r="C127" s="15"/>
      <c r="D127" s="15" t="s">
        <v>1628</v>
      </c>
      <c r="E127" s="15" t="s">
        <v>1629</v>
      </c>
      <c r="F127" s="14"/>
      <c r="G127" s="15" t="s">
        <v>1340</v>
      </c>
      <c r="H127" s="15" t="s">
        <v>1341</v>
      </c>
      <c r="I127" s="15" t="s">
        <v>246</v>
      </c>
    </row>
    <row r="128" customFormat="false" ht="45.75" hidden="false" customHeight="true" outlineLevel="0" collapsed="false">
      <c r="A128" s="14" t="n">
        <v>127</v>
      </c>
      <c r="B128" s="14" t="s">
        <v>1630</v>
      </c>
      <c r="C128" s="15"/>
      <c r="D128" s="15" t="s">
        <v>1631</v>
      </c>
      <c r="E128" s="15" t="s">
        <v>1632</v>
      </c>
      <c r="F128" s="14"/>
      <c r="G128" s="15" t="s">
        <v>1633</v>
      </c>
      <c r="H128" s="15" t="s">
        <v>1341</v>
      </c>
      <c r="I128" s="15" t="s">
        <v>1634</v>
      </c>
    </row>
    <row r="129" customFormat="false" ht="23.25" hidden="false" customHeight="true" outlineLevel="0" collapsed="false">
      <c r="A129" s="14" t="n">
        <v>128</v>
      </c>
      <c r="B129" s="14" t="s">
        <v>1635</v>
      </c>
      <c r="C129" s="15"/>
      <c r="D129" s="15" t="s">
        <v>1636</v>
      </c>
      <c r="E129" s="15" t="s">
        <v>1637</v>
      </c>
      <c r="F129" s="14"/>
      <c r="G129" s="15" t="s">
        <v>1381</v>
      </c>
      <c r="H129" s="15" t="s">
        <v>1341</v>
      </c>
      <c r="I129" s="15" t="s">
        <v>246</v>
      </c>
    </row>
    <row r="130" customFormat="false" ht="23.25" hidden="false" customHeight="true" outlineLevel="0" collapsed="false">
      <c r="A130" s="14" t="n">
        <v>129</v>
      </c>
      <c r="B130" s="14" t="s">
        <v>1638</v>
      </c>
      <c r="C130" s="15"/>
      <c r="D130" s="15" t="s">
        <v>1639</v>
      </c>
      <c r="E130" s="15" t="s">
        <v>1640</v>
      </c>
      <c r="F130" s="14"/>
      <c r="G130" s="15" t="s">
        <v>1340</v>
      </c>
      <c r="H130" s="15" t="s">
        <v>1341</v>
      </c>
      <c r="I130" s="15" t="s">
        <v>1641</v>
      </c>
    </row>
    <row r="131" customFormat="false" ht="23.25" hidden="false" customHeight="true" outlineLevel="0" collapsed="false">
      <c r="A131" s="14" t="n">
        <v>130</v>
      </c>
      <c r="B131" s="14" t="s">
        <v>1642</v>
      </c>
      <c r="C131" s="15"/>
      <c r="D131" s="15" t="s">
        <v>1643</v>
      </c>
      <c r="E131" s="15" t="s">
        <v>1644</v>
      </c>
      <c r="F131" s="14"/>
      <c r="G131" s="15" t="s">
        <v>1340</v>
      </c>
      <c r="H131" s="15" t="s">
        <v>1341</v>
      </c>
      <c r="I131" s="15" t="s">
        <v>1645</v>
      </c>
    </row>
    <row r="132" customFormat="false" ht="23.25" hidden="false" customHeight="true" outlineLevel="0" collapsed="false">
      <c r="A132" s="14" t="n">
        <v>131</v>
      </c>
      <c r="B132" s="14" t="s">
        <v>1646</v>
      </c>
      <c r="C132" s="15"/>
      <c r="D132" s="15" t="s">
        <v>1647</v>
      </c>
      <c r="E132" s="15" t="s">
        <v>1648</v>
      </c>
      <c r="F132" s="14"/>
      <c r="G132" s="15" t="s">
        <v>1381</v>
      </c>
      <c r="H132" s="15" t="s">
        <v>1341</v>
      </c>
      <c r="I132" s="15" t="s">
        <v>1649</v>
      </c>
    </row>
    <row r="133" customFormat="false" ht="23.25" hidden="false" customHeight="true" outlineLevel="0" collapsed="false">
      <c r="A133" s="14" t="n">
        <v>132</v>
      </c>
      <c r="B133" s="14" t="s">
        <v>1650</v>
      </c>
      <c r="C133" s="15"/>
      <c r="D133" s="15" t="s">
        <v>1651</v>
      </c>
      <c r="E133" s="15" t="s">
        <v>1652</v>
      </c>
      <c r="F133" s="14"/>
      <c r="G133" s="15" t="s">
        <v>1381</v>
      </c>
      <c r="H133" s="15" t="s">
        <v>1341</v>
      </c>
      <c r="I133" s="15" t="s">
        <v>246</v>
      </c>
    </row>
    <row r="134" customFormat="false" ht="23.25" hidden="false" customHeight="true" outlineLevel="0" collapsed="false">
      <c r="A134" s="14" t="n">
        <v>133</v>
      </c>
      <c r="B134" s="14" t="s">
        <v>1653</v>
      </c>
      <c r="C134" s="15"/>
      <c r="D134" s="15" t="s">
        <v>1654</v>
      </c>
      <c r="E134" s="15" t="s">
        <v>1655</v>
      </c>
      <c r="F134" s="14"/>
      <c r="G134" s="15" t="s">
        <v>1340</v>
      </c>
      <c r="H134" s="15" t="s">
        <v>1341</v>
      </c>
      <c r="I134" s="15" t="s">
        <v>246</v>
      </c>
    </row>
    <row r="135" customFormat="false" ht="23.25" hidden="false" customHeight="true" outlineLevel="0" collapsed="false">
      <c r="A135" s="14" t="n">
        <v>134</v>
      </c>
      <c r="B135" s="14" t="s">
        <v>1656</v>
      </c>
      <c r="C135" s="15"/>
      <c r="D135" s="15" t="s">
        <v>1657</v>
      </c>
      <c r="E135" s="15" t="s">
        <v>1658</v>
      </c>
      <c r="F135" s="14"/>
      <c r="G135" s="15" t="s">
        <v>1381</v>
      </c>
      <c r="H135" s="15" t="s">
        <v>1341</v>
      </c>
      <c r="I135" s="15" t="s">
        <v>1659</v>
      </c>
    </row>
    <row r="136" customFormat="false" ht="23.25" hidden="false" customHeight="true" outlineLevel="0" collapsed="false">
      <c r="A136" s="14" t="n">
        <v>135</v>
      </c>
      <c r="B136" s="14" t="s">
        <v>1290</v>
      </c>
      <c r="C136" s="15"/>
      <c r="D136" s="15" t="s">
        <v>1292</v>
      </c>
      <c r="E136" s="15" t="s">
        <v>1293</v>
      </c>
      <c r="F136" s="14" t="n">
        <v>12</v>
      </c>
      <c r="G136" s="15" t="s">
        <v>1660</v>
      </c>
      <c r="H136" s="15" t="s">
        <v>1341</v>
      </c>
      <c r="I136" s="15" t="s">
        <v>1297</v>
      </c>
    </row>
    <row r="137" customFormat="false" ht="34.5" hidden="false" customHeight="true" outlineLevel="0" collapsed="false">
      <c r="A137" s="14" t="n">
        <v>136</v>
      </c>
      <c r="B137" s="14" t="s">
        <v>1661</v>
      </c>
      <c r="C137" s="15"/>
      <c r="D137" s="15" t="s">
        <v>1662</v>
      </c>
      <c r="E137" s="15" t="s">
        <v>1663</v>
      </c>
      <c r="F137" s="14"/>
      <c r="G137" s="15" t="s">
        <v>1381</v>
      </c>
      <c r="H137" s="15" t="s">
        <v>1341</v>
      </c>
      <c r="I137" s="15" t="s">
        <v>246</v>
      </c>
    </row>
    <row r="138" customFormat="false" ht="34.5" hidden="false" customHeight="true" outlineLevel="0" collapsed="false">
      <c r="A138" s="14" t="n">
        <v>137</v>
      </c>
      <c r="B138" s="14" t="s">
        <v>1664</v>
      </c>
      <c r="C138" s="15"/>
      <c r="D138" s="15" t="s">
        <v>1665</v>
      </c>
      <c r="E138" s="15" t="s">
        <v>1666</v>
      </c>
      <c r="F138" s="14"/>
      <c r="G138" s="15" t="s">
        <v>1340</v>
      </c>
      <c r="H138" s="15" t="s">
        <v>1341</v>
      </c>
      <c r="I138" s="15" t="s">
        <v>1364</v>
      </c>
    </row>
    <row r="139" customFormat="false" ht="23.25" hidden="false" customHeight="true" outlineLevel="0" collapsed="false">
      <c r="A139" s="14" t="n">
        <v>138</v>
      </c>
      <c r="B139" s="14" t="s">
        <v>1667</v>
      </c>
      <c r="C139" s="15"/>
      <c r="D139" s="15" t="s">
        <v>1668</v>
      </c>
      <c r="E139" s="15" t="s">
        <v>1669</v>
      </c>
      <c r="F139" s="14"/>
      <c r="G139" s="15" t="s">
        <v>1381</v>
      </c>
      <c r="H139" s="15" t="s">
        <v>1341</v>
      </c>
      <c r="I139" s="15" t="s">
        <v>1670</v>
      </c>
    </row>
    <row r="140" customFormat="false" ht="23.25" hidden="false" customHeight="true" outlineLevel="0" collapsed="false">
      <c r="A140" s="14" t="n">
        <v>139</v>
      </c>
      <c r="B140" s="14" t="s">
        <v>1671</v>
      </c>
      <c r="C140" s="15"/>
      <c r="D140" s="15" t="s">
        <v>1672</v>
      </c>
      <c r="E140" s="15" t="s">
        <v>1673</v>
      </c>
      <c r="F140" s="14"/>
      <c r="G140" s="15" t="s">
        <v>1381</v>
      </c>
      <c r="H140" s="15" t="s">
        <v>1341</v>
      </c>
      <c r="I140" s="15" t="s">
        <v>246</v>
      </c>
    </row>
    <row r="141" customFormat="false" ht="23.25" hidden="false" customHeight="true" outlineLevel="0" collapsed="false">
      <c r="A141" s="14" t="n">
        <v>140</v>
      </c>
      <c r="B141" s="14" t="s">
        <v>1674</v>
      </c>
      <c r="C141" s="15"/>
      <c r="D141" s="15" t="s">
        <v>1675</v>
      </c>
      <c r="E141" s="15" t="s">
        <v>1676</v>
      </c>
      <c r="F141" s="14"/>
      <c r="G141" s="15" t="s">
        <v>1340</v>
      </c>
      <c r="H141" s="15" t="s">
        <v>1341</v>
      </c>
      <c r="I141" s="15" t="s">
        <v>246</v>
      </c>
    </row>
    <row r="142" customFormat="false" ht="23.25" hidden="false" customHeight="true" outlineLevel="0" collapsed="false">
      <c r="A142" s="14" t="n">
        <v>141</v>
      </c>
      <c r="B142" s="14" t="s">
        <v>1677</v>
      </c>
      <c r="C142" s="15"/>
      <c r="D142" s="15" t="s">
        <v>1678</v>
      </c>
      <c r="E142" s="15" t="s">
        <v>1679</v>
      </c>
      <c r="F142" s="14"/>
      <c r="G142" s="15" t="s">
        <v>1340</v>
      </c>
      <c r="H142" s="15" t="s">
        <v>1341</v>
      </c>
      <c r="I142" s="15" t="s">
        <v>246</v>
      </c>
    </row>
    <row r="143" customFormat="false" ht="23.25" hidden="false" customHeight="true" outlineLevel="0" collapsed="false">
      <c r="A143" s="14" t="n">
        <v>142</v>
      </c>
      <c r="B143" s="14" t="s">
        <v>1680</v>
      </c>
      <c r="C143" s="15"/>
      <c r="D143" s="15" t="s">
        <v>1681</v>
      </c>
      <c r="E143" s="15" t="s">
        <v>1682</v>
      </c>
      <c r="F143" s="14"/>
      <c r="G143" s="15" t="s">
        <v>1340</v>
      </c>
      <c r="H143" s="15" t="s">
        <v>1341</v>
      </c>
      <c r="I143" s="15" t="s">
        <v>246</v>
      </c>
    </row>
    <row r="144" customFormat="false" ht="23.25" hidden="false" customHeight="true" outlineLevel="0" collapsed="false">
      <c r="A144" s="14" t="n">
        <v>143</v>
      </c>
      <c r="B144" s="14" t="s">
        <v>1683</v>
      </c>
      <c r="C144" s="15"/>
      <c r="D144" s="15" t="s">
        <v>1684</v>
      </c>
      <c r="E144" s="15" t="s">
        <v>1685</v>
      </c>
      <c r="F144" s="14"/>
      <c r="G144" s="15" t="s">
        <v>1340</v>
      </c>
      <c r="H144" s="15" t="s">
        <v>1341</v>
      </c>
      <c r="I144" s="15" t="s">
        <v>1686</v>
      </c>
    </row>
    <row r="145" customFormat="false" ht="45.75" hidden="false" customHeight="true" outlineLevel="0" collapsed="false">
      <c r="A145" s="14" t="n">
        <v>144</v>
      </c>
      <c r="B145" s="14" t="s">
        <v>1687</v>
      </c>
      <c r="C145" s="15"/>
      <c r="D145" s="15" t="s">
        <v>1688</v>
      </c>
      <c r="E145" s="15" t="s">
        <v>1689</v>
      </c>
      <c r="F145" s="14"/>
      <c r="G145" s="15" t="s">
        <v>1381</v>
      </c>
      <c r="H145" s="15" t="s">
        <v>1341</v>
      </c>
      <c r="I145" s="15" t="s">
        <v>1690</v>
      </c>
    </row>
    <row r="146" customFormat="false" ht="23.25" hidden="false" customHeight="true" outlineLevel="0" collapsed="false">
      <c r="A146" s="14" t="n">
        <v>145</v>
      </c>
      <c r="B146" s="14" t="s">
        <v>1691</v>
      </c>
      <c r="C146" s="15"/>
      <c r="D146" s="15" t="s">
        <v>1692</v>
      </c>
      <c r="E146" s="15" t="s">
        <v>1693</v>
      </c>
      <c r="F146" s="14"/>
      <c r="G146" s="15" t="s">
        <v>1340</v>
      </c>
      <c r="H146" s="15" t="s">
        <v>1341</v>
      </c>
      <c r="I146" s="15" t="s">
        <v>1694</v>
      </c>
    </row>
    <row r="147" customFormat="false" ht="34.5" hidden="false" customHeight="true" outlineLevel="0" collapsed="false">
      <c r="A147" s="14" t="n">
        <v>146</v>
      </c>
      <c r="B147" s="14" t="s">
        <v>1695</v>
      </c>
      <c r="C147" s="15"/>
      <c r="D147" s="15" t="s">
        <v>1696</v>
      </c>
      <c r="E147" s="15" t="s">
        <v>1697</v>
      </c>
      <c r="F147" s="14"/>
      <c r="G147" s="15" t="s">
        <v>1340</v>
      </c>
      <c r="H147" s="15" t="s">
        <v>1341</v>
      </c>
      <c r="I147" s="15" t="s">
        <v>1698</v>
      </c>
    </row>
    <row r="148" customFormat="false" ht="23.25" hidden="false" customHeight="true" outlineLevel="0" collapsed="false">
      <c r="A148" s="14" t="n">
        <v>147</v>
      </c>
      <c r="B148" s="14" t="s">
        <v>1699</v>
      </c>
      <c r="C148" s="15"/>
      <c r="D148" s="15" t="s">
        <v>1700</v>
      </c>
      <c r="E148" s="15" t="s">
        <v>1701</v>
      </c>
      <c r="F148" s="14"/>
      <c r="G148" s="15" t="s">
        <v>1381</v>
      </c>
      <c r="H148" s="15" t="s">
        <v>1341</v>
      </c>
      <c r="I148" s="15" t="s">
        <v>1545</v>
      </c>
    </row>
    <row r="149" customFormat="false" ht="23.25" hidden="false" customHeight="true" outlineLevel="0" collapsed="false">
      <c r="A149" s="14" t="n">
        <v>148</v>
      </c>
      <c r="B149" s="14" t="s">
        <v>1702</v>
      </c>
      <c r="C149" s="15"/>
      <c r="D149" s="15" t="s">
        <v>1703</v>
      </c>
      <c r="E149" s="15" t="s">
        <v>1704</v>
      </c>
      <c r="F149" s="14"/>
      <c r="G149" s="15" t="s">
        <v>1381</v>
      </c>
      <c r="H149" s="15" t="s">
        <v>1341</v>
      </c>
      <c r="I149" s="15" t="s">
        <v>1705</v>
      </c>
    </row>
    <row r="150" customFormat="false" ht="34.5" hidden="false" customHeight="true" outlineLevel="0" collapsed="false">
      <c r="A150" s="14" t="n">
        <v>149</v>
      </c>
      <c r="B150" s="14" t="s">
        <v>1706</v>
      </c>
      <c r="C150" s="15"/>
      <c r="D150" s="15" t="s">
        <v>1707</v>
      </c>
      <c r="E150" s="15" t="s">
        <v>1708</v>
      </c>
      <c r="F150" s="14"/>
      <c r="G150" s="15" t="s">
        <v>1340</v>
      </c>
      <c r="H150" s="15" t="s">
        <v>1341</v>
      </c>
      <c r="I150" s="15" t="s">
        <v>1709</v>
      </c>
    </row>
    <row r="151" customFormat="false" ht="23.25" hidden="false" customHeight="true" outlineLevel="0" collapsed="false">
      <c r="A151" s="14" t="n">
        <v>150</v>
      </c>
      <c r="B151" s="14" t="s">
        <v>1710</v>
      </c>
      <c r="C151" s="15"/>
      <c r="D151" s="15" t="s">
        <v>1711</v>
      </c>
      <c r="E151" s="15" t="s">
        <v>1712</v>
      </c>
      <c r="F151" s="14"/>
      <c r="G151" s="15" t="s">
        <v>1340</v>
      </c>
      <c r="H151" s="15" t="s">
        <v>1341</v>
      </c>
      <c r="I151" s="15" t="s">
        <v>246</v>
      </c>
    </row>
    <row r="152" customFormat="false" ht="34.5" hidden="false" customHeight="true" outlineLevel="0" collapsed="false">
      <c r="A152" s="14" t="n">
        <v>151</v>
      </c>
      <c r="B152" s="14" t="s">
        <v>1713</v>
      </c>
      <c r="C152" s="15"/>
      <c r="D152" s="15" t="s">
        <v>1714</v>
      </c>
      <c r="E152" s="15" t="s">
        <v>1715</v>
      </c>
      <c r="F152" s="14"/>
      <c r="G152" s="15" t="s">
        <v>1340</v>
      </c>
      <c r="H152" s="15" t="s">
        <v>1341</v>
      </c>
      <c r="I152" s="15" t="s">
        <v>1716</v>
      </c>
    </row>
    <row r="153" customFormat="false" ht="45.75" hidden="false" customHeight="true" outlineLevel="0" collapsed="false">
      <c r="A153" s="14" t="n">
        <v>152</v>
      </c>
      <c r="B153" s="14" t="s">
        <v>1717</v>
      </c>
      <c r="C153" s="15"/>
      <c r="D153" s="15" t="s">
        <v>1718</v>
      </c>
      <c r="E153" s="15" t="s">
        <v>1719</v>
      </c>
      <c r="F153" s="14"/>
      <c r="G153" s="15" t="s">
        <v>1381</v>
      </c>
      <c r="H153" s="15" t="s">
        <v>1341</v>
      </c>
      <c r="I153" s="15" t="s">
        <v>1720</v>
      </c>
    </row>
    <row r="154" customFormat="false" ht="45.75" hidden="false" customHeight="true" outlineLevel="0" collapsed="false">
      <c r="A154" s="14" t="n">
        <v>153</v>
      </c>
      <c r="B154" s="14" t="s">
        <v>1721</v>
      </c>
      <c r="C154" s="15"/>
      <c r="D154" s="15" t="s">
        <v>1722</v>
      </c>
      <c r="E154" s="15" t="s">
        <v>1666</v>
      </c>
      <c r="F154" s="14"/>
      <c r="G154" s="15" t="s">
        <v>1340</v>
      </c>
      <c r="H154" s="15" t="s">
        <v>1341</v>
      </c>
      <c r="I154" s="15" t="s">
        <v>1698</v>
      </c>
    </row>
    <row r="155" customFormat="false" ht="45.75" hidden="false" customHeight="true" outlineLevel="0" collapsed="false">
      <c r="A155" s="14" t="n">
        <v>154</v>
      </c>
      <c r="B155" s="14" t="s">
        <v>1723</v>
      </c>
      <c r="C155" s="15"/>
      <c r="D155" s="15" t="s">
        <v>1724</v>
      </c>
      <c r="E155" s="15" t="s">
        <v>1725</v>
      </c>
      <c r="F155" s="14"/>
      <c r="G155" s="15" t="s">
        <v>1340</v>
      </c>
      <c r="H155" s="15" t="s">
        <v>1341</v>
      </c>
      <c r="I155" s="15" t="s">
        <v>246</v>
      </c>
    </row>
    <row r="156" customFormat="false" ht="23.25" hidden="false" customHeight="true" outlineLevel="0" collapsed="false">
      <c r="A156" s="14" t="n">
        <v>155</v>
      </c>
      <c r="B156" s="14" t="s">
        <v>1726</v>
      </c>
      <c r="C156" s="15"/>
      <c r="D156" s="15" t="s">
        <v>1727</v>
      </c>
      <c r="E156" s="15" t="s">
        <v>1728</v>
      </c>
      <c r="F156" s="14"/>
      <c r="G156" s="15" t="s">
        <v>1340</v>
      </c>
      <c r="H156" s="15" t="s">
        <v>1341</v>
      </c>
      <c r="I156" s="15" t="s">
        <v>246</v>
      </c>
    </row>
    <row r="157" customFormat="false" ht="23.25" hidden="false" customHeight="true" outlineLevel="0" collapsed="false">
      <c r="A157" s="14" t="n">
        <v>156</v>
      </c>
      <c r="B157" s="14" t="s">
        <v>1729</v>
      </c>
      <c r="C157" s="15"/>
      <c r="D157" s="15" t="s">
        <v>1730</v>
      </c>
      <c r="E157" s="15" t="s">
        <v>1731</v>
      </c>
      <c r="F157" s="14"/>
      <c r="G157" s="15" t="s">
        <v>1381</v>
      </c>
      <c r="H157" s="15" t="s">
        <v>1341</v>
      </c>
      <c r="I157" s="15" t="s">
        <v>1732</v>
      </c>
    </row>
    <row r="158" customFormat="false" ht="34.5" hidden="false" customHeight="true" outlineLevel="0" collapsed="false">
      <c r="A158" s="14" t="n">
        <v>157</v>
      </c>
      <c r="B158" s="14" t="s">
        <v>1733</v>
      </c>
      <c r="C158" s="15"/>
      <c r="D158" s="15" t="s">
        <v>1734</v>
      </c>
      <c r="E158" s="15" t="s">
        <v>1735</v>
      </c>
      <c r="F158" s="14"/>
      <c r="G158" s="15" t="s">
        <v>1340</v>
      </c>
      <c r="H158" s="15" t="s">
        <v>1341</v>
      </c>
      <c r="I158" s="15" t="s">
        <v>246</v>
      </c>
    </row>
    <row r="159" customFormat="false" ht="34.5" hidden="false" customHeight="true" outlineLevel="0" collapsed="false">
      <c r="A159" s="14" t="n">
        <v>158</v>
      </c>
      <c r="B159" s="14" t="s">
        <v>1736</v>
      </c>
      <c r="C159" s="15"/>
      <c r="D159" s="15" t="s">
        <v>1737</v>
      </c>
      <c r="E159" s="15" t="s">
        <v>1738</v>
      </c>
      <c r="F159" s="14"/>
      <c r="G159" s="15" t="s">
        <v>1340</v>
      </c>
      <c r="H159" s="15" t="s">
        <v>1341</v>
      </c>
      <c r="I159" s="15" t="s">
        <v>1739</v>
      </c>
    </row>
    <row r="160" customFormat="false" ht="34.5" hidden="false" customHeight="true" outlineLevel="0" collapsed="false">
      <c r="A160" s="14" t="n">
        <v>159</v>
      </c>
      <c r="B160" s="14" t="s">
        <v>1740</v>
      </c>
      <c r="C160" s="15"/>
      <c r="D160" s="15" t="s">
        <v>1741</v>
      </c>
      <c r="E160" s="15" t="s">
        <v>1742</v>
      </c>
      <c r="F160" s="14"/>
      <c r="G160" s="15" t="s">
        <v>1340</v>
      </c>
      <c r="H160" s="15" t="s">
        <v>1341</v>
      </c>
      <c r="I160" s="15" t="s">
        <v>1545</v>
      </c>
    </row>
    <row r="161" customFormat="false" ht="45.75" hidden="false" customHeight="true" outlineLevel="0" collapsed="false">
      <c r="A161" s="14" t="n">
        <v>160</v>
      </c>
      <c r="B161" s="14" t="s">
        <v>1743</v>
      </c>
      <c r="C161" s="15"/>
      <c r="D161" s="15" t="s">
        <v>1744</v>
      </c>
      <c r="E161" s="15" t="s">
        <v>1745</v>
      </c>
      <c r="F161" s="14"/>
      <c r="G161" s="15" t="s">
        <v>1381</v>
      </c>
      <c r="H161" s="15" t="s">
        <v>1341</v>
      </c>
      <c r="I161" s="15" t="s">
        <v>1545</v>
      </c>
    </row>
    <row r="162" customFormat="false" ht="34.5" hidden="false" customHeight="true" outlineLevel="0" collapsed="false">
      <c r="A162" s="14" t="n">
        <v>161</v>
      </c>
      <c r="B162" s="14" t="s">
        <v>1746</v>
      </c>
      <c r="C162" s="15"/>
      <c r="D162" s="15" t="s">
        <v>1747</v>
      </c>
      <c r="E162" s="15" t="s">
        <v>1748</v>
      </c>
      <c r="F162" s="14"/>
      <c r="G162" s="15" t="s">
        <v>1381</v>
      </c>
      <c r="H162" s="15" t="s">
        <v>1341</v>
      </c>
      <c r="I162" s="15" t="s">
        <v>1749</v>
      </c>
    </row>
    <row r="163" customFormat="false" ht="23.25" hidden="false" customHeight="true" outlineLevel="0" collapsed="false">
      <c r="A163" s="14" t="n">
        <v>162</v>
      </c>
      <c r="B163" s="14" t="s">
        <v>1750</v>
      </c>
      <c r="C163" s="15"/>
      <c r="D163" s="15" t="s">
        <v>1751</v>
      </c>
      <c r="E163" s="15" t="s">
        <v>1666</v>
      </c>
      <c r="F163" s="14"/>
      <c r="G163" s="15" t="s">
        <v>1340</v>
      </c>
      <c r="H163" s="15" t="s">
        <v>1341</v>
      </c>
      <c r="I163" s="15" t="s">
        <v>1752</v>
      </c>
    </row>
    <row r="164" customFormat="false" ht="34.5" hidden="false" customHeight="true" outlineLevel="0" collapsed="false">
      <c r="A164" s="14" t="n">
        <v>163</v>
      </c>
      <c r="B164" s="14" t="s">
        <v>1753</v>
      </c>
      <c r="C164" s="15"/>
      <c r="D164" s="15" t="s">
        <v>1754</v>
      </c>
      <c r="E164" s="15" t="s">
        <v>1755</v>
      </c>
      <c r="F164" s="14"/>
      <c r="G164" s="15" t="s">
        <v>1381</v>
      </c>
      <c r="H164" s="15" t="s">
        <v>1341</v>
      </c>
      <c r="I164" s="15" t="s">
        <v>246</v>
      </c>
    </row>
    <row r="165" customFormat="false" ht="23.25" hidden="false" customHeight="true" outlineLevel="0" collapsed="false">
      <c r="A165" s="14" t="n">
        <v>164</v>
      </c>
      <c r="B165" s="14" t="s">
        <v>1756</v>
      </c>
      <c r="C165" s="15"/>
      <c r="D165" s="15" t="s">
        <v>1757</v>
      </c>
      <c r="E165" s="15" t="s">
        <v>1758</v>
      </c>
      <c r="F165" s="14"/>
      <c r="G165" s="15" t="s">
        <v>1330</v>
      </c>
      <c r="H165" s="15" t="s">
        <v>1341</v>
      </c>
      <c r="I165" s="15" t="s">
        <v>1759</v>
      </c>
    </row>
    <row r="166" customFormat="false" ht="23.25" hidden="false" customHeight="true" outlineLevel="0" collapsed="false">
      <c r="A166" s="14" t="n">
        <v>165</v>
      </c>
      <c r="B166" s="14" t="s">
        <v>1760</v>
      </c>
      <c r="C166" s="15"/>
      <c r="D166" s="15" t="s">
        <v>1761</v>
      </c>
      <c r="E166" s="15" t="s">
        <v>1762</v>
      </c>
      <c r="F166" s="14"/>
      <c r="G166" s="15" t="s">
        <v>1340</v>
      </c>
      <c r="H166" s="15" t="s">
        <v>1341</v>
      </c>
      <c r="I166" s="15" t="s">
        <v>1763</v>
      </c>
    </row>
    <row r="167" customFormat="false" ht="23.25" hidden="false" customHeight="true" outlineLevel="0" collapsed="false">
      <c r="A167" s="14" t="n">
        <v>166</v>
      </c>
      <c r="B167" s="14" t="s">
        <v>1764</v>
      </c>
      <c r="C167" s="15"/>
      <c r="D167" s="15" t="s">
        <v>1765</v>
      </c>
      <c r="E167" s="15" t="s">
        <v>1766</v>
      </c>
      <c r="F167" s="14"/>
      <c r="G167" s="15" t="s">
        <v>1381</v>
      </c>
      <c r="H167" s="15" t="s">
        <v>1341</v>
      </c>
      <c r="I167" s="15" t="s">
        <v>1767</v>
      </c>
    </row>
    <row r="168" customFormat="false" ht="23.25" hidden="false" customHeight="true" outlineLevel="0" collapsed="false">
      <c r="A168" s="14" t="n">
        <v>167</v>
      </c>
      <c r="B168" s="14" t="s">
        <v>1768</v>
      </c>
      <c r="C168" s="15"/>
      <c r="D168" s="15" t="s">
        <v>1769</v>
      </c>
      <c r="E168" s="15" t="s">
        <v>1770</v>
      </c>
      <c r="F168" s="14"/>
      <c r="G168" s="15" t="s">
        <v>1340</v>
      </c>
      <c r="H168" s="15" t="s">
        <v>1341</v>
      </c>
      <c r="I168" s="15" t="s">
        <v>1771</v>
      </c>
    </row>
    <row r="169" customFormat="false" ht="15" hidden="false" customHeight="true" outlineLevel="0" collapsed="false">
      <c r="A169" s="1" t="n">
        <v>168</v>
      </c>
      <c r="B169" s="1" t="s">
        <v>1772</v>
      </c>
      <c r="C169" s="1" t="s">
        <v>1773</v>
      </c>
      <c r="D169" s="1" t="s">
        <v>1774</v>
      </c>
      <c r="E169" s="1" t="s">
        <v>1775</v>
      </c>
      <c r="F169" s="1" t="n">
        <v>15</v>
      </c>
      <c r="G169" s="1" t="s">
        <v>1776</v>
      </c>
      <c r="H169" s="1" t="s">
        <v>1777</v>
      </c>
      <c r="I169" s="1" t="s">
        <v>1778</v>
      </c>
    </row>
    <row r="170" customFormat="false" ht="15" hidden="false" customHeight="true" outlineLevel="0" collapsed="false">
      <c r="A170" s="1" t="n">
        <v>169</v>
      </c>
      <c r="B170" s="1" t="s">
        <v>1779</v>
      </c>
      <c r="C170" s="1" t="s">
        <v>1773</v>
      </c>
      <c r="D170" s="1" t="s">
        <v>1780</v>
      </c>
      <c r="E170" s="1" t="s">
        <v>1781</v>
      </c>
      <c r="F170" s="1" t="n">
        <v>3</v>
      </c>
      <c r="G170" s="1" t="s">
        <v>1782</v>
      </c>
      <c r="H170" s="1" t="s">
        <v>1777</v>
      </c>
      <c r="I170" s="1" t="s">
        <v>1783</v>
      </c>
    </row>
    <row r="171" customFormat="false" ht="15" hidden="false" customHeight="true" outlineLevel="0" collapsed="false">
      <c r="A171" s="1" t="n">
        <v>170</v>
      </c>
      <c r="B171" s="1" t="s">
        <v>1784</v>
      </c>
      <c r="C171" s="1" t="s">
        <v>1773</v>
      </c>
      <c r="D171" s="1" t="s">
        <v>1785</v>
      </c>
      <c r="E171" s="1" t="s">
        <v>1786</v>
      </c>
      <c r="F171" s="1" t="n">
        <v>3</v>
      </c>
      <c r="G171" s="1" t="s">
        <v>1787</v>
      </c>
      <c r="H171" s="1" t="s">
        <v>1777</v>
      </c>
      <c r="I171" s="1" t="s">
        <v>1788</v>
      </c>
    </row>
    <row r="172" customFormat="false" ht="15" hidden="false" customHeight="true" outlineLevel="0" collapsed="false">
      <c r="A172" s="1" t="n">
        <v>171</v>
      </c>
      <c r="B172" s="1" t="s">
        <v>1789</v>
      </c>
      <c r="C172" s="1" t="s">
        <v>1790</v>
      </c>
      <c r="D172" s="1" t="s">
        <v>1791</v>
      </c>
      <c r="E172" s="1" t="s">
        <v>1792</v>
      </c>
      <c r="F172" s="1" t="n">
        <v>1</v>
      </c>
      <c r="G172" s="1" t="s">
        <v>1782</v>
      </c>
      <c r="H172" s="1" t="s">
        <v>1777</v>
      </c>
      <c r="I172" s="1" t="s">
        <v>1793</v>
      </c>
    </row>
    <row r="173" customFormat="false" ht="15" hidden="false" customHeight="true" outlineLevel="0" collapsed="false">
      <c r="A173" s="1" t="n">
        <v>172</v>
      </c>
      <c r="B173" s="1" t="s">
        <v>1794</v>
      </c>
      <c r="C173" s="1" t="s">
        <v>1790</v>
      </c>
      <c r="D173" s="1" t="s">
        <v>1795</v>
      </c>
      <c r="E173" s="1" t="s">
        <v>1796</v>
      </c>
      <c r="F173" s="1" t="n">
        <v>2</v>
      </c>
      <c r="G173" s="1" t="s">
        <v>1782</v>
      </c>
      <c r="H173" s="1" t="s">
        <v>1777</v>
      </c>
      <c r="I173" s="1" t="s">
        <v>1797</v>
      </c>
    </row>
    <row r="174" customFormat="false" ht="15" hidden="false" customHeight="true" outlineLevel="0" collapsed="false">
      <c r="A174" s="1" t="n">
        <v>173</v>
      </c>
      <c r="B174" s="1" t="s">
        <v>1798</v>
      </c>
      <c r="C174" s="1" t="s">
        <v>1790</v>
      </c>
      <c r="D174" s="1" t="s">
        <v>1799</v>
      </c>
      <c r="E174" s="1" t="s">
        <v>1800</v>
      </c>
      <c r="F174" s="1" t="n">
        <v>10</v>
      </c>
      <c r="G174" s="1" t="s">
        <v>1776</v>
      </c>
      <c r="H174" s="1" t="s">
        <v>1777</v>
      </c>
      <c r="I174" s="1" t="s">
        <v>1801</v>
      </c>
    </row>
    <row r="175" customFormat="false" ht="15" hidden="false" customHeight="true" outlineLevel="0" collapsed="false">
      <c r="A175" s="1" t="n">
        <v>174</v>
      </c>
      <c r="B175" s="1" t="s">
        <v>1802</v>
      </c>
      <c r="C175" s="1" t="s">
        <v>1790</v>
      </c>
      <c r="D175" s="1" t="s">
        <v>1803</v>
      </c>
      <c r="E175" s="1" t="s">
        <v>1804</v>
      </c>
      <c r="F175" s="1" t="n">
        <v>6</v>
      </c>
      <c r="G175" s="1" t="s">
        <v>1782</v>
      </c>
      <c r="H175" s="1" t="s">
        <v>1777</v>
      </c>
      <c r="I175" s="1" t="s">
        <v>1805</v>
      </c>
    </row>
    <row r="176" customFormat="false" ht="15" hidden="false" customHeight="true" outlineLevel="0" collapsed="false">
      <c r="A176" s="1" t="n">
        <v>175</v>
      </c>
      <c r="B176" s="1" t="s">
        <v>1806</v>
      </c>
      <c r="C176" s="1" t="s">
        <v>1807</v>
      </c>
      <c r="D176" s="1" t="s">
        <v>1808</v>
      </c>
      <c r="E176" s="1" t="s">
        <v>1809</v>
      </c>
      <c r="F176" s="1" t="n">
        <v>14</v>
      </c>
      <c r="G176" s="1" t="s">
        <v>1776</v>
      </c>
      <c r="H176" s="1" t="s">
        <v>1777</v>
      </c>
      <c r="I176" s="1" t="s">
        <v>1810</v>
      </c>
    </row>
    <row r="177" customFormat="false" ht="15" hidden="false" customHeight="true" outlineLevel="0" collapsed="false">
      <c r="A177" s="1" t="n">
        <v>176</v>
      </c>
      <c r="B177" s="1" t="s">
        <v>1811</v>
      </c>
      <c r="C177" s="1" t="s">
        <v>1812</v>
      </c>
      <c r="D177" s="1" t="s">
        <v>1813</v>
      </c>
      <c r="E177" s="1" t="s">
        <v>1814</v>
      </c>
      <c r="F177" s="1" t="n">
        <v>19</v>
      </c>
      <c r="G177" s="1" t="s">
        <v>1776</v>
      </c>
      <c r="H177" s="1" t="s">
        <v>1777</v>
      </c>
      <c r="I177" s="1" t="s">
        <v>1815</v>
      </c>
    </row>
    <row r="178"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30"/>
  </cols>
  <sheetData>
    <row r="1" customFormat="false" ht="17.25" hidden="false" customHeight="true" outlineLevel="0" collapsed="false">
      <c r="A1" s="16" t="s">
        <v>1816</v>
      </c>
    </row>
    <row r="2" customFormat="false" ht="15" hidden="false" customHeight="true" outlineLevel="0" collapsed="false">
      <c r="A2" s="17"/>
    </row>
    <row r="3" customFormat="false" ht="15" hidden="false" customHeight="true" outlineLevel="0" collapsed="false">
      <c r="A3" s="17" t="s">
        <v>1817</v>
      </c>
    </row>
    <row r="4" customFormat="false" ht="15" hidden="false" customHeight="true" outlineLevel="0" collapsed="false">
      <c r="A4" s="17" t="s">
        <v>1818</v>
      </c>
    </row>
    <row r="5" customFormat="false" ht="15" hidden="false" customHeight="true" outlineLevel="0" collapsed="false">
      <c r="A5" s="17" t="s">
        <v>1819</v>
      </c>
    </row>
    <row r="6" customFormat="false" ht="15" hidden="false" customHeight="true" outlineLevel="0" collapsed="false">
      <c r="A6" s="17" t="s">
        <v>1820</v>
      </c>
    </row>
    <row r="7" customFormat="false" ht="15" hidden="false" customHeight="true" outlineLevel="0" collapsed="false">
      <c r="A7" s="17"/>
    </row>
    <row r="8" customFormat="false" ht="15" hidden="false" customHeight="true" outlineLevel="0" collapsed="false">
      <c r="A8" s="17" t="s">
        <v>1821</v>
      </c>
    </row>
    <row r="9" customFormat="false" ht="15" hidden="false" customHeight="true" outlineLevel="0" collapsed="false">
      <c r="A9" s="17" t="s">
        <v>1822</v>
      </c>
    </row>
    <row r="10" customFormat="false" ht="15" hidden="false" customHeight="true" outlineLevel="0" collapsed="false">
      <c r="A10" s="17" t="s">
        <v>1823</v>
      </c>
    </row>
    <row r="11" customFormat="false" ht="15" hidden="false" customHeight="true" outlineLevel="0" collapsed="false">
      <c r="A11" s="17"/>
    </row>
    <row r="12" customFormat="false" ht="15" hidden="false" customHeight="true" outlineLevel="0" collapsed="false">
      <c r="A12" s="17" t="s">
        <v>1824</v>
      </c>
    </row>
    <row r="13" customFormat="false" ht="15" hidden="false" customHeight="true" outlineLevel="0" collapsed="false">
      <c r="A13" s="17" t="s">
        <v>1825</v>
      </c>
    </row>
    <row r="14" customFormat="false" ht="15" hidden="false" customHeight="true" outlineLevel="0" collapsed="false">
      <c r="A14" s="17" t="s">
        <v>1826</v>
      </c>
    </row>
    <row r="15" customFormat="false" ht="15" hidden="false" customHeight="true" outlineLevel="0" collapsed="false">
      <c r="A15" s="17" t="s">
        <v>1827</v>
      </c>
    </row>
    <row r="16" customFormat="false" ht="15" hidden="false" customHeight="true" outlineLevel="0" collapsed="false">
      <c r="A16" s="17" t="s">
        <v>1828</v>
      </c>
    </row>
    <row r="17" customFormat="false" ht="15" hidden="false" customHeight="true" outlineLevel="0" collapsed="false">
      <c r="A17" s="17" t="s">
        <v>1829</v>
      </c>
    </row>
    <row r="18" customFormat="false" ht="15" hidden="false" customHeight="true" outlineLevel="0" collapsed="false">
      <c r="A18" s="17"/>
    </row>
    <row r="19" customFormat="false" ht="15" hidden="false" customHeight="true" outlineLevel="0" collapsed="false">
      <c r="A19" s="17" t="s">
        <v>1830</v>
      </c>
    </row>
    <row r="20" customFormat="false" ht="15" hidden="false" customHeight="true" outlineLevel="0" collapsed="false">
      <c r="A20" s="17" t="s">
        <v>1831</v>
      </c>
    </row>
    <row r="21" customFormat="false" ht="15" hidden="false" customHeight="true" outlineLevel="0" collapsed="false">
      <c r="A21" s="17" t="s">
        <v>1832</v>
      </c>
    </row>
    <row r="22" customFormat="false" ht="15" hidden="false" customHeight="true" outlineLevel="0" collapsed="false">
      <c r="A22" s="17"/>
    </row>
    <row r="23" customFormat="false" ht="15" hidden="false" customHeight="true" outlineLevel="0" collapsed="false">
      <c r="A23" s="17" t="s">
        <v>1833</v>
      </c>
    </row>
    <row r="24" customFormat="false" ht="15" hidden="false" customHeight="true" outlineLevel="0" collapsed="false">
      <c r="A24" s="17" t="s">
        <v>1834</v>
      </c>
    </row>
    <row r="25" customFormat="false" ht="15" hidden="false" customHeight="true" outlineLevel="0" collapsed="false">
      <c r="A25" s="17" t="s">
        <v>1835</v>
      </c>
    </row>
    <row r="26" customFormat="false" ht="15" hidden="false" customHeight="true" outlineLevel="0" collapsed="false">
      <c r="A26" s="17"/>
    </row>
    <row r="27" customFormat="false" ht="15" hidden="false" customHeight="true" outlineLevel="0" collapsed="false">
      <c r="A27" s="17" t="s">
        <v>1836</v>
      </c>
    </row>
    <row r="28" customFormat="false" ht="15" hidden="false" customHeight="true" outlineLevel="0" collapsed="false">
      <c r="A28" s="17" t="s">
        <v>1837</v>
      </c>
    </row>
    <row r="29" customFormat="false" ht="15" hidden="false" customHeight="true" outlineLevel="0" collapsed="false">
      <c r="A29" s="17" t="s">
        <v>1838</v>
      </c>
    </row>
    <row r="30" customFormat="false" ht="15" hidden="false" customHeight="true" outlineLevel="0" collapsed="false">
      <c r="A30" s="17"/>
    </row>
    <row r="31" customFormat="false" ht="15" hidden="false" customHeight="true" outlineLevel="0" collapsed="false">
      <c r="A31" s="17" t="s">
        <v>1839</v>
      </c>
    </row>
    <row r="32" customFormat="false" ht="15" hidden="false" customHeight="true" outlineLevel="0" collapsed="false">
      <c r="A32" s="17" t="s">
        <v>1840</v>
      </c>
    </row>
    <row r="33" customFormat="false" ht="15" hidden="false" customHeight="true" outlineLevel="0" collapsed="false">
      <c r="A33" s="17" t="s">
        <v>1841</v>
      </c>
    </row>
    <row r="34" customFormat="false" ht="15" hidden="false" customHeight="true" outlineLevel="0" collapsed="false">
      <c r="A34" s="17" t="s">
        <v>1842</v>
      </c>
    </row>
    <row r="35" customFormat="false" ht="15" hidden="false" customHeight="true" outlineLevel="0" collapsed="false">
      <c r="A35" s="17" t="s">
        <v>1843</v>
      </c>
    </row>
    <row r="36" customFormat="false" ht="15" hidden="false" customHeight="true" outlineLevel="0" collapsed="false">
      <c r="A36" s="17" t="s">
        <v>1844</v>
      </c>
    </row>
    <row r="37" customFormat="false" ht="15" hidden="false" customHeight="true" outlineLevel="0" collapsed="false">
      <c r="A37" s="17" t="s">
        <v>1845</v>
      </c>
    </row>
    <row r="38" customFormat="false" ht="15" hidden="false" customHeight="true" outlineLevel="0" collapsed="false">
      <c r="A38" s="17"/>
    </row>
    <row r="39" customFormat="false" ht="15" hidden="false" customHeight="true" outlineLevel="0" collapsed="false">
      <c r="A39" s="17" t="s">
        <v>1846</v>
      </c>
    </row>
    <row r="40" customFormat="false" ht="15" hidden="false" customHeight="true" outlineLevel="0" collapsed="false">
      <c r="A40" s="17" t="s">
        <v>1847</v>
      </c>
    </row>
    <row r="41" customFormat="false" ht="15" hidden="false" customHeight="true" outlineLevel="0" collapsed="false">
      <c r="A41" s="17" t="s">
        <v>1848</v>
      </c>
    </row>
    <row r="42" customFormat="false" ht="15" hidden="false" customHeight="true" outlineLevel="0" collapsed="false">
      <c r="A42" s="17" t="s">
        <v>1849</v>
      </c>
    </row>
    <row r="43" customFormat="false" ht="15" hidden="false" customHeight="true" outlineLevel="0" collapsed="false">
      <c r="A43" s="17" t="s">
        <v>1850</v>
      </c>
    </row>
    <row r="44" customFormat="false" ht="15" hidden="false" customHeight="true" outlineLevel="0" collapsed="false">
      <c r="A44" s="17" t="s">
        <v>1851</v>
      </c>
    </row>
    <row r="45" customFormat="false" ht="15" hidden="false" customHeight="true" outlineLevel="0" collapsed="false">
      <c r="A45" s="17" t="s">
        <v>1852</v>
      </c>
    </row>
    <row r="46" customFormat="false" ht="15" hidden="false" customHeight="true" outlineLevel="0" collapsed="false">
      <c r="A46" s="17"/>
    </row>
    <row r="47" customFormat="false" ht="15" hidden="false" customHeight="true" outlineLevel="0" collapsed="false">
      <c r="A47" s="17" t="s">
        <v>1853</v>
      </c>
    </row>
    <row r="48" customFormat="false" ht="15" hidden="false" customHeight="true" outlineLevel="0" collapsed="false">
      <c r="A48" s="17" t="s">
        <v>1854</v>
      </c>
    </row>
    <row r="49" customFormat="false" ht="15" hidden="false" customHeight="true" outlineLevel="0" collapsed="false">
      <c r="A49" s="17" t="s">
        <v>1855</v>
      </c>
    </row>
    <row r="50" customFormat="false" ht="15" hidden="false" customHeight="true" outlineLevel="0" collapsed="false">
      <c r="A50" s="17" t="s">
        <v>1856</v>
      </c>
    </row>
    <row r="51" customFormat="false" ht="15" hidden="false" customHeight="true" outlineLevel="0" collapsed="false">
      <c r="A51" s="17" t="s">
        <v>1857</v>
      </c>
    </row>
    <row r="52" customFormat="false" ht="15" hidden="false" customHeight="true" outlineLevel="0" collapsed="false">
      <c r="A52" s="17" t="s">
        <v>1858</v>
      </c>
    </row>
    <row r="53" customFormat="false" ht="15" hidden="false" customHeight="true" outlineLevel="0" collapsed="false">
      <c r="A53" s="17"/>
    </row>
    <row r="54" customFormat="false" ht="15" hidden="false" customHeight="true" outlineLevel="0" collapsed="false">
      <c r="A54" s="17" t="s">
        <v>1859</v>
      </c>
    </row>
    <row r="55" customFormat="false" ht="15" hidden="false" customHeight="true" outlineLevel="0" collapsed="false">
      <c r="A55" s="17" t="s">
        <v>1860</v>
      </c>
    </row>
    <row r="56" customFormat="false" ht="15" hidden="false" customHeight="true" outlineLevel="0" collapsed="false">
      <c r="A56" s="17" t="s">
        <v>1861</v>
      </c>
    </row>
    <row r="57" customFormat="false" ht="15" hidden="false" customHeight="true" outlineLevel="0" collapsed="false">
      <c r="A57" s="17" t="s">
        <v>1862</v>
      </c>
    </row>
    <row r="58" customFormat="false" ht="15" hidden="false" customHeight="true" outlineLevel="0" collapsed="false">
      <c r="A58" s="17" t="s">
        <v>1863</v>
      </c>
    </row>
    <row r="59" customFormat="false" ht="15" hidden="false" customHeight="true" outlineLevel="0" collapsed="false">
      <c r="A59" s="17"/>
    </row>
    <row r="60" customFormat="false" ht="15" hidden="false" customHeight="true" outlineLevel="0" collapsed="false">
      <c r="A60" s="17" t="s">
        <v>1864</v>
      </c>
    </row>
    <row r="61" customFormat="false" ht="15" hidden="false" customHeight="true" outlineLevel="0" collapsed="false">
      <c r="A61" s="17" t="s">
        <v>1865</v>
      </c>
    </row>
    <row r="62" customFormat="false" ht="15" hidden="false" customHeight="true" outlineLevel="0" collapsed="false">
      <c r="A62" s="17" t="s">
        <v>1866</v>
      </c>
    </row>
    <row r="63" customFormat="false" ht="15" hidden="false" customHeight="true" outlineLevel="0" collapsed="false">
      <c r="A63" s="17" t="s">
        <v>1867</v>
      </c>
    </row>
    <row r="64" customFormat="false" ht="15" hidden="false" customHeight="true" outlineLevel="0" collapsed="false">
      <c r="A64" s="17" t="s">
        <v>1868</v>
      </c>
    </row>
    <row r="67" customFormat="false" ht="15" hidden="false" customHeight="true" outlineLevel="0" collapsed="false">
      <c r="A67" s="1" t="s">
        <v>1869</v>
      </c>
    </row>
    <row r="68" customFormat="false" ht="15" hidden="false" customHeight="true" outlineLevel="0" collapsed="false">
      <c r="A68" s="1" t="s">
        <v>1870</v>
      </c>
    </row>
    <row r="69" customFormat="false" ht="15" hidden="false" customHeight="true" outlineLevel="0" collapsed="false">
      <c r="A69" s="1" t="s">
        <v>1871</v>
      </c>
    </row>
    <row r="70" customFormat="false" ht="15" hidden="false" customHeight="true" outlineLevel="0" collapsed="false">
      <c r="A70" s="1" t="s">
        <v>1872</v>
      </c>
    </row>
    <row r="71" customFormat="false" ht="15" hidden="false" customHeight="true" outlineLevel="0" collapsed="false">
      <c r="A71" s="1" t="s">
        <v>1873</v>
      </c>
    </row>
    <row r="72" customFormat="false" ht="15" hidden="false" customHeight="true" outlineLevel="0" collapsed="false">
      <c r="A72" s="1" t="s">
        <v>1874</v>
      </c>
    </row>
    <row r="74" customFormat="false" ht="15" hidden="false" customHeight="true" outlineLevel="0" collapsed="false">
      <c r="A74" s="1" t="s">
        <v>1875</v>
      </c>
    </row>
    <row r="75" customFormat="false" ht="15" hidden="false" customHeight="true" outlineLevel="0" collapsed="false">
      <c r="A75" s="1" t="s">
        <v>1876</v>
      </c>
    </row>
    <row r="76" customFormat="false" ht="15" hidden="false" customHeight="true" outlineLevel="0" collapsed="false">
      <c r="A76" s="1" t="s">
        <v>1877</v>
      </c>
    </row>
    <row r="77" customFormat="false" ht="15" hidden="false" customHeight="true" outlineLevel="0" collapsed="false">
      <c r="A77" s="1" t="s">
        <v>1878</v>
      </c>
    </row>
    <row r="78" customFormat="false" ht="15" hidden="false" customHeight="true" outlineLevel="0" collapsed="false">
      <c r="A78" s="1" t="s">
        <v>1879</v>
      </c>
    </row>
    <row r="80" customFormat="false" ht="15" hidden="false" customHeight="true" outlineLevel="0" collapsed="false">
      <c r="A80" s="1" t="s">
        <v>1880</v>
      </c>
    </row>
    <row r="81" customFormat="false" ht="15" hidden="false" customHeight="true" outlineLevel="0" collapsed="false">
      <c r="A81" s="1" t="s">
        <v>1881</v>
      </c>
    </row>
    <row r="82" customFormat="false" ht="15" hidden="false" customHeight="true" outlineLevel="0" collapsed="false">
      <c r="A82" s="1" t="s">
        <v>1882</v>
      </c>
    </row>
    <row r="84" customFormat="false" ht="15" hidden="false" customHeight="true" outlineLevel="0" collapsed="false">
      <c r="A84" s="1" t="s">
        <v>1883</v>
      </c>
    </row>
    <row r="85" customFormat="false" ht="15" hidden="false" customHeight="true" outlineLevel="0" collapsed="false">
      <c r="A85" s="1" t="s">
        <v>1884</v>
      </c>
    </row>
    <row r="86" customFormat="false" ht="15" hidden="false" customHeight="true" outlineLevel="0" collapsed="false">
      <c r="A86" s="1" t="s">
        <v>1885</v>
      </c>
    </row>
    <row r="88" customFormat="false" ht="15" hidden="false" customHeight="true" outlineLevel="0" collapsed="false">
      <c r="A88" s="18" t="s">
        <v>1886</v>
      </c>
    </row>
    <row r="89" customFormat="false" ht="15" hidden="false" customHeight="true" outlineLevel="0" collapsed="false">
      <c r="A89" s="1" t="s">
        <v>1887</v>
      </c>
    </row>
    <row r="90" customFormat="false" ht="15" hidden="false" customHeight="true" outlineLevel="0" collapsed="false">
      <c r="A90" s="1" t="s">
        <v>1888</v>
      </c>
    </row>
    <row r="91" customFormat="false" ht="15" hidden="false" customHeight="true" outlineLevel="0" collapsed="false">
      <c r="A91" s="1" t="s">
        <v>1889</v>
      </c>
    </row>
    <row r="92" customFormat="false" ht="15" hidden="false" customHeight="true" outlineLevel="0" collapsed="false">
      <c r="A92" s="1" t="s">
        <v>1890</v>
      </c>
    </row>
    <row r="94" customFormat="false" ht="15" hidden="false" customHeight="true" outlineLevel="0" collapsed="false">
      <c r="A94" s="18" t="s">
        <v>1891</v>
      </c>
    </row>
    <row r="95" customFormat="false" ht="15" hidden="false" customHeight="true" outlineLevel="0" collapsed="false">
      <c r="A95" s="1" t="s">
        <v>1892</v>
      </c>
    </row>
    <row r="96" customFormat="false" ht="15" hidden="false" customHeight="true" outlineLevel="0" collapsed="false">
      <c r="A96" s="1" t="s">
        <v>1893</v>
      </c>
    </row>
    <row r="98" customFormat="false" ht="15" hidden="false" customHeight="true" outlineLevel="0" collapsed="false">
      <c r="A98" s="18" t="s">
        <v>1894</v>
      </c>
    </row>
    <row r="99" customFormat="false" ht="15" hidden="false" customHeight="true" outlineLevel="0" collapsed="false">
      <c r="A99" s="1" t="s">
        <v>1895</v>
      </c>
    </row>
    <row r="100" customFormat="false" ht="15" hidden="false" customHeight="false" outlineLevel="0" collapsed="false">
      <c r="A100" s="1" t="s">
        <v>1896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34"/>
    <col collapsed="false" customWidth="true" hidden="false" outlineLevel="0" max="4" min="4" style="1" width="30"/>
    <col collapsed="false" customWidth="true" hidden="false" outlineLevel="0" max="5" min="5" style="1" width="110"/>
    <col collapsed="false" customWidth="true" hidden="false" outlineLevel="0" max="6" min="6" style="1" width="32"/>
  </cols>
  <sheetData>
    <row r="1" customFormat="false" ht="30" hidden="false" customHeight="true" outlineLevel="0" collapsed="false">
      <c r="A1" s="13" t="s">
        <v>48</v>
      </c>
      <c r="B1" s="13" t="s">
        <v>49</v>
      </c>
      <c r="C1" s="13" t="s">
        <v>1897</v>
      </c>
      <c r="D1" s="13" t="s">
        <v>52</v>
      </c>
      <c r="E1" s="13" t="s">
        <v>1898</v>
      </c>
      <c r="F1" s="13" t="s">
        <v>56</v>
      </c>
    </row>
    <row r="2" customFormat="false" ht="34.5" hidden="false" customHeight="true" outlineLevel="0" collapsed="false">
      <c r="A2" s="15" t="n">
        <v>1</v>
      </c>
      <c r="B2" s="15" t="s">
        <v>1337</v>
      </c>
      <c r="C2" s="15" t="s">
        <v>1338</v>
      </c>
      <c r="D2" s="15" t="s">
        <v>1339</v>
      </c>
      <c r="E2" s="15" t="s">
        <v>1899</v>
      </c>
      <c r="F2" s="15" t="s">
        <v>246</v>
      </c>
    </row>
    <row r="3" customFormat="false" ht="34.5" hidden="false" customHeight="true" outlineLevel="0" collapsed="false">
      <c r="A3" s="15" t="n">
        <v>2</v>
      </c>
      <c r="B3" s="15" t="s">
        <v>1342</v>
      </c>
      <c r="C3" s="15" t="s">
        <v>1343</v>
      </c>
      <c r="D3" s="15" t="s">
        <v>1344</v>
      </c>
      <c r="E3" s="15" t="s">
        <v>1900</v>
      </c>
      <c r="F3" s="15" t="s">
        <v>1345</v>
      </c>
    </row>
    <row r="4" customFormat="false" ht="45.75" hidden="false" customHeight="true" outlineLevel="0" collapsed="false">
      <c r="A4" s="15" t="n">
        <v>3</v>
      </c>
      <c r="B4" s="15" t="s">
        <v>1346</v>
      </c>
      <c r="C4" s="15" t="s">
        <v>1347</v>
      </c>
      <c r="D4" s="15" t="s">
        <v>1348</v>
      </c>
      <c r="E4" s="15" t="s">
        <v>1901</v>
      </c>
      <c r="F4" s="15" t="s">
        <v>246</v>
      </c>
    </row>
    <row r="5" customFormat="false" ht="147" hidden="false" customHeight="true" outlineLevel="0" collapsed="false">
      <c r="A5" s="15" t="n">
        <v>4</v>
      </c>
      <c r="B5" s="15" t="s">
        <v>1349</v>
      </c>
      <c r="C5" s="15" t="s">
        <v>1350</v>
      </c>
      <c r="D5" s="15" t="s">
        <v>1351</v>
      </c>
      <c r="E5" s="15" t="s">
        <v>1902</v>
      </c>
      <c r="F5" s="15" t="s">
        <v>1352</v>
      </c>
    </row>
    <row r="6" customFormat="false" ht="57" hidden="false" customHeight="true" outlineLevel="0" collapsed="false">
      <c r="A6" s="15" t="n">
        <v>5</v>
      </c>
      <c r="B6" s="15" t="s">
        <v>1353</v>
      </c>
      <c r="C6" s="15" t="s">
        <v>1354</v>
      </c>
      <c r="D6" s="15" t="s">
        <v>1355</v>
      </c>
      <c r="E6" s="15" t="s">
        <v>1903</v>
      </c>
      <c r="F6" s="15" t="s">
        <v>1356</v>
      </c>
    </row>
    <row r="7" customFormat="false" ht="23.25" hidden="false" customHeight="true" outlineLevel="0" collapsed="false">
      <c r="A7" s="15" t="n">
        <v>6</v>
      </c>
      <c r="B7" s="15" t="s">
        <v>1357</v>
      </c>
      <c r="C7" s="15" t="s">
        <v>1358</v>
      </c>
      <c r="D7" s="15" t="s">
        <v>1359</v>
      </c>
      <c r="E7" s="15" t="s">
        <v>1904</v>
      </c>
      <c r="F7" s="15" t="s">
        <v>246</v>
      </c>
    </row>
    <row r="8" customFormat="false" ht="45.75" hidden="false" customHeight="true" outlineLevel="0" collapsed="false">
      <c r="A8" s="15" t="n">
        <v>7</v>
      </c>
      <c r="B8" s="15" t="s">
        <v>1360</v>
      </c>
      <c r="C8" s="15" t="s">
        <v>1361</v>
      </c>
      <c r="D8" s="15" t="s">
        <v>1362</v>
      </c>
      <c r="E8" s="15" t="s">
        <v>1905</v>
      </c>
      <c r="F8" s="15" t="s">
        <v>1364</v>
      </c>
    </row>
    <row r="9" customFormat="false" ht="57" hidden="false" customHeight="true" outlineLevel="0" collapsed="false">
      <c r="A9" s="15" t="n">
        <v>8</v>
      </c>
      <c r="B9" s="15" t="s">
        <v>1365</v>
      </c>
      <c r="C9" s="15" t="s">
        <v>1366</v>
      </c>
      <c r="D9" s="15" t="s">
        <v>1367</v>
      </c>
      <c r="E9" s="15" t="s">
        <v>1906</v>
      </c>
      <c r="F9" s="15" t="s">
        <v>1368</v>
      </c>
    </row>
    <row r="10" customFormat="false" ht="23.25" hidden="false" customHeight="true" outlineLevel="0" collapsed="false">
      <c r="A10" s="15" t="n">
        <v>9</v>
      </c>
      <c r="B10" s="15" t="s">
        <v>1369</v>
      </c>
      <c r="C10" s="15" t="s">
        <v>1370</v>
      </c>
      <c r="D10" s="15" t="s">
        <v>1371</v>
      </c>
      <c r="E10" s="15" t="s">
        <v>1907</v>
      </c>
      <c r="F10" s="15" t="s">
        <v>246</v>
      </c>
    </row>
    <row r="11" customFormat="false" ht="57" hidden="false" customHeight="true" outlineLevel="0" collapsed="false">
      <c r="A11" s="15" t="n">
        <v>10</v>
      </c>
      <c r="B11" s="15" t="s">
        <v>1372</v>
      </c>
      <c r="C11" s="15" t="s">
        <v>1373</v>
      </c>
      <c r="D11" s="15" t="s">
        <v>1374</v>
      </c>
      <c r="E11" s="15" t="s">
        <v>1908</v>
      </c>
      <c r="F11" s="15" t="s">
        <v>246</v>
      </c>
    </row>
    <row r="12" customFormat="false" ht="57" hidden="false" customHeight="true" outlineLevel="0" collapsed="false">
      <c r="A12" s="15" t="n">
        <v>11</v>
      </c>
      <c r="B12" s="15" t="s">
        <v>1375</v>
      </c>
      <c r="C12" s="15" t="s">
        <v>1376</v>
      </c>
      <c r="D12" s="15" t="s">
        <v>1377</v>
      </c>
      <c r="E12" s="15" t="s">
        <v>1909</v>
      </c>
      <c r="F12" s="15" t="s">
        <v>246</v>
      </c>
    </row>
    <row r="13" customFormat="false" ht="102" hidden="false" customHeight="true" outlineLevel="0" collapsed="false">
      <c r="A13" s="15" t="n">
        <v>12</v>
      </c>
      <c r="B13" s="15" t="s">
        <v>1378</v>
      </c>
      <c r="C13" s="15" t="s">
        <v>1379</v>
      </c>
      <c r="D13" s="15" t="s">
        <v>1380</v>
      </c>
      <c r="E13" s="15" t="s">
        <v>1910</v>
      </c>
      <c r="F13" s="15" t="s">
        <v>1382</v>
      </c>
    </row>
    <row r="14" customFormat="false" ht="45.75" hidden="false" customHeight="true" outlineLevel="0" collapsed="false">
      <c r="A14" s="15" t="n">
        <v>13</v>
      </c>
      <c r="B14" s="15" t="s">
        <v>1383</v>
      </c>
      <c r="C14" s="15" t="s">
        <v>1384</v>
      </c>
      <c r="D14" s="15" t="s">
        <v>1385</v>
      </c>
      <c r="E14" s="15" t="s">
        <v>1911</v>
      </c>
      <c r="F14" s="15" t="s">
        <v>1386</v>
      </c>
    </row>
    <row r="15" customFormat="false" ht="23.25" hidden="false" customHeight="true" outlineLevel="0" collapsed="false">
      <c r="A15" s="15" t="n">
        <v>14</v>
      </c>
      <c r="B15" s="15" t="s">
        <v>1387</v>
      </c>
      <c r="C15" s="15" t="s">
        <v>1388</v>
      </c>
      <c r="D15" s="15" t="s">
        <v>1389</v>
      </c>
      <c r="E15" s="15" t="s">
        <v>1912</v>
      </c>
      <c r="F15" s="15" t="s">
        <v>1390</v>
      </c>
    </row>
    <row r="16" customFormat="false" ht="135.75" hidden="false" customHeight="true" outlineLevel="0" collapsed="false">
      <c r="A16" s="15" t="n">
        <v>15</v>
      </c>
      <c r="B16" s="15" t="s">
        <v>1391</v>
      </c>
      <c r="C16" s="15" t="s">
        <v>1392</v>
      </c>
      <c r="D16" s="15" t="s">
        <v>1393</v>
      </c>
      <c r="E16" s="15" t="s">
        <v>1913</v>
      </c>
      <c r="F16" s="15" t="s">
        <v>1394</v>
      </c>
    </row>
    <row r="17" customFormat="false" ht="90.75" hidden="false" customHeight="true" outlineLevel="0" collapsed="false">
      <c r="A17" s="15" t="n">
        <v>16</v>
      </c>
      <c r="B17" s="15" t="s">
        <v>1395</v>
      </c>
      <c r="C17" s="15" t="s">
        <v>1396</v>
      </c>
      <c r="D17" s="15" t="s">
        <v>1397</v>
      </c>
      <c r="E17" s="15" t="s">
        <v>1914</v>
      </c>
      <c r="F17" s="15" t="s">
        <v>1398</v>
      </c>
    </row>
    <row r="18" customFormat="false" ht="57" hidden="false" customHeight="true" outlineLevel="0" collapsed="false">
      <c r="A18" s="15" t="n">
        <v>17</v>
      </c>
      <c r="B18" s="15" t="s">
        <v>1399</v>
      </c>
      <c r="C18" s="15" t="s">
        <v>1400</v>
      </c>
      <c r="D18" s="15" t="s">
        <v>1401</v>
      </c>
      <c r="E18" s="15" t="s">
        <v>1915</v>
      </c>
      <c r="F18" s="15" t="s">
        <v>1402</v>
      </c>
    </row>
    <row r="19" customFormat="false" ht="68.25" hidden="false" customHeight="true" outlineLevel="0" collapsed="false">
      <c r="A19" s="15" t="n">
        <v>18</v>
      </c>
      <c r="B19" s="15" t="s">
        <v>1403</v>
      </c>
      <c r="C19" s="15" t="s">
        <v>1404</v>
      </c>
      <c r="D19" s="15" t="s">
        <v>1405</v>
      </c>
      <c r="E19" s="15" t="s">
        <v>1916</v>
      </c>
      <c r="F19" s="15" t="s">
        <v>246</v>
      </c>
    </row>
    <row r="20" customFormat="false" ht="34.5" hidden="false" customHeight="true" outlineLevel="0" collapsed="false">
      <c r="A20" s="15" t="n">
        <v>19</v>
      </c>
      <c r="B20" s="15" t="s">
        <v>1406</v>
      </c>
      <c r="C20" s="15" t="s">
        <v>1407</v>
      </c>
      <c r="D20" s="15" t="s">
        <v>1408</v>
      </c>
      <c r="E20" s="15" t="s">
        <v>1917</v>
      </c>
      <c r="F20" s="15" t="s">
        <v>246</v>
      </c>
    </row>
    <row r="21" customFormat="false" ht="34.5" hidden="false" customHeight="true" outlineLevel="0" collapsed="false">
      <c r="A21" s="15" t="n">
        <v>20</v>
      </c>
      <c r="B21" s="15" t="s">
        <v>1409</v>
      </c>
      <c r="C21" s="15" t="s">
        <v>1410</v>
      </c>
      <c r="D21" s="15" t="s">
        <v>1411</v>
      </c>
      <c r="E21" s="15" t="s">
        <v>1918</v>
      </c>
      <c r="F21" s="15" t="s">
        <v>1412</v>
      </c>
    </row>
    <row r="22" customFormat="false" ht="68.25" hidden="false" customHeight="true" outlineLevel="0" collapsed="false">
      <c r="A22" s="15" t="n">
        <v>21</v>
      </c>
      <c r="B22" s="15" t="s">
        <v>1413</v>
      </c>
      <c r="C22" s="15" t="s">
        <v>1414</v>
      </c>
      <c r="D22" s="15" t="s">
        <v>1415</v>
      </c>
      <c r="E22" s="15" t="s">
        <v>1919</v>
      </c>
      <c r="F22" s="15" t="s">
        <v>246</v>
      </c>
    </row>
    <row r="23" customFormat="false" ht="45.75" hidden="false" customHeight="true" outlineLevel="0" collapsed="false">
      <c r="A23" s="15" t="n">
        <v>22</v>
      </c>
      <c r="B23" s="15" t="s">
        <v>1416</v>
      </c>
      <c r="C23" s="15" t="s">
        <v>1417</v>
      </c>
      <c r="D23" s="15" t="s">
        <v>1418</v>
      </c>
      <c r="E23" s="15" t="s">
        <v>1920</v>
      </c>
      <c r="F23" s="15" t="s">
        <v>1419</v>
      </c>
    </row>
    <row r="24" customFormat="false" ht="79.5" hidden="false" customHeight="true" outlineLevel="0" collapsed="false">
      <c r="A24" s="15" t="n">
        <v>23</v>
      </c>
      <c r="B24" s="15" t="s">
        <v>1420</v>
      </c>
      <c r="C24" s="15" t="s">
        <v>1421</v>
      </c>
      <c r="D24" s="15" t="s">
        <v>1422</v>
      </c>
      <c r="E24" s="15" t="s">
        <v>1921</v>
      </c>
      <c r="F24" s="15" t="s">
        <v>1423</v>
      </c>
    </row>
    <row r="25" customFormat="false" ht="68.25" hidden="false" customHeight="true" outlineLevel="0" collapsed="false">
      <c r="A25" s="15" t="n">
        <v>24</v>
      </c>
      <c r="B25" s="15" t="s">
        <v>1424</v>
      </c>
      <c r="C25" s="15" t="s">
        <v>1425</v>
      </c>
      <c r="D25" s="15" t="s">
        <v>1426</v>
      </c>
      <c r="E25" s="15" t="s">
        <v>1922</v>
      </c>
      <c r="F25" s="15" t="s">
        <v>246</v>
      </c>
    </row>
    <row r="26" customFormat="false" ht="68.25" hidden="false" customHeight="true" outlineLevel="0" collapsed="false">
      <c r="A26" s="15" t="n">
        <v>25</v>
      </c>
      <c r="B26" s="15" t="s">
        <v>1427</v>
      </c>
      <c r="C26" s="15" t="s">
        <v>1428</v>
      </c>
      <c r="D26" s="15" t="s">
        <v>1429</v>
      </c>
      <c r="E26" s="15" t="s">
        <v>1923</v>
      </c>
      <c r="F26" s="15" t="s">
        <v>246</v>
      </c>
    </row>
    <row r="27" customFormat="false" ht="23.25" hidden="false" customHeight="true" outlineLevel="0" collapsed="false">
      <c r="A27" s="15" t="n">
        <v>26</v>
      </c>
      <c r="B27" s="15" t="s">
        <v>1430</v>
      </c>
      <c r="C27" s="15" t="s">
        <v>1431</v>
      </c>
      <c r="D27" s="15" t="s">
        <v>1432</v>
      </c>
      <c r="E27" s="15" t="s">
        <v>1924</v>
      </c>
      <c r="F27" s="15" t="s">
        <v>246</v>
      </c>
    </row>
    <row r="28" customFormat="false" ht="23.25" hidden="false" customHeight="true" outlineLevel="0" collapsed="false">
      <c r="A28" s="15" t="n">
        <v>27</v>
      </c>
      <c r="B28" s="15" t="s">
        <v>1433</v>
      </c>
      <c r="C28" s="15" t="s">
        <v>1434</v>
      </c>
      <c r="D28" s="15" t="s">
        <v>1435</v>
      </c>
      <c r="E28" s="15" t="s">
        <v>1925</v>
      </c>
      <c r="F28" s="15" t="s">
        <v>1436</v>
      </c>
    </row>
    <row r="29" customFormat="false" ht="79.5" hidden="false" customHeight="true" outlineLevel="0" collapsed="false">
      <c r="A29" s="15" t="n">
        <v>28</v>
      </c>
      <c r="B29" s="15" t="s">
        <v>1437</v>
      </c>
      <c r="C29" s="15" t="s">
        <v>1438</v>
      </c>
      <c r="D29" s="15" t="s">
        <v>1439</v>
      </c>
      <c r="E29" s="15" t="s">
        <v>1926</v>
      </c>
      <c r="F29" s="15" t="s">
        <v>1440</v>
      </c>
    </row>
    <row r="30" customFormat="false" ht="45.75" hidden="false" customHeight="true" outlineLevel="0" collapsed="false">
      <c r="A30" s="15" t="n">
        <v>29</v>
      </c>
      <c r="B30" s="15" t="s">
        <v>1441</v>
      </c>
      <c r="C30" s="15" t="s">
        <v>1442</v>
      </c>
      <c r="D30" s="15" t="s">
        <v>1443</v>
      </c>
      <c r="E30" s="15" t="s">
        <v>1927</v>
      </c>
      <c r="F30" s="15" t="s">
        <v>1444</v>
      </c>
    </row>
    <row r="31" customFormat="false" ht="68.25" hidden="false" customHeight="true" outlineLevel="0" collapsed="false">
      <c r="A31" s="15" t="n">
        <v>30</v>
      </c>
      <c r="B31" s="15" t="s">
        <v>1445</v>
      </c>
      <c r="C31" s="15" t="s">
        <v>1446</v>
      </c>
      <c r="D31" s="15" t="s">
        <v>1447</v>
      </c>
      <c r="E31" s="15" t="s">
        <v>1928</v>
      </c>
      <c r="F31" s="15" t="s">
        <v>1448</v>
      </c>
    </row>
    <row r="32" customFormat="false" ht="102" hidden="false" customHeight="true" outlineLevel="0" collapsed="false">
      <c r="A32" s="15" t="n">
        <v>31</v>
      </c>
      <c r="B32" s="15" t="s">
        <v>1449</v>
      </c>
      <c r="C32" s="15" t="s">
        <v>1450</v>
      </c>
      <c r="D32" s="15" t="s">
        <v>1451</v>
      </c>
      <c r="E32" s="15" t="s">
        <v>1929</v>
      </c>
      <c r="F32" s="15" t="s">
        <v>1452</v>
      </c>
    </row>
    <row r="33" customFormat="false" ht="57" hidden="false" customHeight="true" outlineLevel="0" collapsed="false">
      <c r="A33" s="15" t="n">
        <v>32</v>
      </c>
      <c r="B33" s="15" t="s">
        <v>1453</v>
      </c>
      <c r="C33" s="15" t="s">
        <v>1454</v>
      </c>
      <c r="D33" s="15" t="s">
        <v>1455</v>
      </c>
      <c r="E33" s="15" t="s">
        <v>1930</v>
      </c>
      <c r="F33" s="15" t="s">
        <v>246</v>
      </c>
    </row>
    <row r="34" customFormat="false" ht="90.75" hidden="false" customHeight="true" outlineLevel="0" collapsed="false">
      <c r="A34" s="15" t="n">
        <v>33</v>
      </c>
      <c r="B34" s="15" t="s">
        <v>1456</v>
      </c>
      <c r="C34" s="15" t="s">
        <v>1457</v>
      </c>
      <c r="D34" s="15" t="s">
        <v>1458</v>
      </c>
      <c r="E34" s="15" t="s">
        <v>1931</v>
      </c>
      <c r="F34" s="15" t="s">
        <v>1459</v>
      </c>
    </row>
    <row r="35" customFormat="false" ht="45.75" hidden="false" customHeight="true" outlineLevel="0" collapsed="false">
      <c r="A35" s="15" t="n">
        <v>34</v>
      </c>
      <c r="B35" s="15" t="s">
        <v>1460</v>
      </c>
      <c r="C35" s="15" t="s">
        <v>1461</v>
      </c>
      <c r="D35" s="15" t="s">
        <v>1462</v>
      </c>
      <c r="E35" s="15" t="s">
        <v>1932</v>
      </c>
      <c r="F35" s="15" t="s">
        <v>246</v>
      </c>
    </row>
    <row r="36" customFormat="false" ht="23.25" hidden="false" customHeight="true" outlineLevel="0" collapsed="false">
      <c r="A36" s="15" t="n">
        <v>35</v>
      </c>
      <c r="B36" s="15" t="s">
        <v>1463</v>
      </c>
      <c r="C36" s="15" t="s">
        <v>1464</v>
      </c>
      <c r="D36" s="15" t="s">
        <v>1465</v>
      </c>
      <c r="E36" s="15" t="s">
        <v>1933</v>
      </c>
      <c r="F36" s="15" t="s">
        <v>1466</v>
      </c>
    </row>
    <row r="37" customFormat="false" ht="68.25" hidden="false" customHeight="true" outlineLevel="0" collapsed="false">
      <c r="A37" s="15" t="n">
        <v>36</v>
      </c>
      <c r="B37" s="15" t="s">
        <v>1467</v>
      </c>
      <c r="C37" s="15" t="s">
        <v>1468</v>
      </c>
      <c r="D37" s="15" t="s">
        <v>1469</v>
      </c>
      <c r="E37" s="15" t="s">
        <v>1934</v>
      </c>
      <c r="F37" s="15" t="s">
        <v>1470</v>
      </c>
    </row>
    <row r="38" customFormat="false" ht="57" hidden="false" customHeight="true" outlineLevel="0" collapsed="false">
      <c r="A38" s="15" t="n">
        <v>37</v>
      </c>
      <c r="B38" s="15" t="s">
        <v>1471</v>
      </c>
      <c r="C38" s="15" t="s">
        <v>1472</v>
      </c>
      <c r="D38" s="15" t="s">
        <v>1473</v>
      </c>
      <c r="E38" s="15" t="s">
        <v>1935</v>
      </c>
      <c r="F38" s="15" t="s">
        <v>1474</v>
      </c>
    </row>
    <row r="39" customFormat="false" ht="57" hidden="false" customHeight="true" outlineLevel="0" collapsed="false">
      <c r="A39" s="15" t="n">
        <v>38</v>
      </c>
      <c r="B39" s="15" t="s">
        <v>1475</v>
      </c>
      <c r="C39" s="15" t="s">
        <v>1476</v>
      </c>
      <c r="D39" s="15" t="s">
        <v>1477</v>
      </c>
      <c r="E39" s="15" t="s">
        <v>1936</v>
      </c>
      <c r="F39" s="15" t="s">
        <v>1478</v>
      </c>
    </row>
    <row r="40" customFormat="false" ht="23.25" hidden="false" customHeight="true" outlineLevel="0" collapsed="false">
      <c r="A40" s="15" t="n">
        <v>39</v>
      </c>
      <c r="B40" s="15" t="s">
        <v>1479</v>
      </c>
      <c r="C40" s="15" t="s">
        <v>1480</v>
      </c>
      <c r="D40" s="15" t="s">
        <v>1481</v>
      </c>
      <c r="E40" s="15" t="s">
        <v>1937</v>
      </c>
      <c r="F40" s="15" t="s">
        <v>246</v>
      </c>
    </row>
    <row r="41" customFormat="false" ht="23.25" hidden="false" customHeight="true" outlineLevel="0" collapsed="false">
      <c r="A41" s="15" t="n">
        <v>40</v>
      </c>
      <c r="B41" s="15" t="s">
        <v>1482</v>
      </c>
      <c r="C41" s="15" t="s">
        <v>1483</v>
      </c>
      <c r="D41" s="15" t="s">
        <v>1484</v>
      </c>
      <c r="E41" s="15" t="s">
        <v>1938</v>
      </c>
      <c r="F41" s="15" t="s">
        <v>246</v>
      </c>
    </row>
    <row r="42" customFormat="false" ht="90.75" hidden="false" customHeight="true" outlineLevel="0" collapsed="false">
      <c r="A42" s="15" t="n">
        <v>41</v>
      </c>
      <c r="B42" s="15" t="s">
        <v>1485</v>
      </c>
      <c r="C42" s="15" t="s">
        <v>1486</v>
      </c>
      <c r="D42" s="15" t="s">
        <v>1487</v>
      </c>
      <c r="E42" s="15" t="s">
        <v>1939</v>
      </c>
      <c r="F42" s="15" t="s">
        <v>1488</v>
      </c>
    </row>
    <row r="43" customFormat="false" ht="45.75" hidden="false" customHeight="true" outlineLevel="0" collapsed="false">
      <c r="A43" s="15" t="n">
        <v>42</v>
      </c>
      <c r="B43" s="15" t="s">
        <v>1489</v>
      </c>
      <c r="C43" s="15" t="s">
        <v>1490</v>
      </c>
      <c r="D43" s="15" t="s">
        <v>1491</v>
      </c>
      <c r="E43" s="15" t="s">
        <v>1940</v>
      </c>
      <c r="F43" s="15" t="s">
        <v>1492</v>
      </c>
    </row>
    <row r="44" customFormat="false" ht="34.5" hidden="false" customHeight="true" outlineLevel="0" collapsed="false">
      <c r="A44" s="15" t="n">
        <v>43</v>
      </c>
      <c r="B44" s="15" t="s">
        <v>1493</v>
      </c>
      <c r="C44" s="15" t="s">
        <v>1494</v>
      </c>
      <c r="D44" s="15" t="s">
        <v>1495</v>
      </c>
      <c r="E44" s="15" t="s">
        <v>1941</v>
      </c>
      <c r="F44" s="15" t="s">
        <v>1496</v>
      </c>
    </row>
    <row r="45" customFormat="false" ht="23.25" hidden="false" customHeight="true" outlineLevel="0" collapsed="false">
      <c r="A45" s="15" t="n">
        <v>44</v>
      </c>
      <c r="B45" s="15" t="s">
        <v>1497</v>
      </c>
      <c r="C45" s="15" t="s">
        <v>1498</v>
      </c>
      <c r="D45" s="15" t="s">
        <v>1499</v>
      </c>
      <c r="E45" s="15" t="s">
        <v>1942</v>
      </c>
      <c r="F45" s="15" t="s">
        <v>246</v>
      </c>
    </row>
    <row r="46" customFormat="false" ht="34.5" hidden="false" customHeight="true" outlineLevel="0" collapsed="false">
      <c r="A46" s="15" t="n">
        <v>45</v>
      </c>
      <c r="B46" s="15" t="s">
        <v>1500</v>
      </c>
      <c r="C46" s="15" t="s">
        <v>1501</v>
      </c>
      <c r="D46" s="15" t="s">
        <v>1502</v>
      </c>
      <c r="E46" s="15" t="s">
        <v>1943</v>
      </c>
      <c r="F46" s="15" t="s">
        <v>246</v>
      </c>
    </row>
    <row r="47" customFormat="false" ht="45.75" hidden="false" customHeight="true" outlineLevel="0" collapsed="false">
      <c r="A47" s="15" t="n">
        <v>46</v>
      </c>
      <c r="B47" s="15" t="s">
        <v>1503</v>
      </c>
      <c r="C47" s="15" t="s">
        <v>1504</v>
      </c>
      <c r="D47" s="15" t="s">
        <v>1505</v>
      </c>
      <c r="E47" s="15" t="s">
        <v>1944</v>
      </c>
      <c r="F47" s="15" t="s">
        <v>246</v>
      </c>
    </row>
    <row r="48" customFormat="false" ht="34.5" hidden="false" customHeight="true" outlineLevel="0" collapsed="false">
      <c r="A48" s="15" t="n">
        <v>47</v>
      </c>
      <c r="B48" s="15" t="s">
        <v>1506</v>
      </c>
      <c r="C48" s="15" t="s">
        <v>1507</v>
      </c>
      <c r="D48" s="15" t="s">
        <v>1508</v>
      </c>
      <c r="E48" s="15" t="s">
        <v>1945</v>
      </c>
      <c r="F48" s="15" t="s">
        <v>246</v>
      </c>
    </row>
    <row r="49" customFormat="false" ht="57" hidden="false" customHeight="true" outlineLevel="0" collapsed="false">
      <c r="A49" s="15" t="n">
        <v>48</v>
      </c>
      <c r="B49" s="15" t="s">
        <v>1509</v>
      </c>
      <c r="C49" s="15" t="s">
        <v>1510</v>
      </c>
      <c r="D49" s="15" t="s">
        <v>1511</v>
      </c>
      <c r="E49" s="15" t="s">
        <v>1946</v>
      </c>
      <c r="F49" s="15" t="s">
        <v>246</v>
      </c>
    </row>
    <row r="50" customFormat="false" ht="34.5" hidden="false" customHeight="true" outlineLevel="0" collapsed="false">
      <c r="A50" s="15" t="n">
        <v>49</v>
      </c>
      <c r="B50" s="15" t="s">
        <v>1512</v>
      </c>
      <c r="C50" s="15" t="s">
        <v>1513</v>
      </c>
      <c r="D50" s="15" t="s">
        <v>1514</v>
      </c>
      <c r="E50" s="15" t="s">
        <v>1947</v>
      </c>
      <c r="F50" s="15" t="s">
        <v>1515</v>
      </c>
    </row>
    <row r="51" customFormat="false" ht="23.25" hidden="false" customHeight="true" outlineLevel="0" collapsed="false">
      <c r="A51" s="15" t="n">
        <v>50</v>
      </c>
      <c r="B51" s="15" t="s">
        <v>1516</v>
      </c>
      <c r="C51" s="15" t="s">
        <v>1517</v>
      </c>
      <c r="D51" s="15" t="s">
        <v>1518</v>
      </c>
      <c r="E51" s="15" t="s">
        <v>1948</v>
      </c>
      <c r="F51" s="15" t="s">
        <v>1519</v>
      </c>
    </row>
    <row r="52" customFormat="false" ht="45.75" hidden="false" customHeight="true" outlineLevel="0" collapsed="false">
      <c r="A52" s="15" t="n">
        <v>51</v>
      </c>
      <c r="B52" s="15" t="s">
        <v>1520</v>
      </c>
      <c r="C52" s="15" t="s">
        <v>1521</v>
      </c>
      <c r="D52" s="15" t="s">
        <v>1522</v>
      </c>
      <c r="E52" s="15" t="s">
        <v>1949</v>
      </c>
      <c r="F52" s="15" t="s">
        <v>246</v>
      </c>
    </row>
    <row r="53" customFormat="false" ht="45.75" hidden="false" customHeight="true" outlineLevel="0" collapsed="false">
      <c r="A53" s="15" t="n">
        <v>52</v>
      </c>
      <c r="B53" s="15" t="s">
        <v>1523</v>
      </c>
      <c r="C53" s="15" t="s">
        <v>1524</v>
      </c>
      <c r="D53" s="15" t="s">
        <v>1525</v>
      </c>
      <c r="E53" s="15" t="s">
        <v>1950</v>
      </c>
      <c r="F53" s="15" t="s">
        <v>246</v>
      </c>
    </row>
    <row r="54" customFormat="false" ht="57" hidden="false" customHeight="true" outlineLevel="0" collapsed="false">
      <c r="A54" s="15" t="n">
        <v>53</v>
      </c>
      <c r="B54" s="15" t="s">
        <v>1526</v>
      </c>
      <c r="C54" s="15" t="s">
        <v>1527</v>
      </c>
      <c r="D54" s="15" t="s">
        <v>1528</v>
      </c>
      <c r="E54" s="15" t="s">
        <v>1951</v>
      </c>
      <c r="F54" s="15" t="s">
        <v>246</v>
      </c>
    </row>
    <row r="55" customFormat="false" ht="57" hidden="false" customHeight="true" outlineLevel="0" collapsed="false">
      <c r="A55" s="15" t="n">
        <v>54</v>
      </c>
      <c r="B55" s="15" t="s">
        <v>1529</v>
      </c>
      <c r="C55" s="15" t="s">
        <v>1530</v>
      </c>
      <c r="D55" s="15" t="s">
        <v>1531</v>
      </c>
      <c r="E55" s="15" t="s">
        <v>1952</v>
      </c>
      <c r="F55" s="15" t="s">
        <v>1532</v>
      </c>
    </row>
    <row r="56" customFormat="false" ht="34.5" hidden="false" customHeight="true" outlineLevel="0" collapsed="false">
      <c r="A56" s="15" t="n">
        <v>55</v>
      </c>
      <c r="B56" s="15" t="s">
        <v>1533</v>
      </c>
      <c r="C56" s="15" t="s">
        <v>1534</v>
      </c>
      <c r="D56" s="15" t="s">
        <v>1535</v>
      </c>
      <c r="E56" s="15" t="s">
        <v>1953</v>
      </c>
      <c r="F56" s="15" t="s">
        <v>246</v>
      </c>
    </row>
    <row r="57" customFormat="false" ht="34.5" hidden="false" customHeight="true" outlineLevel="0" collapsed="false">
      <c r="A57" s="15" t="n">
        <v>56</v>
      </c>
      <c r="B57" s="15" t="s">
        <v>1536</v>
      </c>
      <c r="C57" s="15" t="s">
        <v>1537</v>
      </c>
      <c r="D57" s="15" t="s">
        <v>1538</v>
      </c>
      <c r="E57" s="15" t="s">
        <v>1954</v>
      </c>
      <c r="F57" s="15" t="s">
        <v>246</v>
      </c>
    </row>
    <row r="58" customFormat="false" ht="113.25" hidden="false" customHeight="true" outlineLevel="0" collapsed="false">
      <c r="A58" s="15" t="n">
        <v>57</v>
      </c>
      <c r="B58" s="15" t="s">
        <v>1539</v>
      </c>
      <c r="C58" s="15" t="s">
        <v>1540</v>
      </c>
      <c r="D58" s="15" t="s">
        <v>1541</v>
      </c>
      <c r="E58" s="15" t="s">
        <v>1955</v>
      </c>
      <c r="F58" s="15" t="s">
        <v>246</v>
      </c>
    </row>
    <row r="59" customFormat="false" ht="68.25" hidden="false" customHeight="true" outlineLevel="0" collapsed="false">
      <c r="A59" s="15" t="n">
        <v>58</v>
      </c>
      <c r="B59" s="15" t="s">
        <v>1542</v>
      </c>
      <c r="C59" s="15" t="s">
        <v>1543</v>
      </c>
      <c r="D59" s="15" t="s">
        <v>1544</v>
      </c>
      <c r="E59" s="15" t="s">
        <v>1956</v>
      </c>
      <c r="F59" s="15" t="s">
        <v>1545</v>
      </c>
    </row>
    <row r="60" customFormat="false" ht="34.5" hidden="false" customHeight="true" outlineLevel="0" collapsed="false">
      <c r="A60" s="15" t="n">
        <v>59</v>
      </c>
      <c r="B60" s="15" t="s">
        <v>1546</v>
      </c>
      <c r="C60" s="15" t="s">
        <v>1547</v>
      </c>
      <c r="D60" s="15" t="s">
        <v>1548</v>
      </c>
      <c r="E60" s="15" t="s">
        <v>1957</v>
      </c>
      <c r="F60" s="15" t="s">
        <v>1549</v>
      </c>
    </row>
    <row r="61" customFormat="false" ht="23.25" hidden="false" customHeight="true" outlineLevel="0" collapsed="false">
      <c r="A61" s="15" t="n">
        <v>60</v>
      </c>
      <c r="B61" s="15" t="s">
        <v>1550</v>
      </c>
      <c r="C61" s="15" t="s">
        <v>1551</v>
      </c>
      <c r="D61" s="15" t="s">
        <v>1552</v>
      </c>
      <c r="E61" s="15" t="s">
        <v>1958</v>
      </c>
      <c r="F61" s="15" t="s">
        <v>1553</v>
      </c>
    </row>
    <row r="62" customFormat="false" ht="57" hidden="false" customHeight="true" outlineLevel="0" collapsed="false">
      <c r="A62" s="15" t="n">
        <v>61</v>
      </c>
      <c r="B62" s="15" t="s">
        <v>1554</v>
      </c>
      <c r="C62" s="15" t="s">
        <v>1555</v>
      </c>
      <c r="D62" s="15" t="s">
        <v>1556</v>
      </c>
      <c r="E62" s="15" t="s">
        <v>1959</v>
      </c>
      <c r="F62" s="15" t="s">
        <v>1557</v>
      </c>
    </row>
    <row r="63" customFormat="false" ht="23.25" hidden="false" customHeight="true" outlineLevel="0" collapsed="false">
      <c r="A63" s="15" t="n">
        <v>62</v>
      </c>
      <c r="B63" s="15" t="s">
        <v>1558</v>
      </c>
      <c r="C63" s="15" t="s">
        <v>1559</v>
      </c>
      <c r="D63" s="15" t="s">
        <v>1560</v>
      </c>
      <c r="E63" s="15" t="s">
        <v>1960</v>
      </c>
      <c r="F63" s="15" t="s">
        <v>1561</v>
      </c>
    </row>
    <row r="64" customFormat="false" ht="23.25" hidden="false" customHeight="true" outlineLevel="0" collapsed="false">
      <c r="A64" s="15" t="n">
        <v>63</v>
      </c>
      <c r="B64" s="15" t="s">
        <v>1562</v>
      </c>
      <c r="C64" s="15" t="s">
        <v>1563</v>
      </c>
      <c r="D64" s="15" t="s">
        <v>1564</v>
      </c>
      <c r="E64" s="15" t="s">
        <v>1961</v>
      </c>
      <c r="F64" s="15" t="s">
        <v>246</v>
      </c>
    </row>
    <row r="65" customFormat="false" ht="102" hidden="false" customHeight="true" outlineLevel="0" collapsed="false">
      <c r="A65" s="15" t="n">
        <v>64</v>
      </c>
      <c r="B65" s="15" t="s">
        <v>1565</v>
      </c>
      <c r="C65" s="15" t="s">
        <v>1566</v>
      </c>
      <c r="D65" s="15" t="s">
        <v>1567</v>
      </c>
      <c r="E65" s="15" t="s">
        <v>1962</v>
      </c>
      <c r="F65" s="15" t="s">
        <v>1545</v>
      </c>
    </row>
    <row r="66" customFormat="false" ht="45.75" hidden="false" customHeight="true" outlineLevel="0" collapsed="false">
      <c r="A66" s="15" t="n">
        <v>65</v>
      </c>
      <c r="B66" s="15" t="s">
        <v>1568</v>
      </c>
      <c r="C66" s="15" t="s">
        <v>1569</v>
      </c>
      <c r="D66" s="15" t="s">
        <v>1570</v>
      </c>
      <c r="E66" s="15" t="s">
        <v>1963</v>
      </c>
      <c r="F66" s="15" t="s">
        <v>1571</v>
      </c>
    </row>
    <row r="67" customFormat="false" ht="45.75" hidden="false" customHeight="true" outlineLevel="0" collapsed="false">
      <c r="A67" s="15" t="n">
        <v>66</v>
      </c>
      <c r="B67" s="15" t="s">
        <v>1572</v>
      </c>
      <c r="C67" s="15" t="s">
        <v>1573</v>
      </c>
      <c r="D67" s="15" t="s">
        <v>1574</v>
      </c>
      <c r="E67" s="15" t="s">
        <v>1964</v>
      </c>
      <c r="F67" s="15" t="s">
        <v>1575</v>
      </c>
    </row>
    <row r="68" customFormat="false" ht="45.75" hidden="false" customHeight="true" outlineLevel="0" collapsed="false">
      <c r="A68" s="15" t="n">
        <v>67</v>
      </c>
      <c r="B68" s="15" t="s">
        <v>1576</v>
      </c>
      <c r="C68" s="15" t="s">
        <v>1577</v>
      </c>
      <c r="D68" s="15" t="s">
        <v>1578</v>
      </c>
      <c r="E68" s="15" t="s">
        <v>1965</v>
      </c>
      <c r="F68" s="15" t="s">
        <v>1579</v>
      </c>
    </row>
    <row r="69" customFormat="false" ht="23.25" hidden="false" customHeight="true" outlineLevel="0" collapsed="false">
      <c r="A69" s="15" t="n">
        <v>68</v>
      </c>
      <c r="B69" s="15" t="s">
        <v>1580</v>
      </c>
      <c r="C69" s="15" t="s">
        <v>1581</v>
      </c>
      <c r="D69" s="15" t="s">
        <v>1582</v>
      </c>
      <c r="E69" s="15" t="s">
        <v>1966</v>
      </c>
      <c r="F69" s="15" t="s">
        <v>246</v>
      </c>
    </row>
    <row r="70" customFormat="false" ht="23.25" hidden="false" customHeight="true" outlineLevel="0" collapsed="false">
      <c r="A70" s="15" t="n">
        <v>69</v>
      </c>
      <c r="B70" s="15" t="s">
        <v>1583</v>
      </c>
      <c r="C70" s="15" t="s">
        <v>1584</v>
      </c>
      <c r="D70" s="15" t="s">
        <v>1585</v>
      </c>
      <c r="E70" s="15" t="s">
        <v>1967</v>
      </c>
      <c r="F70" s="15" t="s">
        <v>246</v>
      </c>
    </row>
    <row r="71" customFormat="false" ht="113.25" hidden="false" customHeight="true" outlineLevel="0" collapsed="false">
      <c r="A71" s="15" t="n">
        <v>70</v>
      </c>
      <c r="B71" s="15" t="s">
        <v>1586</v>
      </c>
      <c r="C71" s="15" t="s">
        <v>1587</v>
      </c>
      <c r="D71" s="15" t="s">
        <v>1588</v>
      </c>
      <c r="E71" s="15" t="s">
        <v>1968</v>
      </c>
      <c r="F71" s="15" t="s">
        <v>1589</v>
      </c>
    </row>
    <row r="72" customFormat="false" ht="45.75" hidden="false" customHeight="true" outlineLevel="0" collapsed="false">
      <c r="A72" s="15" t="n">
        <v>71</v>
      </c>
      <c r="B72" s="15" t="s">
        <v>1590</v>
      </c>
      <c r="C72" s="15" t="s">
        <v>1591</v>
      </c>
      <c r="D72" s="15" t="s">
        <v>1592</v>
      </c>
      <c r="E72" s="15" t="s">
        <v>1969</v>
      </c>
      <c r="F72" s="15" t="s">
        <v>1593</v>
      </c>
    </row>
    <row r="73" customFormat="false" ht="68.25" hidden="false" customHeight="true" outlineLevel="0" collapsed="false">
      <c r="A73" s="15" t="n">
        <v>72</v>
      </c>
      <c r="B73" s="15" t="s">
        <v>1594</v>
      </c>
      <c r="C73" s="15" t="s">
        <v>1595</v>
      </c>
      <c r="D73" s="15" t="s">
        <v>1596</v>
      </c>
      <c r="E73" s="15" t="s">
        <v>1970</v>
      </c>
      <c r="F73" s="15" t="s">
        <v>246</v>
      </c>
    </row>
    <row r="74" customFormat="false" ht="68.25" hidden="false" customHeight="true" outlineLevel="0" collapsed="false">
      <c r="A74" s="15" t="n">
        <v>73</v>
      </c>
      <c r="B74" s="15" t="s">
        <v>1597</v>
      </c>
      <c r="C74" s="15" t="s">
        <v>1598</v>
      </c>
      <c r="D74" s="15" t="s">
        <v>1599</v>
      </c>
      <c r="E74" s="15" t="s">
        <v>1971</v>
      </c>
      <c r="F74" s="15" t="s">
        <v>1600</v>
      </c>
    </row>
    <row r="75" customFormat="false" ht="23.25" hidden="false" customHeight="true" outlineLevel="0" collapsed="false">
      <c r="A75" s="15" t="n">
        <v>74</v>
      </c>
      <c r="B75" s="15" t="s">
        <v>1601</v>
      </c>
      <c r="C75" s="15" t="s">
        <v>1602</v>
      </c>
      <c r="D75" s="15" t="s">
        <v>1603</v>
      </c>
      <c r="E75" s="15" t="s">
        <v>1972</v>
      </c>
      <c r="F75" s="15" t="s">
        <v>246</v>
      </c>
    </row>
    <row r="76" customFormat="false" ht="113.25" hidden="false" customHeight="true" outlineLevel="0" collapsed="false">
      <c r="A76" s="15" t="n">
        <v>75</v>
      </c>
      <c r="B76" s="15" t="s">
        <v>1604</v>
      </c>
      <c r="C76" s="15" t="s">
        <v>1605</v>
      </c>
      <c r="D76" s="15" t="s">
        <v>1606</v>
      </c>
      <c r="E76" s="15" t="s">
        <v>1973</v>
      </c>
      <c r="F76" s="15" t="s">
        <v>1607</v>
      </c>
    </row>
    <row r="77" customFormat="false" ht="23.25" hidden="false" customHeight="true" outlineLevel="0" collapsed="false">
      <c r="A77" s="15" t="n">
        <v>76</v>
      </c>
      <c r="B77" s="15" t="s">
        <v>1608</v>
      </c>
      <c r="C77" s="15" t="s">
        <v>1609</v>
      </c>
      <c r="D77" s="15" t="s">
        <v>1610</v>
      </c>
      <c r="E77" s="15" t="s">
        <v>1974</v>
      </c>
      <c r="F77" s="15" t="s">
        <v>1611</v>
      </c>
    </row>
    <row r="78" customFormat="false" ht="57" hidden="false" customHeight="true" outlineLevel="0" collapsed="false">
      <c r="A78" s="15" t="n">
        <v>77</v>
      </c>
      <c r="B78" s="15" t="s">
        <v>1612</v>
      </c>
      <c r="C78" s="15" t="s">
        <v>1613</v>
      </c>
      <c r="D78" s="15" t="s">
        <v>1614</v>
      </c>
      <c r="E78" s="15" t="s">
        <v>1975</v>
      </c>
      <c r="F78" s="15" t="s">
        <v>1615</v>
      </c>
    </row>
    <row r="79" customFormat="false" ht="102" hidden="false" customHeight="true" outlineLevel="0" collapsed="false">
      <c r="A79" s="15" t="n">
        <v>78</v>
      </c>
      <c r="B79" s="15" t="s">
        <v>1616</v>
      </c>
      <c r="C79" s="15" t="s">
        <v>1617</v>
      </c>
      <c r="D79" s="15" t="s">
        <v>1618</v>
      </c>
      <c r="E79" s="15" t="s">
        <v>1976</v>
      </c>
      <c r="F79" s="15" t="s">
        <v>1619</v>
      </c>
    </row>
    <row r="80" customFormat="false" ht="79.5" hidden="false" customHeight="true" outlineLevel="0" collapsed="false">
      <c r="A80" s="15" t="n">
        <v>79</v>
      </c>
      <c r="B80" s="15" t="s">
        <v>1620</v>
      </c>
      <c r="C80" s="15" t="s">
        <v>1621</v>
      </c>
      <c r="D80" s="15" t="s">
        <v>1622</v>
      </c>
      <c r="E80" s="15" t="s">
        <v>1977</v>
      </c>
      <c r="F80" s="15" t="s">
        <v>1623</v>
      </c>
    </row>
    <row r="81" customFormat="false" ht="23.25" hidden="false" customHeight="true" outlineLevel="0" collapsed="false">
      <c r="A81" s="15" t="n">
        <v>80</v>
      </c>
      <c r="B81" s="15" t="s">
        <v>1624</v>
      </c>
      <c r="C81" s="15" t="s">
        <v>1625</v>
      </c>
      <c r="D81" s="15" t="s">
        <v>1626</v>
      </c>
      <c r="E81" s="15" t="s">
        <v>1978</v>
      </c>
      <c r="F81" s="15" t="s">
        <v>246</v>
      </c>
    </row>
    <row r="82" customFormat="false" ht="23.25" hidden="false" customHeight="true" outlineLevel="0" collapsed="false">
      <c r="A82" s="15" t="n">
        <v>81</v>
      </c>
      <c r="B82" s="15" t="s">
        <v>1627</v>
      </c>
      <c r="C82" s="15" t="s">
        <v>1628</v>
      </c>
      <c r="D82" s="15" t="s">
        <v>1629</v>
      </c>
      <c r="E82" s="15" t="s">
        <v>1979</v>
      </c>
      <c r="F82" s="15" t="s">
        <v>246</v>
      </c>
    </row>
    <row r="83" customFormat="false" ht="34.5" hidden="false" customHeight="true" outlineLevel="0" collapsed="false">
      <c r="A83" s="15" t="n">
        <v>82</v>
      </c>
      <c r="B83" s="15" t="s">
        <v>1630</v>
      </c>
      <c r="C83" s="15" t="s">
        <v>1631</v>
      </c>
      <c r="D83" s="15" t="s">
        <v>1632</v>
      </c>
      <c r="E83" s="15" t="s">
        <v>1980</v>
      </c>
      <c r="F83" s="15" t="s">
        <v>1634</v>
      </c>
    </row>
    <row r="84" customFormat="false" ht="45.75" hidden="false" customHeight="true" outlineLevel="0" collapsed="false">
      <c r="A84" s="15" t="n">
        <v>83</v>
      </c>
      <c r="B84" s="15" t="s">
        <v>1635</v>
      </c>
      <c r="C84" s="15" t="s">
        <v>1636</v>
      </c>
      <c r="D84" s="15" t="s">
        <v>1637</v>
      </c>
      <c r="E84" s="15" t="s">
        <v>1981</v>
      </c>
      <c r="F84" s="15" t="s">
        <v>246</v>
      </c>
    </row>
    <row r="85" customFormat="false" ht="45.75" hidden="false" customHeight="true" outlineLevel="0" collapsed="false">
      <c r="A85" s="15" t="n">
        <v>84</v>
      </c>
      <c r="B85" s="15" t="s">
        <v>1638</v>
      </c>
      <c r="C85" s="15" t="s">
        <v>1639</v>
      </c>
      <c r="D85" s="15" t="s">
        <v>1640</v>
      </c>
      <c r="E85" s="15" t="s">
        <v>1982</v>
      </c>
      <c r="F85" s="15" t="s">
        <v>1641</v>
      </c>
    </row>
    <row r="86" customFormat="false" ht="57" hidden="false" customHeight="true" outlineLevel="0" collapsed="false">
      <c r="A86" s="15" t="n">
        <v>85</v>
      </c>
      <c r="B86" s="15" t="s">
        <v>1642</v>
      </c>
      <c r="C86" s="15" t="s">
        <v>1643</v>
      </c>
      <c r="D86" s="15" t="s">
        <v>1644</v>
      </c>
      <c r="E86" s="15" t="s">
        <v>1983</v>
      </c>
      <c r="F86" s="15" t="s">
        <v>1645</v>
      </c>
    </row>
    <row r="87" customFormat="false" ht="23.25" hidden="false" customHeight="true" outlineLevel="0" collapsed="false">
      <c r="A87" s="15" t="n">
        <v>86</v>
      </c>
      <c r="B87" s="15" t="s">
        <v>1646</v>
      </c>
      <c r="C87" s="15" t="s">
        <v>1647</v>
      </c>
      <c r="D87" s="15" t="s">
        <v>1648</v>
      </c>
      <c r="E87" s="15" t="s">
        <v>1984</v>
      </c>
      <c r="F87" s="15" t="s">
        <v>1649</v>
      </c>
    </row>
    <row r="88" customFormat="false" ht="113.25" hidden="false" customHeight="true" outlineLevel="0" collapsed="false">
      <c r="A88" s="15" t="n">
        <v>87</v>
      </c>
      <c r="B88" s="15" t="s">
        <v>1650</v>
      </c>
      <c r="C88" s="15" t="s">
        <v>1651</v>
      </c>
      <c r="D88" s="15" t="s">
        <v>1652</v>
      </c>
      <c r="E88" s="15" t="s">
        <v>1985</v>
      </c>
      <c r="F88" s="15" t="s">
        <v>246</v>
      </c>
    </row>
    <row r="89" customFormat="false" ht="34.5" hidden="false" customHeight="true" outlineLevel="0" collapsed="false">
      <c r="A89" s="15" t="n">
        <v>88</v>
      </c>
      <c r="B89" s="15" t="s">
        <v>1653</v>
      </c>
      <c r="C89" s="15" t="s">
        <v>1654</v>
      </c>
      <c r="D89" s="15" t="s">
        <v>1655</v>
      </c>
      <c r="E89" s="15" t="s">
        <v>1986</v>
      </c>
      <c r="F89" s="15" t="s">
        <v>246</v>
      </c>
    </row>
    <row r="90" customFormat="false" ht="45.75" hidden="false" customHeight="true" outlineLevel="0" collapsed="false">
      <c r="A90" s="15" t="n">
        <v>89</v>
      </c>
      <c r="B90" s="15" t="s">
        <v>1656</v>
      </c>
      <c r="C90" s="15" t="s">
        <v>1657</v>
      </c>
      <c r="D90" s="15" t="s">
        <v>1658</v>
      </c>
      <c r="E90" s="15" t="s">
        <v>1987</v>
      </c>
      <c r="F90" s="15" t="s">
        <v>1659</v>
      </c>
    </row>
    <row r="91" customFormat="false" ht="57" hidden="false" customHeight="true" outlineLevel="0" collapsed="false">
      <c r="A91" s="15" t="n">
        <v>90</v>
      </c>
      <c r="B91" s="15" t="s">
        <v>1290</v>
      </c>
      <c r="C91" s="15" t="s">
        <v>1292</v>
      </c>
      <c r="D91" s="15" t="s">
        <v>1293</v>
      </c>
      <c r="E91" s="15" t="s">
        <v>1988</v>
      </c>
      <c r="F91" s="15" t="s">
        <v>1297</v>
      </c>
    </row>
    <row r="92" customFormat="false" ht="34.5" hidden="false" customHeight="true" outlineLevel="0" collapsed="false">
      <c r="A92" s="15" t="n">
        <v>91</v>
      </c>
      <c r="B92" s="15" t="s">
        <v>1661</v>
      </c>
      <c r="C92" s="15" t="s">
        <v>1662</v>
      </c>
      <c r="D92" s="15" t="s">
        <v>1663</v>
      </c>
      <c r="E92" s="15" t="s">
        <v>1989</v>
      </c>
      <c r="F92" s="15" t="s">
        <v>246</v>
      </c>
    </row>
    <row r="93" customFormat="false" ht="34.5" hidden="false" customHeight="true" outlineLevel="0" collapsed="false">
      <c r="A93" s="15" t="n">
        <v>92</v>
      </c>
      <c r="B93" s="15" t="s">
        <v>1664</v>
      </c>
      <c r="C93" s="15" t="s">
        <v>1665</v>
      </c>
      <c r="D93" s="15" t="s">
        <v>1666</v>
      </c>
      <c r="E93" s="15" t="s">
        <v>1990</v>
      </c>
      <c r="F93" s="15" t="s">
        <v>1364</v>
      </c>
    </row>
    <row r="94" customFormat="false" ht="68.25" hidden="false" customHeight="true" outlineLevel="0" collapsed="false">
      <c r="A94" s="15" t="n">
        <v>93</v>
      </c>
      <c r="B94" s="15" t="s">
        <v>1667</v>
      </c>
      <c r="C94" s="15" t="s">
        <v>1668</v>
      </c>
      <c r="D94" s="15" t="s">
        <v>1669</v>
      </c>
      <c r="E94" s="15" t="s">
        <v>1991</v>
      </c>
      <c r="F94" s="15" t="s">
        <v>1670</v>
      </c>
    </row>
    <row r="95" customFormat="false" ht="34.5" hidden="false" customHeight="true" outlineLevel="0" collapsed="false">
      <c r="A95" s="15" t="n">
        <v>94</v>
      </c>
      <c r="B95" s="15" t="s">
        <v>1671</v>
      </c>
      <c r="C95" s="15" t="s">
        <v>1672</v>
      </c>
      <c r="D95" s="15" t="s">
        <v>1673</v>
      </c>
      <c r="E95" s="15" t="s">
        <v>1992</v>
      </c>
      <c r="F95" s="15" t="s">
        <v>246</v>
      </c>
    </row>
    <row r="96" customFormat="false" ht="23.25" hidden="false" customHeight="true" outlineLevel="0" collapsed="false">
      <c r="A96" s="15" t="n">
        <v>95</v>
      </c>
      <c r="B96" s="15" t="s">
        <v>1674</v>
      </c>
      <c r="C96" s="15" t="s">
        <v>1675</v>
      </c>
      <c r="D96" s="15" t="s">
        <v>1676</v>
      </c>
      <c r="E96" s="15" t="s">
        <v>1993</v>
      </c>
      <c r="F96" s="15" t="s">
        <v>246</v>
      </c>
    </row>
    <row r="97" customFormat="false" ht="45.75" hidden="false" customHeight="true" outlineLevel="0" collapsed="false">
      <c r="A97" s="15" t="n">
        <v>96</v>
      </c>
      <c r="B97" s="15" t="s">
        <v>1677</v>
      </c>
      <c r="C97" s="15" t="s">
        <v>1678</v>
      </c>
      <c r="D97" s="15" t="s">
        <v>1679</v>
      </c>
      <c r="E97" s="15" t="s">
        <v>1994</v>
      </c>
      <c r="F97" s="15" t="s">
        <v>246</v>
      </c>
    </row>
    <row r="98" customFormat="false" ht="57" hidden="false" customHeight="true" outlineLevel="0" collapsed="false">
      <c r="A98" s="15" t="n">
        <v>97</v>
      </c>
      <c r="B98" s="15" t="s">
        <v>1680</v>
      </c>
      <c r="C98" s="15" t="s">
        <v>1681</v>
      </c>
      <c r="D98" s="15" t="s">
        <v>1682</v>
      </c>
      <c r="E98" s="15" t="s">
        <v>1995</v>
      </c>
      <c r="F98" s="15" t="s">
        <v>246</v>
      </c>
    </row>
    <row r="99" customFormat="false" ht="34.5" hidden="false" customHeight="true" outlineLevel="0" collapsed="false">
      <c r="A99" s="15" t="n">
        <v>98</v>
      </c>
      <c r="B99" s="15" t="s">
        <v>1683</v>
      </c>
      <c r="C99" s="15" t="s">
        <v>1684</v>
      </c>
      <c r="D99" s="15" t="s">
        <v>1685</v>
      </c>
      <c r="E99" s="15" t="s">
        <v>1996</v>
      </c>
      <c r="F99" s="15" t="s">
        <v>1686</v>
      </c>
    </row>
    <row r="100" customFormat="false" ht="102" hidden="false" customHeight="true" outlineLevel="0" collapsed="false">
      <c r="A100" s="15" t="n">
        <v>99</v>
      </c>
      <c r="B100" s="15" t="s">
        <v>1687</v>
      </c>
      <c r="C100" s="15" t="s">
        <v>1688</v>
      </c>
      <c r="D100" s="15" t="s">
        <v>1689</v>
      </c>
      <c r="E100" s="15" t="s">
        <v>1997</v>
      </c>
      <c r="F100" s="15" t="s">
        <v>1690</v>
      </c>
    </row>
    <row r="101" customFormat="false" ht="57" hidden="false" customHeight="true" outlineLevel="0" collapsed="false">
      <c r="A101" s="15" t="n">
        <v>100</v>
      </c>
      <c r="B101" s="15" t="s">
        <v>1691</v>
      </c>
      <c r="C101" s="15" t="s">
        <v>1692</v>
      </c>
      <c r="D101" s="15" t="s">
        <v>1693</v>
      </c>
      <c r="E101" s="15" t="s">
        <v>1998</v>
      </c>
      <c r="F101" s="15" t="s">
        <v>1694</v>
      </c>
    </row>
    <row r="102" customFormat="false" ht="45.75" hidden="false" customHeight="true" outlineLevel="0" collapsed="false">
      <c r="A102" s="15" t="n">
        <v>101</v>
      </c>
      <c r="B102" s="15" t="s">
        <v>1695</v>
      </c>
      <c r="C102" s="15" t="s">
        <v>1696</v>
      </c>
      <c r="D102" s="15" t="s">
        <v>1697</v>
      </c>
      <c r="E102" s="15" t="s">
        <v>1999</v>
      </c>
      <c r="F102" s="15" t="s">
        <v>1698</v>
      </c>
    </row>
    <row r="103" customFormat="false" ht="68.25" hidden="false" customHeight="true" outlineLevel="0" collapsed="false">
      <c r="A103" s="15" t="n">
        <v>102</v>
      </c>
      <c r="B103" s="15" t="s">
        <v>1699</v>
      </c>
      <c r="C103" s="15" t="s">
        <v>1700</v>
      </c>
      <c r="D103" s="15" t="s">
        <v>1701</v>
      </c>
      <c r="E103" s="15" t="s">
        <v>2000</v>
      </c>
      <c r="F103" s="15" t="s">
        <v>1545</v>
      </c>
    </row>
    <row r="104" customFormat="false" ht="34.5" hidden="false" customHeight="true" outlineLevel="0" collapsed="false">
      <c r="A104" s="15" t="n">
        <v>103</v>
      </c>
      <c r="B104" s="15" t="s">
        <v>1702</v>
      </c>
      <c r="C104" s="15" t="s">
        <v>1703</v>
      </c>
      <c r="D104" s="15" t="s">
        <v>1704</v>
      </c>
      <c r="E104" s="15" t="s">
        <v>2001</v>
      </c>
      <c r="F104" s="15" t="s">
        <v>1705</v>
      </c>
    </row>
    <row r="105" customFormat="false" ht="45.75" hidden="false" customHeight="true" outlineLevel="0" collapsed="false">
      <c r="A105" s="15" t="n">
        <v>104</v>
      </c>
      <c r="B105" s="15" t="s">
        <v>1706</v>
      </c>
      <c r="C105" s="15" t="s">
        <v>1707</v>
      </c>
      <c r="D105" s="15" t="s">
        <v>1708</v>
      </c>
      <c r="E105" s="15" t="s">
        <v>2002</v>
      </c>
      <c r="F105" s="15" t="s">
        <v>1709</v>
      </c>
    </row>
    <row r="106" customFormat="false" ht="23.25" hidden="false" customHeight="true" outlineLevel="0" collapsed="false">
      <c r="A106" s="15" t="n">
        <v>105</v>
      </c>
      <c r="B106" s="15" t="s">
        <v>1710</v>
      </c>
      <c r="C106" s="15" t="s">
        <v>1711</v>
      </c>
      <c r="D106" s="15" t="s">
        <v>1712</v>
      </c>
      <c r="E106" s="15" t="s">
        <v>2003</v>
      </c>
      <c r="F106" s="15" t="s">
        <v>246</v>
      </c>
    </row>
    <row r="107" customFormat="false" ht="34.5" hidden="false" customHeight="true" outlineLevel="0" collapsed="false">
      <c r="A107" s="15" t="n">
        <v>106</v>
      </c>
      <c r="B107" s="15" t="s">
        <v>1713</v>
      </c>
      <c r="C107" s="15" t="s">
        <v>1714</v>
      </c>
      <c r="D107" s="15" t="s">
        <v>1715</v>
      </c>
      <c r="E107" s="15" t="s">
        <v>2004</v>
      </c>
      <c r="F107" s="15" t="s">
        <v>1716</v>
      </c>
    </row>
    <row r="108" customFormat="false" ht="45.75" hidden="false" customHeight="true" outlineLevel="0" collapsed="false">
      <c r="A108" s="15" t="n">
        <v>107</v>
      </c>
      <c r="B108" s="15" t="s">
        <v>1717</v>
      </c>
      <c r="C108" s="15" t="s">
        <v>1718</v>
      </c>
      <c r="D108" s="15" t="s">
        <v>1719</v>
      </c>
      <c r="E108" s="15" t="s">
        <v>2005</v>
      </c>
      <c r="F108" s="15" t="s">
        <v>1720</v>
      </c>
    </row>
    <row r="109" customFormat="false" ht="45.75" hidden="false" customHeight="true" outlineLevel="0" collapsed="false">
      <c r="A109" s="15" t="n">
        <v>108</v>
      </c>
      <c r="B109" s="15" t="s">
        <v>1721</v>
      </c>
      <c r="C109" s="15" t="s">
        <v>1722</v>
      </c>
      <c r="D109" s="15" t="s">
        <v>1666</v>
      </c>
      <c r="E109" s="15" t="s">
        <v>2006</v>
      </c>
      <c r="F109" s="15" t="s">
        <v>1698</v>
      </c>
    </row>
    <row r="110" customFormat="false" ht="45.75" hidden="false" customHeight="true" outlineLevel="0" collapsed="false">
      <c r="A110" s="15" t="n">
        <v>109</v>
      </c>
      <c r="B110" s="15" t="s">
        <v>1723</v>
      </c>
      <c r="C110" s="15" t="s">
        <v>1724</v>
      </c>
      <c r="D110" s="15" t="s">
        <v>1725</v>
      </c>
      <c r="E110" s="15" t="s">
        <v>2007</v>
      </c>
      <c r="F110" s="15" t="s">
        <v>246</v>
      </c>
    </row>
    <row r="111" customFormat="false" ht="23.25" hidden="false" customHeight="true" outlineLevel="0" collapsed="false">
      <c r="A111" s="15" t="n">
        <v>110</v>
      </c>
      <c r="B111" s="15" t="s">
        <v>1726</v>
      </c>
      <c r="C111" s="15" t="s">
        <v>1727</v>
      </c>
      <c r="D111" s="15" t="s">
        <v>1728</v>
      </c>
      <c r="E111" s="15" t="s">
        <v>2008</v>
      </c>
      <c r="F111" s="15" t="s">
        <v>246</v>
      </c>
    </row>
    <row r="112" customFormat="false" ht="57" hidden="false" customHeight="true" outlineLevel="0" collapsed="false">
      <c r="A112" s="15" t="n">
        <v>111</v>
      </c>
      <c r="B112" s="15" t="s">
        <v>1729</v>
      </c>
      <c r="C112" s="15" t="s">
        <v>1730</v>
      </c>
      <c r="D112" s="15" t="s">
        <v>1731</v>
      </c>
      <c r="E112" s="15" t="s">
        <v>2009</v>
      </c>
      <c r="F112" s="15" t="s">
        <v>1732</v>
      </c>
    </row>
    <row r="113" customFormat="false" ht="34.5" hidden="false" customHeight="true" outlineLevel="0" collapsed="false">
      <c r="A113" s="15" t="n">
        <v>112</v>
      </c>
      <c r="B113" s="15" t="s">
        <v>1733</v>
      </c>
      <c r="C113" s="15" t="s">
        <v>1734</v>
      </c>
      <c r="D113" s="15" t="s">
        <v>1735</v>
      </c>
      <c r="E113" s="15" t="s">
        <v>2010</v>
      </c>
      <c r="F113" s="15" t="s">
        <v>246</v>
      </c>
    </row>
    <row r="114" customFormat="false" ht="34.5" hidden="false" customHeight="true" outlineLevel="0" collapsed="false">
      <c r="A114" s="15" t="n">
        <v>113</v>
      </c>
      <c r="B114" s="15" t="s">
        <v>1736</v>
      </c>
      <c r="C114" s="15" t="s">
        <v>1737</v>
      </c>
      <c r="D114" s="15" t="s">
        <v>1738</v>
      </c>
      <c r="E114" s="15" t="s">
        <v>2011</v>
      </c>
      <c r="F114" s="15" t="s">
        <v>1739</v>
      </c>
    </row>
    <row r="115" customFormat="false" ht="45.75" hidden="false" customHeight="true" outlineLevel="0" collapsed="false">
      <c r="A115" s="15" t="n">
        <v>114</v>
      </c>
      <c r="B115" s="15" t="s">
        <v>1740</v>
      </c>
      <c r="C115" s="15" t="s">
        <v>1741</v>
      </c>
      <c r="D115" s="15" t="s">
        <v>1742</v>
      </c>
      <c r="E115" s="15" t="s">
        <v>2012</v>
      </c>
      <c r="F115" s="15" t="s">
        <v>1545</v>
      </c>
    </row>
    <row r="116" customFormat="false" ht="57" hidden="false" customHeight="true" outlineLevel="0" collapsed="false">
      <c r="A116" s="15" t="n">
        <v>115</v>
      </c>
      <c r="B116" s="15" t="s">
        <v>1743</v>
      </c>
      <c r="C116" s="15" t="s">
        <v>1744</v>
      </c>
      <c r="D116" s="15" t="s">
        <v>1745</v>
      </c>
      <c r="E116" s="15" t="s">
        <v>2013</v>
      </c>
      <c r="F116" s="15" t="s">
        <v>1545</v>
      </c>
    </row>
    <row r="117" customFormat="false" ht="113.25" hidden="false" customHeight="true" outlineLevel="0" collapsed="false">
      <c r="A117" s="15" t="n">
        <v>116</v>
      </c>
      <c r="B117" s="15" t="s">
        <v>1746</v>
      </c>
      <c r="C117" s="15" t="s">
        <v>1747</v>
      </c>
      <c r="D117" s="15" t="s">
        <v>1748</v>
      </c>
      <c r="E117" s="15" t="s">
        <v>2014</v>
      </c>
      <c r="F117" s="15" t="s">
        <v>1749</v>
      </c>
    </row>
    <row r="118" customFormat="false" ht="23.25" hidden="false" customHeight="true" outlineLevel="0" collapsed="false">
      <c r="A118" s="15" t="n">
        <v>117</v>
      </c>
      <c r="B118" s="15" t="s">
        <v>1750</v>
      </c>
      <c r="C118" s="15" t="s">
        <v>1751</v>
      </c>
      <c r="D118" s="15" t="s">
        <v>1666</v>
      </c>
      <c r="E118" s="15" t="s">
        <v>2015</v>
      </c>
      <c r="F118" s="15" t="s">
        <v>1752</v>
      </c>
    </row>
    <row r="119" customFormat="false" ht="79.5" hidden="false" customHeight="true" outlineLevel="0" collapsed="false">
      <c r="A119" s="15" t="n">
        <v>118</v>
      </c>
      <c r="B119" s="15" t="s">
        <v>1753</v>
      </c>
      <c r="C119" s="15" t="s">
        <v>1754</v>
      </c>
      <c r="D119" s="15" t="s">
        <v>1755</v>
      </c>
      <c r="E119" s="15" t="s">
        <v>2016</v>
      </c>
      <c r="F119" s="15" t="s">
        <v>246</v>
      </c>
    </row>
    <row r="120" customFormat="false" ht="45.75" hidden="false" customHeight="true" outlineLevel="0" collapsed="false">
      <c r="A120" s="15" t="n">
        <v>119</v>
      </c>
      <c r="B120" s="15" t="s">
        <v>1756</v>
      </c>
      <c r="C120" s="15" t="s">
        <v>1757</v>
      </c>
      <c r="D120" s="15" t="s">
        <v>1758</v>
      </c>
      <c r="E120" s="15" t="s">
        <v>2017</v>
      </c>
      <c r="F120" s="15" t="s">
        <v>1759</v>
      </c>
    </row>
    <row r="121" customFormat="false" ht="45.75" hidden="false" customHeight="true" outlineLevel="0" collapsed="false">
      <c r="A121" s="15" t="n">
        <v>120</v>
      </c>
      <c r="B121" s="15" t="s">
        <v>1760</v>
      </c>
      <c r="C121" s="15" t="s">
        <v>1761</v>
      </c>
      <c r="D121" s="15" t="s">
        <v>1762</v>
      </c>
      <c r="E121" s="15" t="s">
        <v>2018</v>
      </c>
      <c r="F121" s="15" t="s">
        <v>1763</v>
      </c>
    </row>
    <row r="122" customFormat="false" ht="45.75" hidden="false" customHeight="true" outlineLevel="0" collapsed="false">
      <c r="A122" s="15" t="n">
        <v>121</v>
      </c>
      <c r="B122" s="15" t="s">
        <v>1764</v>
      </c>
      <c r="C122" s="15" t="s">
        <v>1765</v>
      </c>
      <c r="D122" s="15" t="s">
        <v>1766</v>
      </c>
      <c r="E122" s="15" t="s">
        <v>2019</v>
      </c>
      <c r="F122" s="15" t="s">
        <v>1767</v>
      </c>
    </row>
    <row r="123" customFormat="false" ht="180" hidden="false" customHeight="true" outlineLevel="0" collapsed="false">
      <c r="A123" s="15" t="n">
        <v>122</v>
      </c>
      <c r="B123" s="15" t="s">
        <v>1768</v>
      </c>
      <c r="C123" s="15" t="s">
        <v>1769</v>
      </c>
      <c r="D123" s="15" t="s">
        <v>1770</v>
      </c>
      <c r="E123" s="15" t="s">
        <v>2020</v>
      </c>
      <c r="F123" s="15"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45"/>
    <col collapsed="false" customWidth="true" hidden="false" outlineLevel="0" max="4" min="4" style="1" width="30"/>
    <col collapsed="false" customWidth="true" hidden="false" outlineLevel="0" max="5" min="5" style="1" width="90"/>
    <col collapsed="false" customWidth="true" hidden="false" outlineLevel="0" max="6" min="6" style="1" width="30"/>
    <col collapsed="false" customWidth="true" hidden="false" outlineLevel="0" max="7" min="7" style="1" width="26"/>
    <col collapsed="false" customWidth="true" hidden="false" outlineLevel="0" max="8" min="8" style="1" width="90"/>
  </cols>
  <sheetData>
    <row r="1" customFormat="false" ht="15" hidden="false" customHeight="true" outlineLevel="0" collapsed="false">
      <c r="A1" s="18" t="s">
        <v>48</v>
      </c>
      <c r="B1" s="18" t="s">
        <v>49</v>
      </c>
      <c r="C1" s="18" t="s">
        <v>1897</v>
      </c>
      <c r="D1" s="18" t="s">
        <v>52</v>
      </c>
      <c r="E1" s="18" t="s">
        <v>1898</v>
      </c>
      <c r="F1" s="18" t="s">
        <v>56</v>
      </c>
      <c r="G1" s="18" t="s">
        <v>2021</v>
      </c>
      <c r="H1" s="18" t="s">
        <v>2022</v>
      </c>
    </row>
    <row r="2" customFormat="false" ht="15" hidden="false" customHeight="true" outlineLevel="0" collapsed="false">
      <c r="A2" s="1" t="n">
        <v>1</v>
      </c>
      <c r="B2" s="1" t="s">
        <v>1772</v>
      </c>
      <c r="C2" s="1" t="s">
        <v>2023</v>
      </c>
      <c r="D2" s="1" t="s">
        <v>1775</v>
      </c>
      <c r="E2" s="1" t="s">
        <v>2024</v>
      </c>
      <c r="F2" s="1" t="s">
        <v>1778</v>
      </c>
      <c r="G2" s="1" t="s">
        <v>2025</v>
      </c>
      <c r="H2" s="1" t="s">
        <v>2026</v>
      </c>
    </row>
    <row r="3" customFormat="false" ht="15" hidden="false" customHeight="true" outlineLevel="0" collapsed="false">
      <c r="A3" s="1" t="n">
        <v>2</v>
      </c>
      <c r="B3" s="1" t="s">
        <v>1779</v>
      </c>
      <c r="C3" s="1" t="s">
        <v>1780</v>
      </c>
      <c r="D3" s="1" t="s">
        <v>1781</v>
      </c>
      <c r="E3" s="1" t="s">
        <v>2027</v>
      </c>
      <c r="F3" s="1" t="s">
        <v>1783</v>
      </c>
      <c r="G3" s="1" t="s">
        <v>2028</v>
      </c>
      <c r="H3" s="1" t="s">
        <v>2029</v>
      </c>
    </row>
    <row r="4" customFormat="false" ht="15" hidden="false" customHeight="true" outlineLevel="0" collapsed="false">
      <c r="A4" s="1" t="n">
        <v>3</v>
      </c>
      <c r="B4" s="1" t="s">
        <v>1784</v>
      </c>
      <c r="C4" s="1" t="s">
        <v>1785</v>
      </c>
      <c r="D4" s="1" t="s">
        <v>1786</v>
      </c>
      <c r="E4" s="1" t="s">
        <v>2030</v>
      </c>
      <c r="F4" s="1" t="s">
        <v>1788</v>
      </c>
      <c r="G4" s="1" t="s">
        <v>2031</v>
      </c>
      <c r="H4" s="1" t="s">
        <v>2032</v>
      </c>
    </row>
    <row r="5" customFormat="false" ht="15" hidden="false" customHeight="true" outlineLevel="0" collapsed="false">
      <c r="A5" s="1" t="n">
        <v>4</v>
      </c>
      <c r="B5" s="1" t="s">
        <v>1789</v>
      </c>
      <c r="C5" s="1" t="s">
        <v>2033</v>
      </c>
      <c r="D5" s="1" t="s">
        <v>1792</v>
      </c>
      <c r="E5" s="1" t="s">
        <v>2034</v>
      </c>
      <c r="F5" s="1" t="s">
        <v>1793</v>
      </c>
      <c r="G5" s="1" t="s">
        <v>2028</v>
      </c>
      <c r="H5" s="1" t="s">
        <v>2035</v>
      </c>
    </row>
    <row r="6" customFormat="false" ht="15" hidden="false" customHeight="true" outlineLevel="0" collapsed="false">
      <c r="A6" s="1" t="n">
        <v>5</v>
      </c>
      <c r="B6" s="1" t="s">
        <v>1794</v>
      </c>
      <c r="C6" s="1" t="s">
        <v>2036</v>
      </c>
      <c r="D6" s="1" t="s">
        <v>1796</v>
      </c>
      <c r="E6" s="1" t="s">
        <v>2037</v>
      </c>
      <c r="F6" s="1" t="s">
        <v>1797</v>
      </c>
      <c r="G6" s="1" t="s">
        <v>2028</v>
      </c>
      <c r="H6" s="1" t="s">
        <v>2038</v>
      </c>
    </row>
    <row r="7" customFormat="false" ht="15" hidden="false" customHeight="true" outlineLevel="0" collapsed="false">
      <c r="A7" s="1" t="n">
        <v>6</v>
      </c>
      <c r="B7" s="1" t="s">
        <v>1798</v>
      </c>
      <c r="C7" s="1" t="s">
        <v>1799</v>
      </c>
      <c r="D7" s="1" t="s">
        <v>1800</v>
      </c>
      <c r="E7" s="1" t="s">
        <v>2039</v>
      </c>
      <c r="F7" s="1" t="s">
        <v>1801</v>
      </c>
      <c r="G7" s="1" t="s">
        <v>2025</v>
      </c>
      <c r="H7" s="1" t="s">
        <v>2040</v>
      </c>
    </row>
    <row r="8" customFormat="false" ht="15" hidden="false" customHeight="true" outlineLevel="0" collapsed="false">
      <c r="A8" s="1" t="n">
        <v>7</v>
      </c>
      <c r="B8" s="1" t="s">
        <v>1802</v>
      </c>
      <c r="C8" s="1" t="s">
        <v>2041</v>
      </c>
      <c r="D8" s="1" t="s">
        <v>1804</v>
      </c>
      <c r="E8" s="1" t="s">
        <v>2042</v>
      </c>
      <c r="F8" s="1" t="s">
        <v>1805</v>
      </c>
      <c r="G8" s="1" t="s">
        <v>2028</v>
      </c>
      <c r="H8" s="1" t="s">
        <v>2043</v>
      </c>
    </row>
    <row r="9" customFormat="false" ht="15" hidden="false" customHeight="true" outlineLevel="0" collapsed="false">
      <c r="A9" s="1" t="n">
        <v>8</v>
      </c>
      <c r="B9" s="1" t="s">
        <v>1806</v>
      </c>
      <c r="C9" s="1" t="s">
        <v>1808</v>
      </c>
      <c r="D9" s="1" t="s">
        <v>1809</v>
      </c>
      <c r="E9" s="1" t="s">
        <v>2044</v>
      </c>
      <c r="F9" s="1" t="s">
        <v>1810</v>
      </c>
      <c r="G9" s="1" t="s">
        <v>2025</v>
      </c>
      <c r="H9" s="1" t="s">
        <v>2045</v>
      </c>
    </row>
    <row r="10" customFormat="false" ht="15" hidden="false" customHeight="true" outlineLevel="0" collapsed="false">
      <c r="A10" s="1" t="n">
        <v>9</v>
      </c>
      <c r="B10" s="1" t="s">
        <v>2046</v>
      </c>
      <c r="C10" s="1" t="s">
        <v>2047</v>
      </c>
      <c r="D10" s="1" t="s">
        <v>2048</v>
      </c>
      <c r="E10" s="1" t="s">
        <v>2049</v>
      </c>
      <c r="F10" s="1" t="s">
        <v>1336</v>
      </c>
      <c r="G10" s="1" t="s">
        <v>2025</v>
      </c>
      <c r="H10" s="1" t="s">
        <v>2050</v>
      </c>
    </row>
    <row r="11" customFormat="false" ht="15" hidden="false" customHeight="true" outlineLevel="0" collapsed="false">
      <c r="A11" s="1" t="n">
        <v>10</v>
      </c>
      <c r="B11" s="1" t="s">
        <v>1811</v>
      </c>
      <c r="C11" s="1" t="s">
        <v>2051</v>
      </c>
      <c r="D11" s="1" t="s">
        <v>1814</v>
      </c>
      <c r="E11" s="1" t="s">
        <v>2052</v>
      </c>
      <c r="F11" s="1" t="s">
        <v>1815</v>
      </c>
      <c r="G11" s="1" t="s">
        <v>2025</v>
      </c>
      <c r="H11" s="1" t="s">
        <v>2053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2026-08-14T00:46:42Z</dcterms:created>
  <dc:creator>openpyxl</dc:creator>
  <dc:description/>
  <dc:language>en-US</dc:language>
  <cp:lastModifiedBy/>
  <dcterms:modified xsi:type="dcterms:W3CDTF">2026-08-14T20:14:55Z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